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5" yWindow="-15" windowWidth="21840" windowHeight="6390" tabRatio="719" firstSheet="3" activeTab="9"/>
  </bookViews>
  <sheets>
    <sheet name="Revison" sheetId="76" r:id="rId1"/>
    <sheet name="HowToUse" sheetId="75" r:id="rId2"/>
    <sheet name="Main_Parameters" sheetId="118" r:id="rId3"/>
    <sheet name="Source_DPeDP_Startup" sheetId="116" r:id="rId4"/>
    <sheet name="Source_eDP_Suspend" sheetId="125" r:id="rId5"/>
    <sheet name="Source_eDP_Resume" sheetId="126" r:id="rId6"/>
    <sheet name="Source_DP_Suspend" sheetId="127" r:id="rId7"/>
    <sheet name="Source_ColorBar" sheetId="123" r:id="rId8"/>
    <sheet name="Source_Debug" sheetId="124" r:id="rId9"/>
    <sheet name="Code" sheetId="17" r:id="rId10"/>
  </sheets>
  <calcPr calcId="125725"/>
</workbook>
</file>

<file path=xl/calcChain.xml><?xml version="1.0" encoding="utf-8"?>
<calcChain xmlns="http://schemas.openxmlformats.org/spreadsheetml/2006/main">
  <c r="D360" i="123"/>
  <c r="B360"/>
  <c r="B510" i="116" l="1"/>
  <c r="D510"/>
  <c r="E511"/>
  <c r="R511"/>
  <c r="V511"/>
  <c r="Y511"/>
  <c r="AN511"/>
  <c r="BD511"/>
  <c r="B180"/>
  <c r="C142" i="118"/>
  <c r="E180" i="116" s="1"/>
  <c r="BV273" i="118" l="1"/>
  <c r="BV274" s="1"/>
  <c r="BV281" s="1"/>
  <c r="GD291"/>
  <c r="GC291"/>
  <c r="GB291"/>
  <c r="GA291"/>
  <c r="FZ291"/>
  <c r="FY291"/>
  <c r="FX291"/>
  <c r="FW291"/>
  <c r="FV291"/>
  <c r="FU291"/>
  <c r="FT291"/>
  <c r="FS291"/>
  <c r="FR291"/>
  <c r="FQ291"/>
  <c r="FP291"/>
  <c r="FO291"/>
  <c r="FN291"/>
  <c r="FM291"/>
  <c r="FL291"/>
  <c r="FK291"/>
  <c r="FJ291"/>
  <c r="FI291"/>
  <c r="FH291"/>
  <c r="FG291"/>
  <c r="FF291"/>
  <c r="GD290"/>
  <c r="GC290"/>
  <c r="GB290"/>
  <c r="GA290"/>
  <c r="FZ290"/>
  <c r="FY290"/>
  <c r="FX290"/>
  <c r="FW290"/>
  <c r="FV290"/>
  <c r="FU290"/>
  <c r="FT290"/>
  <c r="FS290"/>
  <c r="FR290"/>
  <c r="FQ290"/>
  <c r="FP290"/>
  <c r="FO290"/>
  <c r="FN290"/>
  <c r="FM290"/>
  <c r="FL290"/>
  <c r="FK290"/>
  <c r="FJ290"/>
  <c r="FI290"/>
  <c r="FH290"/>
  <c r="FG290"/>
  <c r="FF290"/>
  <c r="GD288"/>
  <c r="GC288"/>
  <c r="GB288"/>
  <c r="GA288"/>
  <c r="FZ288"/>
  <c r="FY288"/>
  <c r="FX288"/>
  <c r="FW288"/>
  <c r="FV288"/>
  <c r="FU288"/>
  <c r="FT288"/>
  <c r="FS288"/>
  <c r="FR288"/>
  <c r="FQ288"/>
  <c r="FP288"/>
  <c r="FO288"/>
  <c r="FN288"/>
  <c r="FM288"/>
  <c r="FL288"/>
  <c r="FK288"/>
  <c r="FJ288"/>
  <c r="FI288"/>
  <c r="FH288"/>
  <c r="FG288"/>
  <c r="FF288"/>
  <c r="GD287"/>
  <c r="GC287"/>
  <c r="GC289" s="1"/>
  <c r="GB287"/>
  <c r="GA287"/>
  <c r="GA289" s="1"/>
  <c r="FZ287"/>
  <c r="FY287"/>
  <c r="FY289" s="1"/>
  <c r="FX287"/>
  <c r="FX289" s="1"/>
  <c r="FW287"/>
  <c r="FW289" s="1"/>
  <c r="FV287"/>
  <c r="FV289" s="1"/>
  <c r="FU287"/>
  <c r="FU289" s="1"/>
  <c r="FT287"/>
  <c r="FT289" s="1"/>
  <c r="FS287"/>
  <c r="FS289" s="1"/>
  <c r="FR287"/>
  <c r="FR289" s="1"/>
  <c r="FQ287"/>
  <c r="FQ289" s="1"/>
  <c r="FP287"/>
  <c r="FP289" s="1"/>
  <c r="FO287"/>
  <c r="FO289" s="1"/>
  <c r="FN287"/>
  <c r="FN289" s="1"/>
  <c r="FM287"/>
  <c r="FM289" s="1"/>
  <c r="FL287"/>
  <c r="FL289" s="1"/>
  <c r="FK287"/>
  <c r="FK289" s="1"/>
  <c r="FJ287"/>
  <c r="FJ289" s="1"/>
  <c r="FI287"/>
  <c r="FI289" s="1"/>
  <c r="FH287"/>
  <c r="FH289" s="1"/>
  <c r="FG287"/>
  <c r="FG289" s="1"/>
  <c r="FF287"/>
  <c r="FF289" s="1"/>
  <c r="GD286"/>
  <c r="GC286"/>
  <c r="GB286"/>
  <c r="GA286"/>
  <c r="FZ286"/>
  <c r="FY286"/>
  <c r="FX286"/>
  <c r="FW286"/>
  <c r="FV286"/>
  <c r="FU286"/>
  <c r="FT286"/>
  <c r="FS286"/>
  <c r="FR286"/>
  <c r="FQ286"/>
  <c r="FP286"/>
  <c r="FO286"/>
  <c r="FN286"/>
  <c r="FM286"/>
  <c r="FL286"/>
  <c r="FK286"/>
  <c r="FJ286"/>
  <c r="FI286"/>
  <c r="FH286"/>
  <c r="FG286"/>
  <c r="FF286"/>
  <c r="GD285"/>
  <c r="GC285"/>
  <c r="GB285"/>
  <c r="GA285"/>
  <c r="FZ285"/>
  <c r="FY285"/>
  <c r="FX285"/>
  <c r="FW285"/>
  <c r="FV285"/>
  <c r="FU285"/>
  <c r="FT285"/>
  <c r="FS285"/>
  <c r="FR285"/>
  <c r="FQ285"/>
  <c r="FP285"/>
  <c r="FO285"/>
  <c r="FN285"/>
  <c r="FM285"/>
  <c r="FL285"/>
  <c r="FK285"/>
  <c r="FJ285"/>
  <c r="FI285"/>
  <c r="FH285"/>
  <c r="FG285"/>
  <c r="FF285"/>
  <c r="EB291"/>
  <c r="EB290"/>
  <c r="EB288"/>
  <c r="EB287"/>
  <c r="EB289" s="1"/>
  <c r="EB286"/>
  <c r="EB285"/>
  <c r="ET291"/>
  <c r="ET290"/>
  <c r="ET288"/>
  <c r="ET287"/>
  <c r="ET289" s="1"/>
  <c r="ET286"/>
  <c r="ET285"/>
  <c r="DV291"/>
  <c r="DV290"/>
  <c r="DV288"/>
  <c r="DV287"/>
  <c r="DV289" s="1"/>
  <c r="DV286"/>
  <c r="DV285"/>
  <c r="ES291"/>
  <c r="ER291"/>
  <c r="EQ291"/>
  <c r="EP291"/>
  <c r="EO291"/>
  <c r="EN291"/>
  <c r="EM291"/>
  <c r="EL291"/>
  <c r="EK291"/>
  <c r="EJ291"/>
  <c r="EI291"/>
  <c r="EH291"/>
  <c r="EG291"/>
  <c r="EF291"/>
  <c r="EE291"/>
  <c r="ED291"/>
  <c r="EC291"/>
  <c r="EA291"/>
  <c r="DZ291"/>
  <c r="DY291"/>
  <c r="DX291"/>
  <c r="DW291"/>
  <c r="ES290"/>
  <c r="ER290"/>
  <c r="EQ290"/>
  <c r="EP290"/>
  <c r="EO290"/>
  <c r="EN290"/>
  <c r="EM290"/>
  <c r="EL290"/>
  <c r="EK290"/>
  <c r="EJ290"/>
  <c r="EI290"/>
  <c r="EH290"/>
  <c r="EG290"/>
  <c r="EF290"/>
  <c r="EE290"/>
  <c r="ED290"/>
  <c r="EC290"/>
  <c r="EA290"/>
  <c r="DZ290"/>
  <c r="DY290"/>
  <c r="DX290"/>
  <c r="DW290"/>
  <c r="ES288"/>
  <c r="ER288"/>
  <c r="EQ288"/>
  <c r="EP288"/>
  <c r="EO288"/>
  <c r="EN288"/>
  <c r="EM288"/>
  <c r="EL288"/>
  <c r="EK288"/>
  <c r="EJ288"/>
  <c r="EI288"/>
  <c r="EH288"/>
  <c r="EG288"/>
  <c r="EF288"/>
  <c r="EE288"/>
  <c r="ED288"/>
  <c r="EC288"/>
  <c r="EA288"/>
  <c r="DZ288"/>
  <c r="DY288"/>
  <c r="DX288"/>
  <c r="DW288"/>
  <c r="ES287"/>
  <c r="ES289" s="1"/>
  <c r="ER287"/>
  <c r="EQ287"/>
  <c r="EQ289" s="1"/>
  <c r="EP287"/>
  <c r="EO287"/>
  <c r="EO289" s="1"/>
  <c r="EN287"/>
  <c r="EN289" s="1"/>
  <c r="EM287"/>
  <c r="EM289" s="1"/>
  <c r="EL287"/>
  <c r="EL289" s="1"/>
  <c r="EK287"/>
  <c r="EK289" s="1"/>
  <c r="EJ287"/>
  <c r="EI287"/>
  <c r="EI289" s="1"/>
  <c r="EH287"/>
  <c r="EH289" s="1"/>
  <c r="EG287"/>
  <c r="EG289" s="1"/>
  <c r="EF287"/>
  <c r="EF289" s="1"/>
  <c r="EE287"/>
  <c r="EE289" s="1"/>
  <c r="ED287"/>
  <c r="ED289" s="1"/>
  <c r="EC287"/>
  <c r="EC289" s="1"/>
  <c r="EA287"/>
  <c r="EA289" s="1"/>
  <c r="DZ287"/>
  <c r="DZ289" s="1"/>
  <c r="DY287"/>
  <c r="DY289" s="1"/>
  <c r="DX287"/>
  <c r="DX289" s="1"/>
  <c r="DW287"/>
  <c r="DW289" s="1"/>
  <c r="ES286"/>
  <c r="ER286"/>
  <c r="EQ286"/>
  <c r="EP286"/>
  <c r="EO286"/>
  <c r="EN286"/>
  <c r="EM286"/>
  <c r="EL286"/>
  <c r="EK286"/>
  <c r="EJ286"/>
  <c r="EI286"/>
  <c r="EH286"/>
  <c r="EG286"/>
  <c r="EF286"/>
  <c r="EE286"/>
  <c r="ED286"/>
  <c r="EC286"/>
  <c r="EA286"/>
  <c r="DZ286"/>
  <c r="DY286"/>
  <c r="DX286"/>
  <c r="DW286"/>
  <c r="ES285"/>
  <c r="ER285"/>
  <c r="EQ285"/>
  <c r="EP285"/>
  <c r="EP289" s="1"/>
  <c r="EO285"/>
  <c r="EN285"/>
  <c r="EM285"/>
  <c r="EL285"/>
  <c r="EK285"/>
  <c r="EJ285"/>
  <c r="EJ289" s="1"/>
  <c r="EI285"/>
  <c r="EH285"/>
  <c r="EG285"/>
  <c r="EF285"/>
  <c r="EE285"/>
  <c r="ED285"/>
  <c r="EC285"/>
  <c r="EA285"/>
  <c r="DZ285"/>
  <c r="DY285"/>
  <c r="DX285"/>
  <c r="DW285"/>
  <c r="DJ291"/>
  <c r="DJ290"/>
  <c r="DJ288"/>
  <c r="DJ287"/>
  <c r="DJ289" s="1"/>
  <c r="DJ286"/>
  <c r="DJ285"/>
  <c r="CL291"/>
  <c r="CL290"/>
  <c r="CL288"/>
  <c r="CL287"/>
  <c r="CL289" s="1"/>
  <c r="CL286"/>
  <c r="CL285"/>
  <c r="DI291"/>
  <c r="DH291"/>
  <c r="DG291"/>
  <c r="DF291"/>
  <c r="DE291"/>
  <c r="DD291"/>
  <c r="DC291"/>
  <c r="DB291"/>
  <c r="DA291"/>
  <c r="CZ291"/>
  <c r="CY291"/>
  <c r="CX291"/>
  <c r="CW291"/>
  <c r="CV291"/>
  <c r="CU291"/>
  <c r="CT291"/>
  <c r="CS291"/>
  <c r="CR291"/>
  <c r="CQ291"/>
  <c r="CP291"/>
  <c r="CO291"/>
  <c r="CN291"/>
  <c r="CM291"/>
  <c r="DI290"/>
  <c r="DH290"/>
  <c r="DG290"/>
  <c r="DF290"/>
  <c r="DE290"/>
  <c r="DD290"/>
  <c r="DC290"/>
  <c r="DB290"/>
  <c r="DA290"/>
  <c r="CZ290"/>
  <c r="CY290"/>
  <c r="CX290"/>
  <c r="CW290"/>
  <c r="CV290"/>
  <c r="CU290"/>
  <c r="CT290"/>
  <c r="CS290"/>
  <c r="CR290"/>
  <c r="CQ290"/>
  <c r="CP290"/>
  <c r="CO290"/>
  <c r="CN290"/>
  <c r="CM290"/>
  <c r="DI288"/>
  <c r="DH288"/>
  <c r="DG288"/>
  <c r="DF288"/>
  <c r="DE288"/>
  <c r="DD288"/>
  <c r="DC288"/>
  <c r="DB288"/>
  <c r="DA288"/>
  <c r="CZ288"/>
  <c r="CY288"/>
  <c r="CX288"/>
  <c r="CW288"/>
  <c r="CV288"/>
  <c r="CU288"/>
  <c r="CT288"/>
  <c r="CS288"/>
  <c r="CR288"/>
  <c r="CQ288"/>
  <c r="CP288"/>
  <c r="CO288"/>
  <c r="CN288"/>
  <c r="CM288"/>
  <c r="DI287"/>
  <c r="DH287"/>
  <c r="DG287"/>
  <c r="DF287"/>
  <c r="DE287"/>
  <c r="DD287"/>
  <c r="DD289" s="1"/>
  <c r="DC287"/>
  <c r="DC289" s="1"/>
  <c r="DB287"/>
  <c r="DB289" s="1"/>
  <c r="DA287"/>
  <c r="DA289" s="1"/>
  <c r="CZ287"/>
  <c r="CZ289" s="1"/>
  <c r="CY287"/>
  <c r="CY289" s="1"/>
  <c r="CX287"/>
  <c r="CX289" s="1"/>
  <c r="CW287"/>
  <c r="CW289" s="1"/>
  <c r="CV287"/>
  <c r="CV289" s="1"/>
  <c r="CU287"/>
  <c r="CU289" s="1"/>
  <c r="CT287"/>
  <c r="CT289" s="1"/>
  <c r="CS287"/>
  <c r="CS289" s="1"/>
  <c r="CR287"/>
  <c r="CR289" s="1"/>
  <c r="CQ287"/>
  <c r="CQ289" s="1"/>
  <c r="CP287"/>
  <c r="CP289" s="1"/>
  <c r="CO287"/>
  <c r="CO289" s="1"/>
  <c r="CN287"/>
  <c r="CN289" s="1"/>
  <c r="CM287"/>
  <c r="CM289" s="1"/>
  <c r="DI286"/>
  <c r="DH286"/>
  <c r="DG286"/>
  <c r="DF286"/>
  <c r="DE286"/>
  <c r="DD286"/>
  <c r="DC286"/>
  <c r="DB286"/>
  <c r="DA286"/>
  <c r="CZ286"/>
  <c r="CY286"/>
  <c r="CX286"/>
  <c r="CW286"/>
  <c r="CV286"/>
  <c r="CU286"/>
  <c r="CT286"/>
  <c r="CS286"/>
  <c r="CR286"/>
  <c r="CQ286"/>
  <c r="CP286"/>
  <c r="CO286"/>
  <c r="CN286"/>
  <c r="CM286"/>
  <c r="DI285"/>
  <c r="DH285"/>
  <c r="DG285"/>
  <c r="DF285"/>
  <c r="DE285"/>
  <c r="DD285"/>
  <c r="DC285"/>
  <c r="DB285"/>
  <c r="DA285"/>
  <c r="CZ285"/>
  <c r="CY285"/>
  <c r="CX285"/>
  <c r="CW285"/>
  <c r="CV285"/>
  <c r="CU285"/>
  <c r="CT285"/>
  <c r="CS285"/>
  <c r="CR285"/>
  <c r="CQ285"/>
  <c r="CP285"/>
  <c r="CO285"/>
  <c r="CN285"/>
  <c r="CM285"/>
  <c r="BJ291"/>
  <c r="BI291"/>
  <c r="BH291"/>
  <c r="BG291"/>
  <c r="BF291"/>
  <c r="BE291"/>
  <c r="BD291"/>
  <c r="BC291"/>
  <c r="BJ290"/>
  <c r="BI290"/>
  <c r="BH290"/>
  <c r="BG290"/>
  <c r="BF290"/>
  <c r="BE290"/>
  <c r="BD290"/>
  <c r="BC290"/>
  <c r="BJ288"/>
  <c r="BI288"/>
  <c r="BH288"/>
  <c r="BG288"/>
  <c r="BF288"/>
  <c r="BE288"/>
  <c r="BD288"/>
  <c r="BC288"/>
  <c r="BJ287"/>
  <c r="BJ289" s="1"/>
  <c r="BI287"/>
  <c r="BI289" s="1"/>
  <c r="BH287"/>
  <c r="BH289" s="1"/>
  <c r="BG287"/>
  <c r="BG289" s="1"/>
  <c r="BF287"/>
  <c r="BF289" s="1"/>
  <c r="BE287"/>
  <c r="BE289" s="1"/>
  <c r="BD287"/>
  <c r="BD289" s="1"/>
  <c r="BC287"/>
  <c r="BC289" s="1"/>
  <c r="BJ286"/>
  <c r="BI286"/>
  <c r="BH286"/>
  <c r="BG286"/>
  <c r="BF286"/>
  <c r="BE286"/>
  <c r="BD286"/>
  <c r="BC286"/>
  <c r="BJ285"/>
  <c r="BI285"/>
  <c r="BH285"/>
  <c r="BG285"/>
  <c r="BF285"/>
  <c r="BE285"/>
  <c r="BD285"/>
  <c r="BC285"/>
  <c r="BK291"/>
  <c r="BZ291"/>
  <c r="BY291"/>
  <c r="BX291"/>
  <c r="BW291"/>
  <c r="BV291"/>
  <c r="BU291"/>
  <c r="BT291"/>
  <c r="BS291"/>
  <c r="BR291"/>
  <c r="BQ291"/>
  <c r="BP291"/>
  <c r="BO291"/>
  <c r="BN291"/>
  <c r="BM291"/>
  <c r="BL291"/>
  <c r="BB291"/>
  <c r="BK290"/>
  <c r="BZ290"/>
  <c r="BY290"/>
  <c r="BX290"/>
  <c r="BW290"/>
  <c r="BV290"/>
  <c r="BU290"/>
  <c r="BT290"/>
  <c r="BS290"/>
  <c r="BR290"/>
  <c r="BQ290"/>
  <c r="BP290"/>
  <c r="BO290"/>
  <c r="BN290"/>
  <c r="BM290"/>
  <c r="BL290"/>
  <c r="BB290"/>
  <c r="BZ288"/>
  <c r="BY288"/>
  <c r="BX288"/>
  <c r="BW288"/>
  <c r="BV288"/>
  <c r="BU288"/>
  <c r="BT288"/>
  <c r="BS288"/>
  <c r="BR288"/>
  <c r="BQ288"/>
  <c r="BP288"/>
  <c r="BO288"/>
  <c r="BN288"/>
  <c r="BM288"/>
  <c r="BL288"/>
  <c r="BZ287"/>
  <c r="BZ289" s="1"/>
  <c r="BY287"/>
  <c r="BY289" s="1"/>
  <c r="BX287"/>
  <c r="BX289" s="1"/>
  <c r="BW287"/>
  <c r="BW289" s="1"/>
  <c r="BV287"/>
  <c r="BU287"/>
  <c r="BU289" s="1"/>
  <c r="BT287"/>
  <c r="BT289" s="1"/>
  <c r="BS287"/>
  <c r="BS289" s="1"/>
  <c r="BR287"/>
  <c r="BR289" s="1"/>
  <c r="BQ287"/>
  <c r="BQ289" s="1"/>
  <c r="BP287"/>
  <c r="BP289" s="1"/>
  <c r="BO287"/>
  <c r="BO289" s="1"/>
  <c r="BN287"/>
  <c r="BN289" s="1"/>
  <c r="BM287"/>
  <c r="BM289" s="1"/>
  <c r="BL287"/>
  <c r="BL289" s="1"/>
  <c r="BZ286"/>
  <c r="BY286"/>
  <c r="BX286"/>
  <c r="BW286"/>
  <c r="BV286"/>
  <c r="BU286"/>
  <c r="BT286"/>
  <c r="BS286"/>
  <c r="BR286"/>
  <c r="BQ286"/>
  <c r="BP286"/>
  <c r="BO286"/>
  <c r="BN286"/>
  <c r="BM286"/>
  <c r="BL286"/>
  <c r="BZ285"/>
  <c r="BY285"/>
  <c r="BX285"/>
  <c r="BW285"/>
  <c r="BV285"/>
  <c r="BU285"/>
  <c r="BT285"/>
  <c r="BS285"/>
  <c r="BR285"/>
  <c r="BQ285"/>
  <c r="BP285"/>
  <c r="BO285"/>
  <c r="BN285"/>
  <c r="BM285"/>
  <c r="BL285"/>
  <c r="BK288"/>
  <c r="BK287"/>
  <c r="BK289" s="1"/>
  <c r="BK286"/>
  <c r="BK285"/>
  <c r="BB288"/>
  <c r="BB287"/>
  <c r="BB289" s="1"/>
  <c r="BB286"/>
  <c r="BB285"/>
  <c r="DG289" l="1"/>
  <c r="DF289"/>
  <c r="BV275"/>
  <c r="DE289"/>
  <c r="GD289"/>
  <c r="FZ289"/>
  <c r="DI289"/>
  <c r="DH289"/>
  <c r="BV289"/>
  <c r="BV294" s="1"/>
  <c r="BB305"/>
  <c r="L307" l="1"/>
  <c r="T305"/>
  <c r="I93"/>
  <c r="M125" l="1"/>
  <c r="M124"/>
  <c r="BQ273"/>
  <c r="BC268"/>
  <c r="D297" l="1"/>
  <c r="E59"/>
  <c r="E60"/>
  <c r="G60"/>
  <c r="G59"/>
  <c r="D296" l="1"/>
  <c r="D295"/>
  <c r="I60"/>
  <c r="I59"/>
  <c r="B51" i="123" l="1"/>
  <c r="B169" i="116"/>
  <c r="B170"/>
  <c r="B52" i="123"/>
  <c r="J60" i="118"/>
  <c r="C297"/>
  <c r="E53" i="123" s="1"/>
  <c r="C296" i="118"/>
  <c r="E52" i="123" s="1"/>
  <c r="C295" i="118"/>
  <c r="E169" i="116" s="1"/>
  <c r="E170" l="1"/>
  <c r="E171"/>
  <c r="E51" i="123"/>
  <c r="B54" l="1"/>
  <c r="B55"/>
  <c r="B173" i="116"/>
  <c r="B172"/>
  <c r="B171"/>
  <c r="B53" i="123"/>
  <c r="BD33" i="124"/>
  <c r="K33" s="1"/>
  <c r="BB33"/>
  <c r="I33" s="1"/>
  <c r="BC19" i="118" l="1"/>
  <c r="BC18"/>
  <c r="BC17"/>
  <c r="BC16"/>
  <c r="BC15"/>
  <c r="BC14"/>
  <c r="BC13"/>
  <c r="BC12"/>
  <c r="BC11"/>
  <c r="BC10"/>
  <c r="BC9"/>
  <c r="BC8"/>
  <c r="BC7"/>
  <c r="BC6"/>
  <c r="BC5"/>
  <c r="BC4"/>
  <c r="BN282"/>
  <c r="BN284" s="1"/>
  <c r="BN273"/>
  <c r="BN274" s="1"/>
  <c r="BN292" l="1"/>
  <c r="BN293" s="1"/>
  <c r="BN296" s="1"/>
  <c r="BN294"/>
  <c r="BN295" s="1"/>
  <c r="BN297" s="1"/>
  <c r="BN281"/>
  <c r="BN283" s="1"/>
  <c r="BN275"/>
  <c r="BS1" l="1"/>
  <c r="BM1"/>
  <c r="T132" l="1"/>
  <c r="B26" i="116"/>
  <c r="C25" i="118"/>
  <c r="BC24" l="1"/>
  <c r="B199" i="116" l="1"/>
  <c r="B117" i="127" l="1"/>
  <c r="B116"/>
  <c r="B111"/>
  <c r="B110"/>
  <c r="B109"/>
  <c r="B108"/>
  <c r="B35"/>
  <c r="AA113"/>
  <c r="Y113"/>
  <c r="I113"/>
  <c r="E115" s="1"/>
  <c r="B112"/>
  <c r="D107"/>
  <c r="B107"/>
  <c r="D106"/>
  <c r="B106"/>
  <c r="B105"/>
  <c r="BD103"/>
  <c r="BC103"/>
  <c r="BD102"/>
  <c r="BB102"/>
  <c r="E101"/>
  <c r="B99"/>
  <c r="B98"/>
  <c r="B97"/>
  <c r="B96"/>
  <c r="B95"/>
  <c r="B94"/>
  <c r="BD90"/>
  <c r="BC90"/>
  <c r="BB90"/>
  <c r="AZ90"/>
  <c r="AY90"/>
  <c r="AX90"/>
  <c r="AW90"/>
  <c r="B89"/>
  <c r="B88"/>
  <c r="B87"/>
  <c r="B86"/>
  <c r="B85"/>
  <c r="B84"/>
  <c r="B83"/>
  <c r="B82"/>
  <c r="B81"/>
  <c r="B80"/>
  <c r="B79"/>
  <c r="B78"/>
  <c r="B77"/>
  <c r="B76"/>
  <c r="B75"/>
  <c r="B74"/>
  <c r="B73"/>
  <c r="B72"/>
  <c r="B71"/>
  <c r="B70"/>
  <c r="B69"/>
  <c r="B68"/>
  <c r="B67"/>
  <c r="B66"/>
  <c r="B65"/>
  <c r="B64"/>
  <c r="B63"/>
  <c r="BD59"/>
  <c r="BC59"/>
  <c r="AZ59"/>
  <c r="AY59"/>
  <c r="AX59"/>
  <c r="AW59"/>
  <c r="B58"/>
  <c r="B53"/>
  <c r="B52"/>
  <c r="B51"/>
  <c r="B50"/>
  <c r="B49"/>
  <c r="B48"/>
  <c r="B47"/>
  <c r="B46"/>
  <c r="B45"/>
  <c r="B44"/>
  <c r="B43"/>
  <c r="BD39"/>
  <c r="BC41" s="1"/>
  <c r="AZ39"/>
  <c r="AY39"/>
  <c r="AX39"/>
  <c r="AW39"/>
  <c r="BD38"/>
  <c r="BC38"/>
  <c r="BB38"/>
  <c r="AZ38"/>
  <c r="AY38"/>
  <c r="AX38"/>
  <c r="AW38"/>
  <c r="D25"/>
  <c r="BD20"/>
  <c r="AN20"/>
  <c r="Y20"/>
  <c r="V20"/>
  <c r="R20"/>
  <c r="B20"/>
  <c r="BD19"/>
  <c r="AN19"/>
  <c r="Y19"/>
  <c r="V19"/>
  <c r="R19"/>
  <c r="B18"/>
  <c r="B196" i="116"/>
  <c r="I83" i="126"/>
  <c r="E85" s="1"/>
  <c r="AA83"/>
  <c r="Y83"/>
  <c r="B82"/>
  <c r="I49" i="125"/>
  <c r="AA191" i="116"/>
  <c r="J191"/>
  <c r="Y191"/>
  <c r="B42"/>
  <c r="BB92" i="127" l="1"/>
  <c r="E103"/>
  <c r="B61"/>
  <c r="S39"/>
  <c r="S59"/>
  <c r="BB59" s="1"/>
  <c r="E59" s="1"/>
  <c r="B60"/>
  <c r="B59"/>
  <c r="B62"/>
  <c r="E191" i="116"/>
  <c r="BB61" i="127"/>
  <c r="E20"/>
  <c r="E19"/>
  <c r="E90"/>
  <c r="BD92"/>
  <c r="BC61"/>
  <c r="E102"/>
  <c r="D113"/>
  <c r="BC92"/>
  <c r="E113"/>
  <c r="E114"/>
  <c r="E83" i="126"/>
  <c r="D83"/>
  <c r="E84"/>
  <c r="B160" i="116"/>
  <c r="B159"/>
  <c r="B158"/>
  <c r="B157"/>
  <c r="B156"/>
  <c r="B155"/>
  <c r="B154"/>
  <c r="B153"/>
  <c r="B152"/>
  <c r="B151"/>
  <c r="B150"/>
  <c r="B149"/>
  <c r="B148"/>
  <c r="B147"/>
  <c r="B146"/>
  <c r="B145"/>
  <c r="B144"/>
  <c r="B143"/>
  <c r="B142"/>
  <c r="B141"/>
  <c r="B140"/>
  <c r="B139"/>
  <c r="B138"/>
  <c r="B137"/>
  <c r="B136"/>
  <c r="B135"/>
  <c r="B134"/>
  <c r="BD61" i="127" l="1"/>
  <c r="E61" s="1"/>
  <c r="E92"/>
  <c r="D270" i="118"/>
  <c r="C270" s="1"/>
  <c r="E189" i="116" l="1"/>
  <c r="E111" i="127"/>
  <c r="D223" i="116" l="1"/>
  <c r="D73" i="123"/>
  <c r="B50"/>
  <c r="B91" l="1"/>
  <c r="D90"/>
  <c r="B90"/>
  <c r="B241" i="116"/>
  <c r="B240"/>
  <c r="D240"/>
  <c r="O322" i="118"/>
  <c r="D322" s="1"/>
  <c r="C322" s="1"/>
  <c r="E240" i="116" s="1"/>
  <c r="E90" i="123" l="1"/>
  <c r="B41" l="1"/>
  <c r="BD43"/>
  <c r="BC43"/>
  <c r="BB43"/>
  <c r="AZ43"/>
  <c r="AY43"/>
  <c r="AX43"/>
  <c r="AW43"/>
  <c r="B42"/>
  <c r="BB45" l="1"/>
  <c r="B37"/>
  <c r="B38"/>
  <c r="B40"/>
  <c r="S37"/>
  <c r="B39"/>
  <c r="S17"/>
  <c r="E43"/>
  <c r="BC45"/>
  <c r="BD45"/>
  <c r="FT273" i="118"/>
  <c r="FG268"/>
  <c r="DW268"/>
  <c r="CM268"/>
  <c r="E45" i="123" l="1"/>
  <c r="J132" i="118"/>
  <c r="BD24"/>
  <c r="BD23"/>
  <c r="D81" i="126" l="1"/>
  <c r="B81"/>
  <c r="D80"/>
  <c r="B80"/>
  <c r="B79"/>
  <c r="B63"/>
  <c r="B62"/>
  <c r="B61"/>
  <c r="B60"/>
  <c r="B59"/>
  <c r="B58"/>
  <c r="B57"/>
  <c r="B56"/>
  <c r="B55"/>
  <c r="B54"/>
  <c r="B53"/>
  <c r="B52"/>
  <c r="B51"/>
  <c r="B50"/>
  <c r="B49"/>
  <c r="B48"/>
  <c r="B47"/>
  <c r="B46"/>
  <c r="B45"/>
  <c r="B44"/>
  <c r="B43"/>
  <c r="B42"/>
  <c r="B41"/>
  <c r="B40"/>
  <c r="B39"/>
  <c r="B32"/>
  <c r="B27"/>
  <c r="B26"/>
  <c r="B25"/>
  <c r="B24"/>
  <c r="B23"/>
  <c r="B22"/>
  <c r="B21"/>
  <c r="B20"/>
  <c r="B19"/>
  <c r="B18"/>
  <c r="B17"/>
  <c r="D58" i="123"/>
  <c r="B58"/>
  <c r="D57"/>
  <c r="B57"/>
  <c r="B56"/>
  <c r="B36"/>
  <c r="B47"/>
  <c r="B25"/>
  <c r="B21"/>
  <c r="B31"/>
  <c r="B30"/>
  <c r="B29"/>
  <c r="B28"/>
  <c r="B27"/>
  <c r="B26"/>
  <c r="B24"/>
  <c r="B23"/>
  <c r="B22"/>
  <c r="D130" i="118"/>
  <c r="B36" i="116"/>
  <c r="D179"/>
  <c r="B179"/>
  <c r="D178"/>
  <c r="B178"/>
  <c r="B177"/>
  <c r="B70"/>
  <c r="B69"/>
  <c r="B68"/>
  <c r="B67"/>
  <c r="B66"/>
  <c r="B65"/>
  <c r="B64"/>
  <c r="B63"/>
  <c r="B62"/>
  <c r="B61"/>
  <c r="B60"/>
  <c r="B59"/>
  <c r="B58"/>
  <c r="B57"/>
  <c r="B56"/>
  <c r="B55"/>
  <c r="B54"/>
  <c r="B53"/>
  <c r="B52"/>
  <c r="B51"/>
  <c r="B50"/>
  <c r="B49"/>
  <c r="B48"/>
  <c r="B47"/>
  <c r="B46"/>
  <c r="B31"/>
  <c r="B30"/>
  <c r="B29"/>
  <c r="B28"/>
  <c r="B27"/>
  <c r="B25"/>
  <c r="B24"/>
  <c r="B23"/>
  <c r="B22"/>
  <c r="B21"/>
  <c r="N281" i="118"/>
  <c r="P281"/>
  <c r="J275"/>
  <c r="GD282"/>
  <c r="GD284" s="1"/>
  <c r="GC282"/>
  <c r="GC284" s="1"/>
  <c r="GB282"/>
  <c r="GB284" s="1"/>
  <c r="GA282"/>
  <c r="GA284" s="1"/>
  <c r="FZ282"/>
  <c r="FZ284" s="1"/>
  <c r="FY282"/>
  <c r="FY284" s="1"/>
  <c r="FX282"/>
  <c r="FX284" s="1"/>
  <c r="FW282"/>
  <c r="FW284" s="1"/>
  <c r="FV282"/>
  <c r="FV284" s="1"/>
  <c r="FU282"/>
  <c r="FU284" s="1"/>
  <c r="FT282"/>
  <c r="FT284" s="1"/>
  <c r="FS282"/>
  <c r="FS284" s="1"/>
  <c r="FR282"/>
  <c r="FR284" s="1"/>
  <c r="FQ282"/>
  <c r="FQ284" s="1"/>
  <c r="FP282"/>
  <c r="FP284" s="1"/>
  <c r="FO282"/>
  <c r="FO284" s="1"/>
  <c r="FN282"/>
  <c r="FN284" s="1"/>
  <c r="FM282"/>
  <c r="FM284" s="1"/>
  <c r="FL282"/>
  <c r="FL284" s="1"/>
  <c r="FK282"/>
  <c r="FK284" s="1"/>
  <c r="FJ282"/>
  <c r="FJ284" s="1"/>
  <c r="FI282"/>
  <c r="FI284" s="1"/>
  <c r="FH282"/>
  <c r="FH284" s="1"/>
  <c r="FG282"/>
  <c r="FG284" s="1"/>
  <c r="FF282"/>
  <c r="FF284" s="1"/>
  <c r="GD273"/>
  <c r="GD274" s="1"/>
  <c r="GC273"/>
  <c r="GC274" s="1"/>
  <c r="GB273"/>
  <c r="GB274" s="1"/>
  <c r="GB275" s="1"/>
  <c r="GA273"/>
  <c r="GA274" s="1"/>
  <c r="FZ273"/>
  <c r="FZ274" s="1"/>
  <c r="FY273"/>
  <c r="FY274" s="1"/>
  <c r="FX273"/>
  <c r="FX274" s="1"/>
  <c r="FW273"/>
  <c r="FW274" s="1"/>
  <c r="FV273"/>
  <c r="FV274" s="1"/>
  <c r="FU273"/>
  <c r="FU274" s="1"/>
  <c r="FT274"/>
  <c r="FS273"/>
  <c r="FS274" s="1"/>
  <c r="FR273"/>
  <c r="FR274" s="1"/>
  <c r="FQ273"/>
  <c r="FQ274" s="1"/>
  <c r="FP273"/>
  <c r="FP274" s="1"/>
  <c r="FO273"/>
  <c r="FO274" s="1"/>
  <c r="FN273"/>
  <c r="FN274" s="1"/>
  <c r="FM273"/>
  <c r="FM274" s="1"/>
  <c r="FL273"/>
  <c r="FL274" s="1"/>
  <c r="FK273"/>
  <c r="FK274" s="1"/>
  <c r="FJ273"/>
  <c r="FJ274" s="1"/>
  <c r="FI273"/>
  <c r="FI274" s="1"/>
  <c r="FH273"/>
  <c r="FH274" s="1"/>
  <c r="FG273"/>
  <c r="FG274" s="1"/>
  <c r="FF273"/>
  <c r="FF274" s="1"/>
  <c r="L281"/>
  <c r="FI281" l="1"/>
  <c r="FI283" s="1"/>
  <c r="FI292"/>
  <c r="FI293" s="1"/>
  <c r="FI296" s="1"/>
  <c r="FI294"/>
  <c r="FI295" s="1"/>
  <c r="FI297" s="1"/>
  <c r="FQ281"/>
  <c r="FQ283" s="1"/>
  <c r="FQ292"/>
  <c r="FQ293" s="1"/>
  <c r="FQ296" s="1"/>
  <c r="FQ294"/>
  <c r="FQ295" s="1"/>
  <c r="FQ297" s="1"/>
  <c r="FF281"/>
  <c r="FF283" s="1"/>
  <c r="FF294"/>
  <c r="FF295" s="1"/>
  <c r="FF297" s="1"/>
  <c r="FF292"/>
  <c r="FF293" s="1"/>
  <c r="FF296" s="1"/>
  <c r="FN294"/>
  <c r="FN295" s="1"/>
  <c r="FN297" s="1"/>
  <c r="FN292"/>
  <c r="FN293" s="1"/>
  <c r="FN296" s="1"/>
  <c r="FV281"/>
  <c r="FV283" s="1"/>
  <c r="FV294"/>
  <c r="FV295" s="1"/>
  <c r="FV297" s="1"/>
  <c r="FV292"/>
  <c r="FV293" s="1"/>
  <c r="FV296" s="1"/>
  <c r="FG292"/>
  <c r="FG293" s="1"/>
  <c r="FG296" s="1"/>
  <c r="FG294"/>
  <c r="FG295" s="1"/>
  <c r="FG297" s="1"/>
  <c r="FK281"/>
  <c r="FK283" s="1"/>
  <c r="FK294"/>
  <c r="FK295" s="1"/>
  <c r="FK297" s="1"/>
  <c r="FK292"/>
  <c r="FK293" s="1"/>
  <c r="FK296" s="1"/>
  <c r="FO281"/>
  <c r="FO283" s="1"/>
  <c r="FO294"/>
  <c r="FO295" s="1"/>
  <c r="FO297" s="1"/>
  <c r="FO292"/>
  <c r="FO293" s="1"/>
  <c r="FO296" s="1"/>
  <c r="FS294"/>
  <c r="FS295" s="1"/>
  <c r="FS297" s="1"/>
  <c r="FS292"/>
  <c r="FS293" s="1"/>
  <c r="FS296" s="1"/>
  <c r="FW294"/>
  <c r="FW295" s="1"/>
  <c r="FW297" s="1"/>
  <c r="FW292"/>
  <c r="FW293" s="1"/>
  <c r="FW296" s="1"/>
  <c r="FM281"/>
  <c r="FM283" s="1"/>
  <c r="FM292"/>
  <c r="FM293" s="1"/>
  <c r="FM296" s="1"/>
  <c r="FM294"/>
  <c r="FM295" s="1"/>
  <c r="FM297" s="1"/>
  <c r="FU292"/>
  <c r="FU293" s="1"/>
  <c r="FU296" s="1"/>
  <c r="FU294"/>
  <c r="FU295" s="1"/>
  <c r="FU297" s="1"/>
  <c r="FJ294"/>
  <c r="FJ295" s="1"/>
  <c r="FJ297" s="1"/>
  <c r="FJ292"/>
  <c r="FJ293" s="1"/>
  <c r="FJ296" s="1"/>
  <c r="FR294"/>
  <c r="FR295" s="1"/>
  <c r="FR297" s="1"/>
  <c r="FR292"/>
  <c r="FR293" s="1"/>
  <c r="FR296" s="1"/>
  <c r="FH292"/>
  <c r="FH293" s="1"/>
  <c r="FH296" s="1"/>
  <c r="FH294"/>
  <c r="FH295" s="1"/>
  <c r="FH297" s="1"/>
  <c r="FL292"/>
  <c r="FL293" s="1"/>
  <c r="FL296" s="1"/>
  <c r="FL294"/>
  <c r="FL295" s="1"/>
  <c r="FL297" s="1"/>
  <c r="FP275"/>
  <c r="FP292"/>
  <c r="FP293" s="1"/>
  <c r="FP296" s="1"/>
  <c r="FP294"/>
  <c r="FP295" s="1"/>
  <c r="FP297" s="1"/>
  <c r="FT275"/>
  <c r="FT292"/>
  <c r="FT293" s="1"/>
  <c r="FT296" s="1"/>
  <c r="FT294"/>
  <c r="FT295" s="1"/>
  <c r="FT297" s="1"/>
  <c r="FX294"/>
  <c r="FX295" s="1"/>
  <c r="FX297" s="1"/>
  <c r="FX292"/>
  <c r="FX293" s="1"/>
  <c r="FX296" s="1"/>
  <c r="GD294"/>
  <c r="GD295" s="1"/>
  <c r="GD297" s="1"/>
  <c r="GD292"/>
  <c r="GD293" s="1"/>
  <c r="GD296" s="1"/>
  <c r="GC281"/>
  <c r="GC283" s="1"/>
  <c r="GC292"/>
  <c r="GC293" s="1"/>
  <c r="GC296" s="1"/>
  <c r="GC294"/>
  <c r="GC295" s="1"/>
  <c r="GC297" s="1"/>
  <c r="GA281"/>
  <c r="GA283" s="1"/>
  <c r="GA294"/>
  <c r="GA295" s="1"/>
  <c r="GA297" s="1"/>
  <c r="GA292"/>
  <c r="GA293" s="1"/>
  <c r="GA296" s="1"/>
  <c r="FZ294"/>
  <c r="FZ295" s="1"/>
  <c r="FZ297" s="1"/>
  <c r="FZ292"/>
  <c r="FZ293" s="1"/>
  <c r="FZ296" s="1"/>
  <c r="FY281"/>
  <c r="FY283" s="1"/>
  <c r="FY292"/>
  <c r="FY293" s="1"/>
  <c r="FY296" s="1"/>
  <c r="FY294"/>
  <c r="FY295" s="1"/>
  <c r="FY297" s="1"/>
  <c r="FU281"/>
  <c r="FU283" s="1"/>
  <c r="FU275"/>
  <c r="FQ275"/>
  <c r="GC275"/>
  <c r="H275"/>
  <c r="T281"/>
  <c r="FL275"/>
  <c r="FL281"/>
  <c r="FL283" s="1"/>
  <c r="FM275"/>
  <c r="GB281"/>
  <c r="GB283" s="1"/>
  <c r="FP281"/>
  <c r="FP283" s="1"/>
  <c r="T276"/>
  <c r="FN281"/>
  <c r="FN283" s="1"/>
  <c r="FN275"/>
  <c r="FR281"/>
  <c r="FR283" s="1"/>
  <c r="FR275"/>
  <c r="GD281"/>
  <c r="GD283" s="1"/>
  <c r="GD275"/>
  <c r="FG281"/>
  <c r="FG283" s="1"/>
  <c r="FG275"/>
  <c r="FS281"/>
  <c r="FS283" s="1"/>
  <c r="FS275"/>
  <c r="FH275"/>
  <c r="FH281"/>
  <c r="FH283" s="1"/>
  <c r="FX275"/>
  <c r="FX281"/>
  <c r="FX283" s="1"/>
  <c r="FJ281"/>
  <c r="FJ283" s="1"/>
  <c r="FJ275"/>
  <c r="FZ281"/>
  <c r="FZ283" s="1"/>
  <c r="FZ275"/>
  <c r="FW281"/>
  <c r="FW283" s="1"/>
  <c r="FW275"/>
  <c r="FI275"/>
  <c r="FY275"/>
  <c r="FT281"/>
  <c r="FT283" s="1"/>
  <c r="FF275"/>
  <c r="FV275"/>
  <c r="FK275"/>
  <c r="FO275"/>
  <c r="GA275"/>
  <c r="B17" i="124"/>
  <c r="B20"/>
  <c r="B21"/>
  <c r="B22"/>
  <c r="E10"/>
  <c r="B37" i="126" l="1"/>
  <c r="I29" i="124" l="1"/>
  <c r="I26"/>
  <c r="I31"/>
  <c r="I30"/>
  <c r="I28"/>
  <c r="I27"/>
  <c r="I25"/>
  <c r="I24"/>
  <c r="M29" l="1"/>
  <c r="K26"/>
  <c r="M26"/>
  <c r="K29"/>
  <c r="BD76" i="126"/>
  <c r="BB76"/>
  <c r="E75"/>
  <c r="E43" i="116"/>
  <c r="B186"/>
  <c r="B187"/>
  <c r="B188"/>
  <c r="B189"/>
  <c r="B194"/>
  <c r="B195"/>
  <c r="BD77" i="126"/>
  <c r="BC77"/>
  <c r="B73"/>
  <c r="B72"/>
  <c r="B71"/>
  <c r="B70"/>
  <c r="B69"/>
  <c r="B68"/>
  <c r="BD64"/>
  <c r="BC66" s="1"/>
  <c r="BC64"/>
  <c r="BB64"/>
  <c r="AZ64"/>
  <c r="AY64"/>
  <c r="AX64"/>
  <c r="AW64"/>
  <c r="B38"/>
  <c r="BD33"/>
  <c r="BC35" s="1"/>
  <c r="BC33"/>
  <c r="AZ33"/>
  <c r="AY33"/>
  <c r="AX33"/>
  <c r="AW33"/>
  <c r="BD13"/>
  <c r="BC15" s="1"/>
  <c r="AZ13"/>
  <c r="AY13"/>
  <c r="AX13"/>
  <c r="AW13"/>
  <c r="BD12"/>
  <c r="BB12"/>
  <c r="AZ12"/>
  <c r="AY12"/>
  <c r="AX12"/>
  <c r="AW12"/>
  <c r="B33" l="1"/>
  <c r="S33"/>
  <c r="BB33" s="1"/>
  <c r="E33" s="1"/>
  <c r="B36"/>
  <c r="S13"/>
  <c r="B35"/>
  <c r="B34"/>
  <c r="E76"/>
  <c r="BD66"/>
  <c r="E64"/>
  <c r="BB66"/>
  <c r="E77"/>
  <c r="BB35"/>
  <c r="BD35" l="1"/>
  <c r="E35" s="1"/>
  <c r="E66"/>
  <c r="D19" i="125" l="1"/>
  <c r="D17"/>
  <c r="D14"/>
  <c r="D12"/>
  <c r="B32"/>
  <c r="R33"/>
  <c r="V33"/>
  <c r="Y33"/>
  <c r="AN33"/>
  <c r="BD33"/>
  <c r="B34"/>
  <c r="R34"/>
  <c r="V34"/>
  <c r="Y34"/>
  <c r="AN34"/>
  <c r="BD34"/>
  <c r="D39"/>
  <c r="E49"/>
  <c r="E51"/>
  <c r="E50"/>
  <c r="D49"/>
  <c r="E33" l="1"/>
  <c r="E34"/>
  <c r="E193" i="116"/>
  <c r="H137" i="118" l="1"/>
  <c r="B514" i="116" l="1"/>
  <c r="B512"/>
  <c r="D217"/>
  <c r="D216"/>
  <c r="D215"/>
  <c r="D214"/>
  <c r="D213"/>
  <c r="D212"/>
  <c r="D211"/>
  <c r="D210"/>
  <c r="B167"/>
  <c r="B166"/>
  <c r="D67" i="123"/>
  <c r="D66"/>
  <c r="D65"/>
  <c r="D64"/>
  <c r="D63"/>
  <c r="D62"/>
  <c r="D61"/>
  <c r="D60"/>
  <c r="B49"/>
  <c r="B48"/>
  <c r="B364"/>
  <c r="B362"/>
  <c r="C249" i="118" l="1"/>
  <c r="BB44" i="116"/>
  <c r="BD44"/>
  <c r="AV71" i="123"/>
  <c r="AN71"/>
  <c r="D170" i="118"/>
  <c r="D169"/>
  <c r="D162"/>
  <c r="D161"/>
  <c r="D154"/>
  <c r="B16"/>
  <c r="BB23" l="1"/>
  <c r="C88"/>
  <c r="E203" i="116" l="1"/>
  <c r="B200"/>
  <c r="B198"/>
  <c r="E192"/>
  <c r="B39" i="124"/>
  <c r="B38"/>
  <c r="D191" i="116"/>
  <c r="B190"/>
  <c r="BB42" i="118"/>
  <c r="BA42"/>
  <c r="AN221" i="116"/>
  <c r="AV221"/>
  <c r="V300" i="118" l="1"/>
  <c r="V302"/>
  <c r="AU221" i="116"/>
  <c r="AU71" i="123"/>
  <c r="E71" s="1"/>
  <c r="B221" i="116"/>
  <c r="B71" i="123"/>
  <c r="E221" i="116"/>
  <c r="BD37" i="123"/>
  <c r="BC39" s="1"/>
  <c r="BC37"/>
  <c r="AZ37"/>
  <c r="AY37"/>
  <c r="AX37"/>
  <c r="AW37"/>
  <c r="B8" i="118"/>
  <c r="ET282"/>
  <c r="ET284" s="1"/>
  <c r="ES282"/>
  <c r="ES284" s="1"/>
  <c r="ER282"/>
  <c r="ER284" s="1"/>
  <c r="EQ282"/>
  <c r="EQ284" s="1"/>
  <c r="EP282"/>
  <c r="EP284" s="1"/>
  <c r="EO282"/>
  <c r="EO284" s="1"/>
  <c r="EN282"/>
  <c r="EN284" s="1"/>
  <c r="EM282"/>
  <c r="EM284" s="1"/>
  <c r="EL282"/>
  <c r="EL284" s="1"/>
  <c r="EK282"/>
  <c r="EK284" s="1"/>
  <c r="EJ282"/>
  <c r="EJ284" s="1"/>
  <c r="EI282"/>
  <c r="EI284" s="1"/>
  <c r="EH282"/>
  <c r="EH284" s="1"/>
  <c r="EG282"/>
  <c r="EG284" s="1"/>
  <c r="EF282"/>
  <c r="EF284" s="1"/>
  <c r="EE282"/>
  <c r="EE284" s="1"/>
  <c r="ED282"/>
  <c r="ED284" s="1"/>
  <c r="EC282"/>
  <c r="EC284" s="1"/>
  <c r="EB282"/>
  <c r="EA282"/>
  <c r="EA284" s="1"/>
  <c r="DZ282"/>
  <c r="DZ284" s="1"/>
  <c r="DY282"/>
  <c r="DY284" s="1"/>
  <c r="DX282"/>
  <c r="DX284" s="1"/>
  <c r="DW282"/>
  <c r="DW284" s="1"/>
  <c r="DV282"/>
  <c r="DV284" s="1"/>
  <c r="DJ282"/>
  <c r="DI282"/>
  <c r="DI284" s="1"/>
  <c r="DH282"/>
  <c r="DH284" s="1"/>
  <c r="DG282"/>
  <c r="DG284" s="1"/>
  <c r="DF282"/>
  <c r="DF284" s="1"/>
  <c r="DE282"/>
  <c r="DD282"/>
  <c r="DD284" s="1"/>
  <c r="DC282"/>
  <c r="DC284" s="1"/>
  <c r="DB282"/>
  <c r="DB284" s="1"/>
  <c r="DA282"/>
  <c r="DA284" s="1"/>
  <c r="CZ282"/>
  <c r="CZ284" s="1"/>
  <c r="CY282"/>
  <c r="CY284" s="1"/>
  <c r="CX282"/>
  <c r="CX284" s="1"/>
  <c r="CW282"/>
  <c r="CW284" s="1"/>
  <c r="CV282"/>
  <c r="CV284" s="1"/>
  <c r="CU282"/>
  <c r="CU284" s="1"/>
  <c r="CT282"/>
  <c r="CT284" s="1"/>
  <c r="CS282"/>
  <c r="CS284" s="1"/>
  <c r="CR282"/>
  <c r="CR284" s="1"/>
  <c r="CQ282"/>
  <c r="CQ284" s="1"/>
  <c r="CP282"/>
  <c r="CP284" s="1"/>
  <c r="CO282"/>
  <c r="CO284" s="1"/>
  <c r="CN282"/>
  <c r="CN284" s="1"/>
  <c r="CM282"/>
  <c r="CM284" s="1"/>
  <c r="CL282"/>
  <c r="CL284" s="1"/>
  <c r="DE284"/>
  <c r="BZ282"/>
  <c r="BZ284" s="1"/>
  <c r="BY282"/>
  <c r="BY284" s="1"/>
  <c r="BX282"/>
  <c r="BX284" s="1"/>
  <c r="BW282"/>
  <c r="BW284" s="1"/>
  <c r="BV282"/>
  <c r="BV284" s="1"/>
  <c r="BU282"/>
  <c r="BU284" s="1"/>
  <c r="BT282"/>
  <c r="BT284" s="1"/>
  <c r="BS282"/>
  <c r="BS284" s="1"/>
  <c r="BR282"/>
  <c r="BR284" s="1"/>
  <c r="BQ282"/>
  <c r="BQ284" s="1"/>
  <c r="BP282"/>
  <c r="BP284" s="1"/>
  <c r="BO282"/>
  <c r="BO284" s="1"/>
  <c r="BM282"/>
  <c r="BM284" s="1"/>
  <c r="BL282"/>
  <c r="BL284" s="1"/>
  <c r="BK282"/>
  <c r="BK284" s="1"/>
  <c r="BJ282"/>
  <c r="BJ284" s="1"/>
  <c r="BI282"/>
  <c r="BI284" s="1"/>
  <c r="BH282"/>
  <c r="BH284" s="1"/>
  <c r="BG282"/>
  <c r="BG284" s="1"/>
  <c r="BF282"/>
  <c r="BF284" s="1"/>
  <c r="BE282"/>
  <c r="BE284" s="1"/>
  <c r="BD282"/>
  <c r="BD284" s="1"/>
  <c r="BC282"/>
  <c r="BC284" s="1"/>
  <c r="BB282"/>
  <c r="BB284" l="1"/>
  <c r="EB284"/>
  <c r="DJ284"/>
  <c r="BB39" i="123"/>
  <c r="BE38" i="124" l="1"/>
  <c r="BD38"/>
  <c r="BC38"/>
  <c r="BB38"/>
  <c r="BE39"/>
  <c r="BD39"/>
  <c r="BC39"/>
  <c r="BB39"/>
  <c r="BD37" i="116"/>
  <c r="BC39" s="1"/>
  <c r="AZ37"/>
  <c r="AY37"/>
  <c r="AX37"/>
  <c r="AW37"/>
  <c r="BC37"/>
  <c r="D143" i="118"/>
  <c r="E38" i="124" l="1"/>
  <c r="E39"/>
  <c r="E40"/>
  <c r="BB39" i="116"/>
  <c r="B165"/>
  <c r="B168"/>
  <c r="E11" i="124" l="1"/>
  <c r="BA40" i="118" l="1"/>
  <c r="BA300"/>
  <c r="D285"/>
  <c r="C285" s="1"/>
  <c r="E31" i="126" l="1"/>
  <c r="E57" i="127"/>
  <c r="B54"/>
  <c r="B57"/>
  <c r="B55"/>
  <c r="B56"/>
  <c r="B28" i="126"/>
  <c r="B29"/>
  <c r="B31"/>
  <c r="B30"/>
  <c r="B32" i="123"/>
  <c r="B34"/>
  <c r="B33"/>
  <c r="B35"/>
  <c r="B209" i="116"/>
  <c r="B34"/>
  <c r="B35"/>
  <c r="B32"/>
  <c r="B33"/>
  <c r="BA25" i="118"/>
  <c r="E35" i="123"/>
  <c r="E35" i="116"/>
  <c r="B59" i="123"/>
  <c r="D305" i="118"/>
  <c r="T309"/>
  <c r="T313"/>
  <c r="D313" s="1"/>
  <c r="C313" s="1"/>
  <c r="T319"/>
  <c r="T307"/>
  <c r="T310"/>
  <c r="T315"/>
  <c r="D315" s="1"/>
  <c r="C315" s="1"/>
  <c r="T320"/>
  <c r="T311"/>
  <c r="T317"/>
  <c r="T308"/>
  <c r="T312"/>
  <c r="T318"/>
  <c r="ET273"/>
  <c r="ET274" s="1"/>
  <c r="ES273"/>
  <c r="ES274" s="1"/>
  <c r="ER273"/>
  <c r="ER274" s="1"/>
  <c r="EQ273"/>
  <c r="EQ274" s="1"/>
  <c r="EP273"/>
  <c r="EP274" s="1"/>
  <c r="EO273"/>
  <c r="EO274" s="1"/>
  <c r="EN273"/>
  <c r="EN274" s="1"/>
  <c r="EM273"/>
  <c r="EM274" s="1"/>
  <c r="EL273"/>
  <c r="EL274" s="1"/>
  <c r="EK273"/>
  <c r="EK274" s="1"/>
  <c r="EJ273"/>
  <c r="EJ274" s="1"/>
  <c r="EI273"/>
  <c r="EI274" s="1"/>
  <c r="EH273"/>
  <c r="EH274" s="1"/>
  <c r="EG273"/>
  <c r="EG274" s="1"/>
  <c r="EF273"/>
  <c r="EF274" s="1"/>
  <c r="EE273"/>
  <c r="EE274" s="1"/>
  <c r="ED273"/>
  <c r="ED274" s="1"/>
  <c r="EC273"/>
  <c r="EC274" s="1"/>
  <c r="EB273"/>
  <c r="EB274" s="1"/>
  <c r="EA273"/>
  <c r="EA274" s="1"/>
  <c r="DZ273"/>
  <c r="DZ274" s="1"/>
  <c r="DY273"/>
  <c r="DY274" s="1"/>
  <c r="DX273"/>
  <c r="DX274" s="1"/>
  <c r="DW273"/>
  <c r="DW274" s="1"/>
  <c r="DV273"/>
  <c r="DV274" s="1"/>
  <c r="DJ273"/>
  <c r="DJ274" s="1"/>
  <c r="DI273"/>
  <c r="DI274" s="1"/>
  <c r="DH273"/>
  <c r="DH274" s="1"/>
  <c r="DG273"/>
  <c r="DG274" s="1"/>
  <c r="DF273"/>
  <c r="DF274" s="1"/>
  <c r="DE273"/>
  <c r="DE274" s="1"/>
  <c r="DD273"/>
  <c r="DD274" s="1"/>
  <c r="DC273"/>
  <c r="DC274" s="1"/>
  <c r="DB273"/>
  <c r="DB274" s="1"/>
  <c r="DA273"/>
  <c r="DA274" s="1"/>
  <c r="CZ273"/>
  <c r="CZ274" s="1"/>
  <c r="CY273"/>
  <c r="CY274" s="1"/>
  <c r="CX273"/>
  <c r="CX274" s="1"/>
  <c r="CW273"/>
  <c r="CW274" s="1"/>
  <c r="CV273"/>
  <c r="CV274" s="1"/>
  <c r="CU273"/>
  <c r="CU274" s="1"/>
  <c r="CT273"/>
  <c r="CT274" s="1"/>
  <c r="CS273"/>
  <c r="CS274" s="1"/>
  <c r="CR273"/>
  <c r="CR274" s="1"/>
  <c r="CQ273"/>
  <c r="CQ274" s="1"/>
  <c r="CP273"/>
  <c r="CP274" s="1"/>
  <c r="CO273"/>
  <c r="CO274" s="1"/>
  <c r="CN273"/>
  <c r="CN274" s="1"/>
  <c r="CM273"/>
  <c r="CM274" s="1"/>
  <c r="CL273"/>
  <c r="CL274" s="1"/>
  <c r="BM273"/>
  <c r="BM274" s="1"/>
  <c r="BZ273"/>
  <c r="BY273"/>
  <c r="BX273"/>
  <c r="BW273"/>
  <c r="BU273"/>
  <c r="BT273"/>
  <c r="BT274" s="1"/>
  <c r="BS273"/>
  <c r="BS274" s="1"/>
  <c r="BR273"/>
  <c r="BR274" s="1"/>
  <c r="BQ274"/>
  <c r="BP273"/>
  <c r="BP274" s="1"/>
  <c r="BO273"/>
  <c r="BO274" s="1"/>
  <c r="BL273"/>
  <c r="BL274" s="1"/>
  <c r="BK273"/>
  <c r="BK274" s="1"/>
  <c r="BJ273"/>
  <c r="BJ274" s="1"/>
  <c r="BI273"/>
  <c r="BI274" s="1"/>
  <c r="BH273"/>
  <c r="BH274" s="1"/>
  <c r="BG273"/>
  <c r="BG274" s="1"/>
  <c r="BF273"/>
  <c r="BF274" s="1"/>
  <c r="BE273"/>
  <c r="BE274" s="1"/>
  <c r="BD273"/>
  <c r="BD274" s="1"/>
  <c r="BC273"/>
  <c r="BC274" s="1"/>
  <c r="BB273"/>
  <c r="BB274" s="1"/>
  <c r="BG292" l="1"/>
  <c r="BG293" s="1"/>
  <c r="BG296" s="1"/>
  <c r="BG294"/>
  <c r="BG295" s="1"/>
  <c r="BG297" s="1"/>
  <c r="CN292"/>
  <c r="CN293" s="1"/>
  <c r="CN296" s="1"/>
  <c r="CN294"/>
  <c r="CN295" s="1"/>
  <c r="CN297" s="1"/>
  <c r="CV294"/>
  <c r="CV295" s="1"/>
  <c r="CV297" s="1"/>
  <c r="CV292"/>
  <c r="CV293" s="1"/>
  <c r="CV296" s="1"/>
  <c r="DW292"/>
  <c r="DW293" s="1"/>
  <c r="DW296" s="1"/>
  <c r="DW294"/>
  <c r="DW295" s="1"/>
  <c r="DW297" s="1"/>
  <c r="EE292"/>
  <c r="EE293" s="1"/>
  <c r="EE296" s="1"/>
  <c r="EE294"/>
  <c r="EE295" s="1"/>
  <c r="EE297" s="1"/>
  <c r="BD292"/>
  <c r="BD293" s="1"/>
  <c r="BD296" s="1"/>
  <c r="BD294"/>
  <c r="BD295" s="1"/>
  <c r="BD297" s="1"/>
  <c r="BL294"/>
  <c r="BL295" s="1"/>
  <c r="BL297" s="1"/>
  <c r="BL292"/>
  <c r="BL293" s="1"/>
  <c r="BL296" s="1"/>
  <c r="BM292"/>
  <c r="BM293" s="1"/>
  <c r="BM296" s="1"/>
  <c r="BM294"/>
  <c r="BM295" s="1"/>
  <c r="BM297" s="1"/>
  <c r="CS294"/>
  <c r="CS295" s="1"/>
  <c r="CS297" s="1"/>
  <c r="CS292"/>
  <c r="CS293" s="1"/>
  <c r="CS296" s="1"/>
  <c r="EB292"/>
  <c r="EB293" s="1"/>
  <c r="EB296" s="1"/>
  <c r="EB294"/>
  <c r="EB295" s="1"/>
  <c r="EB297" s="1"/>
  <c r="EJ294"/>
  <c r="EJ295" s="1"/>
  <c r="EJ297" s="1"/>
  <c r="EJ292"/>
  <c r="EJ293" s="1"/>
  <c r="EJ296" s="1"/>
  <c r="BE294"/>
  <c r="BE295" s="1"/>
  <c r="BE297" s="1"/>
  <c r="BE292"/>
  <c r="BE293" s="1"/>
  <c r="BE296" s="1"/>
  <c r="BO292"/>
  <c r="BO293" s="1"/>
  <c r="BO296" s="1"/>
  <c r="BO294"/>
  <c r="BO295" s="1"/>
  <c r="BO297" s="1"/>
  <c r="CP294"/>
  <c r="CP295" s="1"/>
  <c r="CP297" s="1"/>
  <c r="CP292"/>
  <c r="CP293" s="1"/>
  <c r="CP296" s="1"/>
  <c r="CX294"/>
  <c r="CX295" s="1"/>
  <c r="CX297" s="1"/>
  <c r="CX292"/>
  <c r="CX293" s="1"/>
  <c r="CX296" s="1"/>
  <c r="DY292"/>
  <c r="DY293" s="1"/>
  <c r="DY296" s="1"/>
  <c r="DY294"/>
  <c r="DY295" s="1"/>
  <c r="DY297" s="1"/>
  <c r="EG292"/>
  <c r="EG293" s="1"/>
  <c r="EG296" s="1"/>
  <c r="EG294"/>
  <c r="EG295" s="1"/>
  <c r="EG297" s="1"/>
  <c r="BC294"/>
  <c r="BC295" s="1"/>
  <c r="BC297" s="1"/>
  <c r="BC292"/>
  <c r="BC293" s="1"/>
  <c r="BC296" s="1"/>
  <c r="BK292"/>
  <c r="BK293" s="1"/>
  <c r="BK296" s="1"/>
  <c r="BK294"/>
  <c r="BK295" s="1"/>
  <c r="BK297" s="1"/>
  <c r="BQ281"/>
  <c r="BQ283" s="1"/>
  <c r="BQ292"/>
  <c r="BQ293" s="1"/>
  <c r="BQ296" s="1"/>
  <c r="BQ294"/>
  <c r="BQ295" s="1"/>
  <c r="BQ297" s="1"/>
  <c r="CR294"/>
  <c r="CR295" s="1"/>
  <c r="CR297" s="1"/>
  <c r="CR292"/>
  <c r="CR293" s="1"/>
  <c r="CR296" s="1"/>
  <c r="CZ292"/>
  <c r="CZ293" s="1"/>
  <c r="CZ296" s="1"/>
  <c r="CZ294"/>
  <c r="CZ295" s="1"/>
  <c r="CZ297" s="1"/>
  <c r="EA294"/>
  <c r="EA295" s="1"/>
  <c r="EA297" s="1"/>
  <c r="EA292"/>
  <c r="EA293" s="1"/>
  <c r="EA296" s="1"/>
  <c r="EI294"/>
  <c r="EI295" s="1"/>
  <c r="EI297" s="1"/>
  <c r="EI292"/>
  <c r="EI293" s="1"/>
  <c r="EI296" s="1"/>
  <c r="EM292"/>
  <c r="EM293" s="1"/>
  <c r="EM296" s="1"/>
  <c r="EM294"/>
  <c r="EM295" s="1"/>
  <c r="EM297" s="1"/>
  <c r="BH292"/>
  <c r="BH293" s="1"/>
  <c r="BH296" s="1"/>
  <c r="BH294"/>
  <c r="BH295" s="1"/>
  <c r="BH297" s="1"/>
  <c r="BR294"/>
  <c r="BR295" s="1"/>
  <c r="BR297" s="1"/>
  <c r="BR292"/>
  <c r="BR293" s="1"/>
  <c r="BR296" s="1"/>
  <c r="CO294"/>
  <c r="CO295" s="1"/>
  <c r="CO297" s="1"/>
  <c r="CO292"/>
  <c r="CO293" s="1"/>
  <c r="CO296" s="1"/>
  <c r="CW294"/>
  <c r="CW295" s="1"/>
  <c r="CW297" s="1"/>
  <c r="CW292"/>
  <c r="CW293" s="1"/>
  <c r="CW296" s="1"/>
  <c r="DX292"/>
  <c r="DX293" s="1"/>
  <c r="DX296" s="1"/>
  <c r="DX294"/>
  <c r="DX295" s="1"/>
  <c r="DX297" s="1"/>
  <c r="EF292"/>
  <c r="EF293" s="1"/>
  <c r="EF296" s="1"/>
  <c r="EF294"/>
  <c r="EF295" s="1"/>
  <c r="EF297" s="1"/>
  <c r="EN292"/>
  <c r="EN293" s="1"/>
  <c r="EN296" s="1"/>
  <c r="EN294"/>
  <c r="EN295" s="1"/>
  <c r="EN297" s="1"/>
  <c r="BI292"/>
  <c r="BI293" s="1"/>
  <c r="BI296" s="1"/>
  <c r="BI294"/>
  <c r="BI295" s="1"/>
  <c r="BI297" s="1"/>
  <c r="BS292"/>
  <c r="BS293" s="1"/>
  <c r="BS296" s="1"/>
  <c r="BS294"/>
  <c r="BS295" s="1"/>
  <c r="BS297" s="1"/>
  <c r="CL292"/>
  <c r="CL293" s="1"/>
  <c r="CL296" s="1"/>
  <c r="CL294"/>
  <c r="CL295" s="1"/>
  <c r="CL297" s="1"/>
  <c r="CL275"/>
  <c r="CT294"/>
  <c r="CT295" s="1"/>
  <c r="CT297" s="1"/>
  <c r="CT292"/>
  <c r="CT293" s="1"/>
  <c r="CT296" s="1"/>
  <c r="EC292"/>
  <c r="EC293" s="1"/>
  <c r="EC296" s="1"/>
  <c r="EC294"/>
  <c r="EC295" s="1"/>
  <c r="EC297" s="1"/>
  <c r="EK294"/>
  <c r="EK295" s="1"/>
  <c r="EK297" s="1"/>
  <c r="EK292"/>
  <c r="EK293" s="1"/>
  <c r="EK296" s="1"/>
  <c r="BB292"/>
  <c r="BB293" s="1"/>
  <c r="BB296" s="1"/>
  <c r="BB294"/>
  <c r="BB295" s="1"/>
  <c r="BB297" s="1"/>
  <c r="BF292"/>
  <c r="BF293" s="1"/>
  <c r="BF296" s="1"/>
  <c r="BF294"/>
  <c r="BF295" s="1"/>
  <c r="BF297" s="1"/>
  <c r="BJ292"/>
  <c r="BJ293" s="1"/>
  <c r="BJ296" s="1"/>
  <c r="BJ294"/>
  <c r="BJ295" s="1"/>
  <c r="BJ297" s="1"/>
  <c r="BP292"/>
  <c r="BP293" s="1"/>
  <c r="BP296" s="1"/>
  <c r="BP294"/>
  <c r="BP295" s="1"/>
  <c r="BP297" s="1"/>
  <c r="BT292"/>
  <c r="BT293" s="1"/>
  <c r="BT296" s="1"/>
  <c r="BT294"/>
  <c r="BT295" s="1"/>
  <c r="BT297" s="1"/>
  <c r="CM294"/>
  <c r="CM295" s="1"/>
  <c r="CM297" s="1"/>
  <c r="CM292"/>
  <c r="CM293" s="1"/>
  <c r="CM296" s="1"/>
  <c r="CQ294"/>
  <c r="CQ295" s="1"/>
  <c r="CQ297" s="1"/>
  <c r="CQ292"/>
  <c r="CQ293" s="1"/>
  <c r="CQ296" s="1"/>
  <c r="CU294"/>
  <c r="CU295" s="1"/>
  <c r="CU297" s="1"/>
  <c r="CU292"/>
  <c r="CU293" s="1"/>
  <c r="CU296" s="1"/>
  <c r="CY294"/>
  <c r="CY295" s="1"/>
  <c r="CY297" s="1"/>
  <c r="CY292"/>
  <c r="CY293" s="1"/>
  <c r="CY296" s="1"/>
  <c r="DV294"/>
  <c r="DV295" s="1"/>
  <c r="DV297" s="1"/>
  <c r="DV292"/>
  <c r="DV293" s="1"/>
  <c r="DV296" s="1"/>
  <c r="DZ294"/>
  <c r="DZ295" s="1"/>
  <c r="DZ297" s="1"/>
  <c r="DZ292"/>
  <c r="DZ293" s="1"/>
  <c r="DZ296" s="1"/>
  <c r="ED294"/>
  <c r="ED295" s="1"/>
  <c r="ED297" s="1"/>
  <c r="ED292"/>
  <c r="ED293" s="1"/>
  <c r="ED296" s="1"/>
  <c r="EH294"/>
  <c r="EH295" s="1"/>
  <c r="EH297" s="1"/>
  <c r="EH292"/>
  <c r="EH293" s="1"/>
  <c r="EH296" s="1"/>
  <c r="EL294"/>
  <c r="EL295" s="1"/>
  <c r="EL297" s="1"/>
  <c r="EL292"/>
  <c r="EL293" s="1"/>
  <c r="EL296" s="1"/>
  <c r="ET292"/>
  <c r="ET293" s="1"/>
  <c r="ET296" s="1"/>
  <c r="ET294"/>
  <c r="ET295" s="1"/>
  <c r="ET297" s="1"/>
  <c r="ES292"/>
  <c r="ES293" s="1"/>
  <c r="ES296" s="1"/>
  <c r="ES294"/>
  <c r="ES295" s="1"/>
  <c r="ES297" s="1"/>
  <c r="EQ292"/>
  <c r="EQ293" s="1"/>
  <c r="EQ296" s="1"/>
  <c r="EQ294"/>
  <c r="EQ295" s="1"/>
  <c r="EQ297" s="1"/>
  <c r="EP294"/>
  <c r="EP295" s="1"/>
  <c r="EP297" s="1"/>
  <c r="EP292"/>
  <c r="EP293" s="1"/>
  <c r="EP296" s="1"/>
  <c r="EO292"/>
  <c r="EO293" s="1"/>
  <c r="EO296" s="1"/>
  <c r="EO294"/>
  <c r="EO295" s="1"/>
  <c r="EO297" s="1"/>
  <c r="DJ292"/>
  <c r="DJ293" s="1"/>
  <c r="DJ296" s="1"/>
  <c r="DJ294"/>
  <c r="DJ295" s="1"/>
  <c r="DJ297" s="1"/>
  <c r="DI292"/>
  <c r="DI293" s="1"/>
  <c r="DI296" s="1"/>
  <c r="DI294"/>
  <c r="DI295" s="1"/>
  <c r="DI297" s="1"/>
  <c r="DH292"/>
  <c r="DH293" s="1"/>
  <c r="DH296" s="1"/>
  <c r="DH294"/>
  <c r="DH295" s="1"/>
  <c r="DH297" s="1"/>
  <c r="DG294"/>
  <c r="DG295" s="1"/>
  <c r="DG297" s="1"/>
  <c r="DG292"/>
  <c r="DG293" s="1"/>
  <c r="DG296" s="1"/>
  <c r="DD292"/>
  <c r="DD293" s="1"/>
  <c r="DD296" s="1"/>
  <c r="DD294"/>
  <c r="DD295" s="1"/>
  <c r="DD297" s="1"/>
  <c r="DC294"/>
  <c r="DC295" s="1"/>
  <c r="DC297" s="1"/>
  <c r="DC292"/>
  <c r="DC293" s="1"/>
  <c r="DC296" s="1"/>
  <c r="DB294"/>
  <c r="DB295" s="1"/>
  <c r="DB297" s="1"/>
  <c r="DB292"/>
  <c r="DB293" s="1"/>
  <c r="DB296" s="1"/>
  <c r="DA292"/>
  <c r="DA293" s="1"/>
  <c r="DA296" s="1"/>
  <c r="DA294"/>
  <c r="DA295" s="1"/>
  <c r="DA297" s="1"/>
  <c r="DE292"/>
  <c r="DE293" s="1"/>
  <c r="DE296" s="1"/>
  <c r="DE294"/>
  <c r="DE295" s="1"/>
  <c r="DE297" s="1"/>
  <c r="DF292"/>
  <c r="DF293" s="1"/>
  <c r="DF296" s="1"/>
  <c r="DF294"/>
  <c r="DF295" s="1"/>
  <c r="DF297" s="1"/>
  <c r="BW274"/>
  <c r="BW275" s="1"/>
  <c r="BZ274"/>
  <c r="BY274"/>
  <c r="BY275" s="1"/>
  <c r="BX274"/>
  <c r="BX281" s="1"/>
  <c r="BX283" s="1"/>
  <c r="BV295"/>
  <c r="BV297" s="1"/>
  <c r="BU274"/>
  <c r="BU275" s="1"/>
  <c r="D311"/>
  <c r="C311" s="1"/>
  <c r="D307"/>
  <c r="C307" s="1"/>
  <c r="B19" i="123"/>
  <c r="B20"/>
  <c r="B18"/>
  <c r="U17"/>
  <c r="B17"/>
  <c r="B42" i="127"/>
  <c r="B41"/>
  <c r="B40"/>
  <c r="U39"/>
  <c r="B39"/>
  <c r="B16" i="126"/>
  <c r="B15"/>
  <c r="B14"/>
  <c r="U13"/>
  <c r="B13"/>
  <c r="B19" i="116"/>
  <c r="B20"/>
  <c r="B17"/>
  <c r="B18"/>
  <c r="U17"/>
  <c r="T275" i="118"/>
  <c r="BC12" i="126"/>
  <c r="D319" i="118"/>
  <c r="C319" s="1"/>
  <c r="BI275"/>
  <c r="BI281"/>
  <c r="BI283" s="1"/>
  <c r="CM275"/>
  <c r="CM281"/>
  <c r="CM283" s="1"/>
  <c r="CU275"/>
  <c r="CU281"/>
  <c r="CU283" s="1"/>
  <c r="DC275"/>
  <c r="DC281"/>
  <c r="DC283" s="1"/>
  <c r="DW275"/>
  <c r="DW281"/>
  <c r="DW283" s="1"/>
  <c r="EC275"/>
  <c r="EC281"/>
  <c r="EC283" s="1"/>
  <c r="EK275"/>
  <c r="EK281"/>
  <c r="EK283" s="1"/>
  <c r="EO275"/>
  <c r="EO281"/>
  <c r="EO283" s="1"/>
  <c r="ES275"/>
  <c r="ES281"/>
  <c r="ES283" s="1"/>
  <c r="BC275"/>
  <c r="BC281"/>
  <c r="BC283" s="1"/>
  <c r="BG275"/>
  <c r="BG281"/>
  <c r="BG283" s="1"/>
  <c r="BK275"/>
  <c r="BK281"/>
  <c r="BK283" s="1"/>
  <c r="BT275"/>
  <c r="BT281"/>
  <c r="BT283" s="1"/>
  <c r="CV275"/>
  <c r="CV281"/>
  <c r="CV283" s="1"/>
  <c r="CO275"/>
  <c r="CO281"/>
  <c r="CO283" s="1"/>
  <c r="CS275"/>
  <c r="CS281"/>
  <c r="CS283" s="1"/>
  <c r="CW275"/>
  <c r="CW281"/>
  <c r="CW283" s="1"/>
  <c r="DA275"/>
  <c r="DA281"/>
  <c r="DA283" s="1"/>
  <c r="DE275"/>
  <c r="DE281"/>
  <c r="DE283" s="1"/>
  <c r="DI275"/>
  <c r="DI281"/>
  <c r="DI283" s="1"/>
  <c r="EA275"/>
  <c r="EA281"/>
  <c r="EA283" s="1"/>
  <c r="EE275"/>
  <c r="BK321" s="1"/>
  <c r="BK325" s="1"/>
  <c r="EE281"/>
  <c r="EE283" s="1"/>
  <c r="EM275"/>
  <c r="EM281"/>
  <c r="EM283" s="1"/>
  <c r="EQ275"/>
  <c r="EQ281"/>
  <c r="EQ283" s="1"/>
  <c r="BD275"/>
  <c r="BD281"/>
  <c r="BD283" s="1"/>
  <c r="BH275"/>
  <c r="BH281"/>
  <c r="BH283" s="1"/>
  <c r="BL275"/>
  <c r="BL281"/>
  <c r="BL283" s="1"/>
  <c r="BQ275"/>
  <c r="CL281"/>
  <c r="CL283" s="1"/>
  <c r="CT275"/>
  <c r="CT281"/>
  <c r="CT283" s="1"/>
  <c r="CX275"/>
  <c r="CX281"/>
  <c r="CX283" s="1"/>
  <c r="DB275"/>
  <c r="DB281"/>
  <c r="DB283" s="1"/>
  <c r="DF275"/>
  <c r="DF281"/>
  <c r="DF283" s="1"/>
  <c r="DJ275"/>
  <c r="DJ281"/>
  <c r="DJ283" s="1"/>
  <c r="DX275"/>
  <c r="DX281"/>
  <c r="DX283" s="1"/>
  <c r="EB275"/>
  <c r="EB281"/>
  <c r="EB283" s="1"/>
  <c r="EJ275"/>
  <c r="EJ281"/>
  <c r="EJ283" s="1"/>
  <c r="EN275"/>
  <c r="EN281"/>
  <c r="EN283" s="1"/>
  <c r="ER275"/>
  <c r="ER281"/>
  <c r="ER283" s="1"/>
  <c r="BE275"/>
  <c r="BE281"/>
  <c r="BE283" s="1"/>
  <c r="BR275"/>
  <c r="BR281"/>
  <c r="BR283" s="1"/>
  <c r="CQ275"/>
  <c r="CQ281"/>
  <c r="CQ283" s="1"/>
  <c r="CY275"/>
  <c r="CY281"/>
  <c r="CY283" s="1"/>
  <c r="DG275"/>
  <c r="DG281"/>
  <c r="DG283" s="1"/>
  <c r="DY275"/>
  <c r="BE321" s="1"/>
  <c r="BE325" s="1"/>
  <c r="DY281"/>
  <c r="DY283" s="1"/>
  <c r="EG275"/>
  <c r="EG281"/>
  <c r="EG283" s="1"/>
  <c r="BB275"/>
  <c r="BB281"/>
  <c r="BB283" s="1"/>
  <c r="BF275"/>
  <c r="BF281"/>
  <c r="BF283" s="1"/>
  <c r="BJ275"/>
  <c r="BJ281"/>
  <c r="BJ283" s="1"/>
  <c r="BS275"/>
  <c r="BS281"/>
  <c r="BS283" s="1"/>
  <c r="BM275"/>
  <c r="BM281"/>
  <c r="BM283" s="1"/>
  <c r="CN275"/>
  <c r="CN281"/>
  <c r="CN283" s="1"/>
  <c r="CR275"/>
  <c r="CR281"/>
  <c r="CR283" s="1"/>
  <c r="CZ275"/>
  <c r="CZ281"/>
  <c r="CZ283" s="1"/>
  <c r="DD275"/>
  <c r="DD281"/>
  <c r="DD283" s="1"/>
  <c r="DH275"/>
  <c r="DH281"/>
  <c r="DH283" s="1"/>
  <c r="DV275"/>
  <c r="BB321" s="1"/>
  <c r="DV281"/>
  <c r="DV283" s="1"/>
  <c r="DZ275"/>
  <c r="BF321" s="1"/>
  <c r="BF325" s="1"/>
  <c r="DZ281"/>
  <c r="DZ283" s="1"/>
  <c r="ED275"/>
  <c r="ED281"/>
  <c r="ED283" s="1"/>
  <c r="EH275"/>
  <c r="BN321" s="1"/>
  <c r="BN325" s="1"/>
  <c r="EH281"/>
  <c r="EH283" s="1"/>
  <c r="EL275"/>
  <c r="EL281"/>
  <c r="EL283" s="1"/>
  <c r="EP275"/>
  <c r="BV321" s="1"/>
  <c r="BV325" s="1"/>
  <c r="EP281"/>
  <c r="EP283" s="1"/>
  <c r="ET275"/>
  <c r="BZ321" s="1"/>
  <c r="BZ325" s="1"/>
  <c r="ET281"/>
  <c r="ET283" s="1"/>
  <c r="C305"/>
  <c r="EF275"/>
  <c r="EF281"/>
  <c r="EF283" s="1"/>
  <c r="EI275"/>
  <c r="EI281"/>
  <c r="EI283" s="1"/>
  <c r="BO275"/>
  <c r="BO281"/>
  <c r="BO283" s="1"/>
  <c r="BP275"/>
  <c r="BP281"/>
  <c r="BP283" s="1"/>
  <c r="B216" i="116"/>
  <c r="B66" i="123"/>
  <c r="B212" i="116"/>
  <c r="B210"/>
  <c r="BB37" i="123"/>
  <c r="B62"/>
  <c r="B67"/>
  <c r="B217" i="116"/>
  <c r="B60" i="123"/>
  <c r="E215" i="116"/>
  <c r="E65" i="123"/>
  <c r="E214" i="116"/>
  <c r="E64" i="123"/>
  <c r="CP275" i="118"/>
  <c r="CP281"/>
  <c r="CP283" s="1"/>
  <c r="D309"/>
  <c r="C309" s="1"/>
  <c r="D317"/>
  <c r="C317" s="1"/>
  <c r="BW281" l="1"/>
  <c r="BW283" s="1"/>
  <c r="BB325"/>
  <c r="BB326" s="1"/>
  <c r="BB356"/>
  <c r="BZ342"/>
  <c r="BZ343" s="1"/>
  <c r="BZ351"/>
  <c r="BZ352" s="1"/>
  <c r="BZ349"/>
  <c r="BZ350" s="1"/>
  <c r="BV342"/>
  <c r="BV343" s="1"/>
  <c r="BV351"/>
  <c r="BV352" s="1"/>
  <c r="BV349"/>
  <c r="BV350" s="1"/>
  <c r="BN342"/>
  <c r="BN343" s="1"/>
  <c r="BN351"/>
  <c r="BN352" s="1"/>
  <c r="BN349"/>
  <c r="BN350" s="1"/>
  <c r="BF342"/>
  <c r="BF343" s="1"/>
  <c r="BF351"/>
  <c r="BF352" s="1"/>
  <c r="BF349"/>
  <c r="BF350" s="1"/>
  <c r="BE342"/>
  <c r="BE343" s="1"/>
  <c r="BE349"/>
  <c r="BE350" s="1"/>
  <c r="BE351"/>
  <c r="BE352" s="1"/>
  <c r="BK342"/>
  <c r="BK343" s="1"/>
  <c r="BK349"/>
  <c r="BK350" s="1"/>
  <c r="BK351"/>
  <c r="BK352" s="1"/>
  <c r="BB342"/>
  <c r="BB343" s="1"/>
  <c r="BB351"/>
  <c r="BB352" s="1"/>
  <c r="BB349"/>
  <c r="BB350" s="1"/>
  <c r="BV340"/>
  <c r="BV341" s="1"/>
  <c r="BV335"/>
  <c r="BV338"/>
  <c r="BV339" s="1"/>
  <c r="BV336"/>
  <c r="BF340"/>
  <c r="BF341" s="1"/>
  <c r="BF335"/>
  <c r="BF338"/>
  <c r="BF339" s="1"/>
  <c r="BF336"/>
  <c r="BE340"/>
  <c r="BE341" s="1"/>
  <c r="BE338"/>
  <c r="BE339" s="1"/>
  <c r="BE335"/>
  <c r="BE336"/>
  <c r="BB340"/>
  <c r="BB341" s="1"/>
  <c r="BB335"/>
  <c r="BB336"/>
  <c r="BB338"/>
  <c r="BB339" s="1"/>
  <c r="BK340"/>
  <c r="BK341" s="1"/>
  <c r="BK338"/>
  <c r="BK339" s="1"/>
  <c r="BK335"/>
  <c r="BK336"/>
  <c r="BN340"/>
  <c r="BN341" s="1"/>
  <c r="BN335"/>
  <c r="BN338"/>
  <c r="BN339" s="1"/>
  <c r="BN336"/>
  <c r="AZ336" s="1"/>
  <c r="BZ340"/>
  <c r="BZ341" s="1"/>
  <c r="BZ335"/>
  <c r="BZ336"/>
  <c r="BZ338"/>
  <c r="BZ339" s="1"/>
  <c r="BN327"/>
  <c r="BN328" s="1"/>
  <c r="BN333"/>
  <c r="BN332"/>
  <c r="BN334" s="1"/>
  <c r="BE327"/>
  <c r="BE328" s="1"/>
  <c r="BE333"/>
  <c r="BE332"/>
  <c r="BE334" s="1"/>
  <c r="BB327"/>
  <c r="BB328" s="1"/>
  <c r="BB333"/>
  <c r="BB332"/>
  <c r="BB334" s="1"/>
  <c r="BV327"/>
  <c r="BV328" s="1"/>
  <c r="BV333"/>
  <c r="BV332"/>
  <c r="BV334" s="1"/>
  <c r="BF327"/>
  <c r="BF328" s="1"/>
  <c r="BF333"/>
  <c r="BF332"/>
  <c r="BF334" s="1"/>
  <c r="BZ327"/>
  <c r="BZ328" s="1"/>
  <c r="BZ333"/>
  <c r="BZ332"/>
  <c r="BZ334" s="1"/>
  <c r="BK327"/>
  <c r="BK328" s="1"/>
  <c r="BK333"/>
  <c r="BK332"/>
  <c r="BK334" s="1"/>
  <c r="BV330"/>
  <c r="BV329"/>
  <c r="BV331" s="1"/>
  <c r="BZ330"/>
  <c r="BZ329"/>
  <c r="BZ331" s="1"/>
  <c r="BK330"/>
  <c r="BK329"/>
  <c r="BK331" s="1"/>
  <c r="BN330"/>
  <c r="AZ330" s="1"/>
  <c r="BN329"/>
  <c r="BN331" s="1"/>
  <c r="BF330"/>
  <c r="BF329"/>
  <c r="BF331" s="1"/>
  <c r="BE330"/>
  <c r="BE329"/>
  <c r="BE331" s="1"/>
  <c r="BB330"/>
  <c r="BB329"/>
  <c r="BB331" s="1"/>
  <c r="BN347"/>
  <c r="BN346"/>
  <c r="BN348" s="1"/>
  <c r="BZ347"/>
  <c r="BZ346"/>
  <c r="BZ348" s="1"/>
  <c r="BK347"/>
  <c r="BK346"/>
  <c r="BK348" s="1"/>
  <c r="BV347"/>
  <c r="BV346"/>
  <c r="BV348" s="1"/>
  <c r="BF347"/>
  <c r="BF346"/>
  <c r="BF348" s="1"/>
  <c r="BE347"/>
  <c r="BE346"/>
  <c r="BE348" s="1"/>
  <c r="BB346"/>
  <c r="BB348" s="1"/>
  <c r="BB354"/>
  <c r="BB347"/>
  <c r="BB353"/>
  <c r="BY281"/>
  <c r="BY283" s="1"/>
  <c r="BU292"/>
  <c r="BU293" s="1"/>
  <c r="BU296" s="1"/>
  <c r="BU294"/>
  <c r="BU295" s="1"/>
  <c r="BU297" s="1"/>
  <c r="BX292"/>
  <c r="BX293" s="1"/>
  <c r="BX296" s="1"/>
  <c r="BX294"/>
  <c r="BX295" s="1"/>
  <c r="BX297" s="1"/>
  <c r="BZ275"/>
  <c r="BZ294"/>
  <c r="BZ295" s="1"/>
  <c r="BZ297" s="1"/>
  <c r="BY292"/>
  <c r="BY293" s="1"/>
  <c r="BY296" s="1"/>
  <c r="BY294"/>
  <c r="BY295" s="1"/>
  <c r="BY297" s="1"/>
  <c r="BW292"/>
  <c r="BW293" s="1"/>
  <c r="BW296" s="1"/>
  <c r="BW294"/>
  <c r="BW295" s="1"/>
  <c r="BW297" s="1"/>
  <c r="BV353"/>
  <c r="BV356"/>
  <c r="BV357" s="1"/>
  <c r="BV354"/>
  <c r="BE326"/>
  <c r="BZ326"/>
  <c r="BZ353"/>
  <c r="BZ356"/>
  <c r="BZ357" s="1"/>
  <c r="BZ354"/>
  <c r="BN326"/>
  <c r="BF326"/>
  <c r="BK326"/>
  <c r="BS321"/>
  <c r="BS325" s="1"/>
  <c r="BV292"/>
  <c r="BV293" s="1"/>
  <c r="BV296" s="1"/>
  <c r="BV283"/>
  <c r="BU281"/>
  <c r="BU283" s="1"/>
  <c r="BZ281"/>
  <c r="BZ283" s="1"/>
  <c r="BZ292"/>
  <c r="BZ293" s="1"/>
  <c r="BZ296" s="1"/>
  <c r="BX275"/>
  <c r="BG321"/>
  <c r="BG325" s="1"/>
  <c r="BI321"/>
  <c r="BI325" s="1"/>
  <c r="BL321"/>
  <c r="BT321"/>
  <c r="BT325" s="1"/>
  <c r="BH321"/>
  <c r="BH325" s="1"/>
  <c r="BX321"/>
  <c r="BX325" s="1"/>
  <c r="BP321"/>
  <c r="BP325" s="1"/>
  <c r="BR321"/>
  <c r="BR325" s="1"/>
  <c r="BJ321"/>
  <c r="BJ325" s="1"/>
  <c r="BM321"/>
  <c r="BM325" s="1"/>
  <c r="BW321"/>
  <c r="BW325" s="1"/>
  <c r="BY321"/>
  <c r="BY325" s="1"/>
  <c r="BQ321"/>
  <c r="BQ325" s="1"/>
  <c r="BC321"/>
  <c r="BC325" s="1"/>
  <c r="BU321"/>
  <c r="BU325" s="1"/>
  <c r="BO321"/>
  <c r="BO325" s="1"/>
  <c r="BD321"/>
  <c r="BD325" s="1"/>
  <c r="BN356"/>
  <c r="BN357" s="1"/>
  <c r="BN353"/>
  <c r="BN354"/>
  <c r="BD39" i="123"/>
  <c r="E39" s="1"/>
  <c r="E37"/>
  <c r="BB13" i="126"/>
  <c r="BB39" i="127"/>
  <c r="BC39"/>
  <c r="BB41" s="1"/>
  <c r="D39" i="118"/>
  <c r="C87" s="1"/>
  <c r="BC13" i="126"/>
  <c r="E60" i="123"/>
  <c r="E67"/>
  <c r="E217" i="116"/>
  <c r="BF356" i="118"/>
  <c r="BF357" s="1"/>
  <c r="BF354"/>
  <c r="BF353"/>
  <c r="BE356"/>
  <c r="BE357" s="1"/>
  <c r="BE354"/>
  <c r="BE353"/>
  <c r="BK356"/>
  <c r="BK357" s="1"/>
  <c r="BK354"/>
  <c r="BK353"/>
  <c r="E210" i="116"/>
  <c r="E212"/>
  <c r="E62" i="123"/>
  <c r="E213" i="116"/>
  <c r="E63" i="123"/>
  <c r="E211" i="116"/>
  <c r="E61" i="123"/>
  <c r="E216" i="116"/>
  <c r="E66" i="123"/>
  <c r="D281" i="118"/>
  <c r="C281" s="1"/>
  <c r="D275"/>
  <c r="C275" s="1"/>
  <c r="AZ347" l="1"/>
  <c r="AZ333"/>
  <c r="BE355"/>
  <c r="BK355"/>
  <c r="BL325"/>
  <c r="BL356"/>
  <c r="BZ355"/>
  <c r="BB357"/>
  <c r="BN355"/>
  <c r="BF355"/>
  <c r="BB355"/>
  <c r="BV326"/>
  <c r="BV355"/>
  <c r="BY342"/>
  <c r="BY343" s="1"/>
  <c r="BY351"/>
  <c r="BY352" s="1"/>
  <c r="BY349"/>
  <c r="BY350" s="1"/>
  <c r="BT342"/>
  <c r="BT343" s="1"/>
  <c r="BT351"/>
  <c r="BT352" s="1"/>
  <c r="BT349"/>
  <c r="BT350" s="1"/>
  <c r="BU342"/>
  <c r="BU343" s="1"/>
  <c r="BU349"/>
  <c r="BU350" s="1"/>
  <c r="BU351"/>
  <c r="BU352" s="1"/>
  <c r="BW342"/>
  <c r="BW343" s="1"/>
  <c r="BW349"/>
  <c r="BW350" s="1"/>
  <c r="BW351"/>
  <c r="BW352" s="1"/>
  <c r="BL342"/>
  <c r="BL343" s="1"/>
  <c r="BL351"/>
  <c r="BL352" s="1"/>
  <c r="BL349"/>
  <c r="BL350" s="1"/>
  <c r="BC342"/>
  <c r="BC343" s="1"/>
  <c r="BC349"/>
  <c r="BC350" s="1"/>
  <c r="BC351"/>
  <c r="BC352" s="1"/>
  <c r="BM342"/>
  <c r="BM343" s="1"/>
  <c r="BM349"/>
  <c r="BM350" s="1"/>
  <c r="BM351"/>
  <c r="BM352" s="1"/>
  <c r="BX342"/>
  <c r="BX343" s="1"/>
  <c r="BX349"/>
  <c r="BX350" s="1"/>
  <c r="BX351"/>
  <c r="BX352" s="1"/>
  <c r="BI342"/>
  <c r="BI343" s="1"/>
  <c r="BI351"/>
  <c r="BI352" s="1"/>
  <c r="BI349"/>
  <c r="BI350" s="1"/>
  <c r="BS342"/>
  <c r="BS343" s="1"/>
  <c r="BS349"/>
  <c r="BS350" s="1"/>
  <c r="BS351"/>
  <c r="BS352" s="1"/>
  <c r="BO342"/>
  <c r="BO343" s="1"/>
  <c r="BO349"/>
  <c r="BO350" s="1"/>
  <c r="BO351"/>
  <c r="BO352" s="1"/>
  <c r="BR342"/>
  <c r="BR343" s="1"/>
  <c r="BR351"/>
  <c r="BR352" s="1"/>
  <c r="BR349"/>
  <c r="BR350" s="1"/>
  <c r="BP342"/>
  <c r="BP343" s="1"/>
  <c r="BP349"/>
  <c r="BP350" s="1"/>
  <c r="BP351"/>
  <c r="BP352" s="1"/>
  <c r="BB337"/>
  <c r="BD342"/>
  <c r="BD343" s="1"/>
  <c r="BD351"/>
  <c r="BD352" s="1"/>
  <c r="BD349"/>
  <c r="BD350" s="1"/>
  <c r="BQ342"/>
  <c r="BQ343" s="1"/>
  <c r="BQ351"/>
  <c r="BQ352" s="1"/>
  <c r="BQ349"/>
  <c r="BQ350" s="1"/>
  <c r="BJ342"/>
  <c r="BJ343" s="1"/>
  <c r="BJ351"/>
  <c r="BJ352" s="1"/>
  <c r="BJ349"/>
  <c r="BJ350" s="1"/>
  <c r="BH342"/>
  <c r="BH343" s="1"/>
  <c r="BH351"/>
  <c r="BH352" s="1"/>
  <c r="BH349"/>
  <c r="BH350" s="1"/>
  <c r="BG342"/>
  <c r="BG343" s="1"/>
  <c r="BG349"/>
  <c r="BG350" s="1"/>
  <c r="BG351"/>
  <c r="BG352" s="1"/>
  <c r="BK337"/>
  <c r="BE337"/>
  <c r="BZ337"/>
  <c r="BN337"/>
  <c r="BF337"/>
  <c r="BV337"/>
  <c r="BB344"/>
  <c r="BB345" s="1"/>
  <c r="BK344"/>
  <c r="BK345" s="1"/>
  <c r="BF344"/>
  <c r="BF345" s="1"/>
  <c r="BZ344"/>
  <c r="BZ345" s="1"/>
  <c r="BV344"/>
  <c r="BV345" s="1"/>
  <c r="BE344"/>
  <c r="BE345" s="1"/>
  <c r="BD340"/>
  <c r="BD341" s="1"/>
  <c r="BD336"/>
  <c r="BD335"/>
  <c r="BD338"/>
  <c r="BD339" s="1"/>
  <c r="BQ340"/>
  <c r="BQ341" s="1"/>
  <c r="BQ336"/>
  <c r="BQ335"/>
  <c r="BQ338"/>
  <c r="BQ339" s="1"/>
  <c r="BJ340"/>
  <c r="BJ341" s="1"/>
  <c r="BJ335"/>
  <c r="BJ336"/>
  <c r="BJ338"/>
  <c r="BJ339" s="1"/>
  <c r="BH340"/>
  <c r="BH341" s="1"/>
  <c r="BH336"/>
  <c r="BH338"/>
  <c r="BH339" s="1"/>
  <c r="BH335"/>
  <c r="BG340"/>
  <c r="BG341" s="1"/>
  <c r="BG338"/>
  <c r="BG339" s="1"/>
  <c r="BG336"/>
  <c r="BG335"/>
  <c r="BO340"/>
  <c r="BO341" s="1"/>
  <c r="BO338"/>
  <c r="BO339" s="1"/>
  <c r="BO336"/>
  <c r="BO335"/>
  <c r="BY340"/>
  <c r="BY341" s="1"/>
  <c r="BY338"/>
  <c r="BY339" s="1"/>
  <c r="BY336"/>
  <c r="BY335"/>
  <c r="BR340"/>
  <c r="BR341" s="1"/>
  <c r="BR335"/>
  <c r="BR336"/>
  <c r="BR338"/>
  <c r="BR339" s="1"/>
  <c r="BT340"/>
  <c r="BT341" s="1"/>
  <c r="BT336"/>
  <c r="BT335"/>
  <c r="BT338"/>
  <c r="BT339" s="1"/>
  <c r="BU340"/>
  <c r="BU341" s="1"/>
  <c r="BU338"/>
  <c r="BU339" s="1"/>
  <c r="BU335"/>
  <c r="BU336"/>
  <c r="BW340"/>
  <c r="BW341" s="1"/>
  <c r="BW338"/>
  <c r="BW339" s="1"/>
  <c r="BW336"/>
  <c r="BW335"/>
  <c r="BP340"/>
  <c r="BP341" s="1"/>
  <c r="BP336"/>
  <c r="BP338"/>
  <c r="BP339" s="1"/>
  <c r="BP335"/>
  <c r="BL340"/>
  <c r="BL341" s="1"/>
  <c r="BL336"/>
  <c r="BL335"/>
  <c r="BL338"/>
  <c r="BL339" s="1"/>
  <c r="BJ356"/>
  <c r="BJ357" s="1"/>
  <c r="BC340"/>
  <c r="BC341" s="1"/>
  <c r="BC338"/>
  <c r="BC339" s="1"/>
  <c r="BC335"/>
  <c r="BC336"/>
  <c r="BM340"/>
  <c r="BM341" s="1"/>
  <c r="BM335"/>
  <c r="BM338"/>
  <c r="BM339" s="1"/>
  <c r="BM336"/>
  <c r="BX340"/>
  <c r="BX341" s="1"/>
  <c r="BX336"/>
  <c r="BX338"/>
  <c r="BX339" s="1"/>
  <c r="BX335"/>
  <c r="BI340"/>
  <c r="BI341" s="1"/>
  <c r="BI336"/>
  <c r="BI335"/>
  <c r="BI338"/>
  <c r="BI339" s="1"/>
  <c r="BS340"/>
  <c r="BS341" s="1"/>
  <c r="BS338"/>
  <c r="BS339" s="1"/>
  <c r="BS335"/>
  <c r="BS336"/>
  <c r="BQ327"/>
  <c r="BQ328" s="1"/>
  <c r="BQ333"/>
  <c r="BQ332"/>
  <c r="BQ334" s="1"/>
  <c r="BJ327"/>
  <c r="BJ328" s="1"/>
  <c r="BJ333"/>
  <c r="BJ332"/>
  <c r="BJ334" s="1"/>
  <c r="BG327"/>
  <c r="BG328" s="1"/>
  <c r="BG333"/>
  <c r="BG332"/>
  <c r="BG334" s="1"/>
  <c r="BO327"/>
  <c r="BO328" s="1"/>
  <c r="BO333"/>
  <c r="BO332"/>
  <c r="BO334" s="1"/>
  <c r="BR327"/>
  <c r="BR328" s="1"/>
  <c r="BR333"/>
  <c r="BR332"/>
  <c r="BR334" s="1"/>
  <c r="BU327"/>
  <c r="BU328" s="1"/>
  <c r="BU333"/>
  <c r="BU332"/>
  <c r="BU334" s="1"/>
  <c r="BW327"/>
  <c r="BW328" s="1"/>
  <c r="BW333"/>
  <c r="BW332"/>
  <c r="BW334" s="1"/>
  <c r="BP327"/>
  <c r="BP328" s="1"/>
  <c r="BP333"/>
  <c r="BP332"/>
  <c r="BP334" s="1"/>
  <c r="BL327"/>
  <c r="BL328" s="1"/>
  <c r="BL333"/>
  <c r="BL332"/>
  <c r="BL334" s="1"/>
  <c r="BD327"/>
  <c r="BD328" s="1"/>
  <c r="BD333"/>
  <c r="BD332"/>
  <c r="BD334" s="1"/>
  <c r="BH327"/>
  <c r="BH328" s="1"/>
  <c r="BH333"/>
  <c r="BH332"/>
  <c r="BH334" s="1"/>
  <c r="BY327"/>
  <c r="BY328" s="1"/>
  <c r="BY333"/>
  <c r="BY332"/>
  <c r="BY334" s="1"/>
  <c r="BT327"/>
  <c r="BT328" s="1"/>
  <c r="BT333"/>
  <c r="BT332"/>
  <c r="BT334" s="1"/>
  <c r="BC327"/>
  <c r="BC328" s="1"/>
  <c r="BC333"/>
  <c r="BC332"/>
  <c r="BC334" s="1"/>
  <c r="BM327"/>
  <c r="BM328" s="1"/>
  <c r="BM333"/>
  <c r="BM332"/>
  <c r="BM334" s="1"/>
  <c r="BX327"/>
  <c r="BX328" s="1"/>
  <c r="BX333"/>
  <c r="BX332"/>
  <c r="BX334" s="1"/>
  <c r="BI327"/>
  <c r="BI328" s="1"/>
  <c r="BI333"/>
  <c r="BI332"/>
  <c r="BI334" s="1"/>
  <c r="BS327"/>
  <c r="BS328" s="1"/>
  <c r="BS333"/>
  <c r="BS332"/>
  <c r="BS334" s="1"/>
  <c r="BO330"/>
  <c r="BO329"/>
  <c r="BO331" s="1"/>
  <c r="BY330"/>
  <c r="BY329"/>
  <c r="BY331" s="1"/>
  <c r="BR330"/>
  <c r="BR329"/>
  <c r="BR331" s="1"/>
  <c r="BT330"/>
  <c r="BT329"/>
  <c r="BT331" s="1"/>
  <c r="BU330"/>
  <c r="BU329"/>
  <c r="BU331" s="1"/>
  <c r="BW330"/>
  <c r="BW329"/>
  <c r="BW331" s="1"/>
  <c r="BP330"/>
  <c r="BP329"/>
  <c r="BP331" s="1"/>
  <c r="BL330"/>
  <c r="BL329"/>
  <c r="BL331" s="1"/>
  <c r="BC330"/>
  <c r="BC329"/>
  <c r="BC331" s="1"/>
  <c r="BM330"/>
  <c r="BM329"/>
  <c r="BM331" s="1"/>
  <c r="BX330"/>
  <c r="BX329"/>
  <c r="BX331" s="1"/>
  <c r="BI330"/>
  <c r="BI329"/>
  <c r="BI331" s="1"/>
  <c r="BS330"/>
  <c r="BS329"/>
  <c r="BS331" s="1"/>
  <c r="BD330"/>
  <c r="BD329"/>
  <c r="BD331" s="1"/>
  <c r="BQ330"/>
  <c r="BQ329"/>
  <c r="BQ331" s="1"/>
  <c r="BJ330"/>
  <c r="BJ329"/>
  <c r="BJ331" s="1"/>
  <c r="BH330"/>
  <c r="BH329"/>
  <c r="BH331" s="1"/>
  <c r="BG330"/>
  <c r="BG329"/>
  <c r="BG331" s="1"/>
  <c r="BW347"/>
  <c r="BW346"/>
  <c r="BW348" s="1"/>
  <c r="BL353"/>
  <c r="BL347"/>
  <c r="BL346"/>
  <c r="BL348" s="1"/>
  <c r="BC347"/>
  <c r="BC346"/>
  <c r="BC348" s="1"/>
  <c r="BX347"/>
  <c r="BX346"/>
  <c r="BX348" s="1"/>
  <c r="BI347"/>
  <c r="BI346"/>
  <c r="BI348" s="1"/>
  <c r="BS347"/>
  <c r="BS346"/>
  <c r="BS348" s="1"/>
  <c r="BD347"/>
  <c r="BD346"/>
  <c r="BD348" s="1"/>
  <c r="BQ347"/>
  <c r="BQ346"/>
  <c r="BQ348" s="1"/>
  <c r="BJ347"/>
  <c r="BJ346"/>
  <c r="BJ348" s="1"/>
  <c r="BH347"/>
  <c r="BH346"/>
  <c r="BH348" s="1"/>
  <c r="BG354"/>
  <c r="BG347"/>
  <c r="BG346"/>
  <c r="BG348" s="1"/>
  <c r="BU347"/>
  <c r="BU346"/>
  <c r="BU348" s="1"/>
  <c r="BP356"/>
  <c r="BP357" s="1"/>
  <c r="BP347"/>
  <c r="BP346"/>
  <c r="BP348" s="1"/>
  <c r="BM347"/>
  <c r="BM346"/>
  <c r="BM348" s="1"/>
  <c r="BO347"/>
  <c r="BO346"/>
  <c r="BO348" s="1"/>
  <c r="BY347"/>
  <c r="BY346"/>
  <c r="BY348" s="1"/>
  <c r="BR347"/>
  <c r="BR346"/>
  <c r="BR348" s="1"/>
  <c r="BT347"/>
  <c r="BT346"/>
  <c r="BT348" s="1"/>
  <c r="AZ351"/>
  <c r="BN344"/>
  <c r="BN345" s="1"/>
  <c r="BL326"/>
  <c r="BC354"/>
  <c r="BD353"/>
  <c r="BI356"/>
  <c r="BI357" s="1"/>
  <c r="BC356"/>
  <c r="BC357" s="1"/>
  <c r="BH354"/>
  <c r="BH353"/>
  <c r="AZ340"/>
  <c r="AZ338"/>
  <c r="J111"/>
  <c r="BL354"/>
  <c r="BG353"/>
  <c r="BG356"/>
  <c r="BG357" s="1"/>
  <c r="BP353"/>
  <c r="BS356"/>
  <c r="AZ356" s="1"/>
  <c r="BP354"/>
  <c r="BM356"/>
  <c r="BM357" s="1"/>
  <c r="BO326"/>
  <c r="BY326"/>
  <c r="BY353"/>
  <c r="BY356"/>
  <c r="BY357" s="1"/>
  <c r="BY354"/>
  <c r="BC353"/>
  <c r="BI354"/>
  <c r="BU326"/>
  <c r="BU353"/>
  <c r="BU356"/>
  <c r="BU357" s="1"/>
  <c r="BU354"/>
  <c r="BW354"/>
  <c r="BW326"/>
  <c r="BW353"/>
  <c r="BW356"/>
  <c r="BW357" s="1"/>
  <c r="BP326"/>
  <c r="AZ335"/>
  <c r="BM326"/>
  <c r="BX354"/>
  <c r="BX353"/>
  <c r="BX356"/>
  <c r="BX357" s="1"/>
  <c r="BI326"/>
  <c r="BI353"/>
  <c r="BI355" s="1"/>
  <c r="BD356"/>
  <c r="BD357" s="1"/>
  <c r="BD326"/>
  <c r="BJ353"/>
  <c r="BJ326"/>
  <c r="BH356"/>
  <c r="BH357" s="1"/>
  <c r="BH326"/>
  <c r="BG326"/>
  <c r="BZ358"/>
  <c r="BV358"/>
  <c r="BS353"/>
  <c r="BS354"/>
  <c r="AZ354" s="1"/>
  <c r="AZ342"/>
  <c r="BS326"/>
  <c r="AZ346"/>
  <c r="AZ327"/>
  <c r="AZ349"/>
  <c r="AZ329"/>
  <c r="BT353"/>
  <c r="BT356"/>
  <c r="BT357" s="1"/>
  <c r="BT354"/>
  <c r="BT326"/>
  <c r="BR356"/>
  <c r="BR357" s="1"/>
  <c r="BR353"/>
  <c r="BR354"/>
  <c r="BR326"/>
  <c r="BQ356"/>
  <c r="BQ357" s="1"/>
  <c r="BQ354"/>
  <c r="BQ326"/>
  <c r="BQ353"/>
  <c r="J103"/>
  <c r="K117"/>
  <c r="BD354"/>
  <c r="BM354"/>
  <c r="BM353"/>
  <c r="BJ354"/>
  <c r="BN358"/>
  <c r="E13" i="126"/>
  <c r="E30"/>
  <c r="E56" i="127"/>
  <c r="E29" i="126"/>
  <c r="E55" i="127"/>
  <c r="BD41"/>
  <c r="E41" s="1"/>
  <c r="E39"/>
  <c r="BB15" i="126"/>
  <c r="BD15"/>
  <c r="BB358" i="118"/>
  <c r="BE358"/>
  <c r="BK358"/>
  <c r="BF358"/>
  <c r="BO356"/>
  <c r="BO357" s="1"/>
  <c r="BO354"/>
  <c r="BO353"/>
  <c r="E33" i="116"/>
  <c r="E33" i="123"/>
  <c r="E34" i="116"/>
  <c r="E34" i="123"/>
  <c r="J86" i="118"/>
  <c r="BL357" l="1"/>
  <c r="BU355"/>
  <c r="BP355"/>
  <c r="BO355"/>
  <c r="BG355"/>
  <c r="BW355"/>
  <c r="BH355"/>
  <c r="BL337"/>
  <c r="BT337"/>
  <c r="BQ337"/>
  <c r="BD337"/>
  <c r="BS357"/>
  <c r="BD355"/>
  <c r="BR355"/>
  <c r="BJ355"/>
  <c r="BL355"/>
  <c r="BM355"/>
  <c r="BT355"/>
  <c r="AZ353"/>
  <c r="BS355"/>
  <c r="BY355"/>
  <c r="BC326"/>
  <c r="BC355"/>
  <c r="BQ355"/>
  <c r="BX326"/>
  <c r="BX355"/>
  <c r="BC337"/>
  <c r="BM337"/>
  <c r="BU337"/>
  <c r="BS337"/>
  <c r="BX337"/>
  <c r="BR337"/>
  <c r="BJ337"/>
  <c r="BI337"/>
  <c r="BP337"/>
  <c r="BW337"/>
  <c r="BY337"/>
  <c r="BO337"/>
  <c r="BG337"/>
  <c r="BH337"/>
  <c r="BQ344"/>
  <c r="BQ345" s="1"/>
  <c r="BX344"/>
  <c r="BX345" s="1"/>
  <c r="BL344"/>
  <c r="BL345" s="1"/>
  <c r="BU344"/>
  <c r="BU345" s="1"/>
  <c r="BG344"/>
  <c r="BG345" s="1"/>
  <c r="BY344"/>
  <c r="BY345" s="1"/>
  <c r="BS344"/>
  <c r="BS345" s="1"/>
  <c r="BI344"/>
  <c r="BI345" s="1"/>
  <c r="BM344"/>
  <c r="BM345" s="1"/>
  <c r="BT344"/>
  <c r="BT345" s="1"/>
  <c r="BJ344"/>
  <c r="BJ345" s="1"/>
  <c r="BC344"/>
  <c r="BC345" s="1"/>
  <c r="BR344"/>
  <c r="BR345" s="1"/>
  <c r="BH344"/>
  <c r="BH345" s="1"/>
  <c r="BD344"/>
  <c r="BD345" s="1"/>
  <c r="BP344"/>
  <c r="BP345" s="1"/>
  <c r="BW344"/>
  <c r="BW345" s="1"/>
  <c r="BO344"/>
  <c r="BO345" s="1"/>
  <c r="BS358"/>
  <c r="AZ358" s="1"/>
  <c r="AZ325"/>
  <c r="B125" s="1"/>
  <c r="AZ344"/>
  <c r="AZ332"/>
  <c r="BC358"/>
  <c r="BH358"/>
  <c r="BI358"/>
  <c r="BD358"/>
  <c r="BP358"/>
  <c r="BL358"/>
  <c r="BJ358"/>
  <c r="BG358"/>
  <c r="BU358"/>
  <c r="BM358"/>
  <c r="BX358"/>
  <c r="BW358"/>
  <c r="BY358"/>
  <c r="BQ358"/>
  <c r="BT358"/>
  <c r="BR358"/>
  <c r="E15" i="126"/>
  <c r="BO358" i="118"/>
  <c r="B124" l="1"/>
  <c r="I74"/>
  <c r="C24"/>
  <c r="B45" i="116"/>
  <c r="CM258" i="118" l="1"/>
  <c r="BB38"/>
  <c r="BA38" s="1"/>
  <c r="C38" s="1"/>
  <c r="B39" i="116"/>
  <c r="S17"/>
  <c r="B40"/>
  <c r="B38"/>
  <c r="B37"/>
  <c r="S37"/>
  <c r="BB37" s="1"/>
  <c r="FG258" i="118"/>
  <c r="BC258"/>
  <c r="DW258"/>
  <c r="B9"/>
  <c r="J20"/>
  <c r="BD39" i="116" l="1"/>
  <c r="E39" s="1"/>
  <c r="E37"/>
  <c r="D261" i="118"/>
  <c r="D262"/>
  <c r="C262" s="1"/>
  <c r="D264"/>
  <c r="D260"/>
  <c r="C260" s="1"/>
  <c r="D263"/>
  <c r="C263" s="1"/>
  <c r="D265"/>
  <c r="C265" s="1"/>
  <c r="E53" i="127" s="1"/>
  <c r="E14" i="124"/>
  <c r="B14"/>
  <c r="E13"/>
  <c r="B205" i="116"/>
  <c r="E205"/>
  <c r="D144" i="118"/>
  <c r="D153"/>
  <c r="J29"/>
  <c r="E24" i="126" l="1"/>
  <c r="E50" i="127"/>
  <c r="E26" i="123"/>
  <c r="E48" i="127"/>
  <c r="E25" i="126"/>
  <c r="E51" i="127"/>
  <c r="E26" i="116"/>
  <c r="E22" i="126"/>
  <c r="E28" i="116"/>
  <c r="E28" i="123"/>
  <c r="E29" i="116"/>
  <c r="E27" i="126"/>
  <c r="E31" i="123"/>
  <c r="E31" i="116"/>
  <c r="E29" i="123"/>
  <c r="B70"/>
  <c r="B69"/>
  <c r="BD175" i="116"/>
  <c r="BC175"/>
  <c r="E175" s="1"/>
  <c r="B220" l="1"/>
  <c r="B219"/>
  <c r="BD161"/>
  <c r="BC163" s="1"/>
  <c r="BC161"/>
  <c r="BB161"/>
  <c r="AZ161"/>
  <c r="AY161"/>
  <c r="AX161"/>
  <c r="AW161"/>
  <c r="E161" l="1"/>
  <c r="BD163"/>
  <c r="BB163"/>
  <c r="E163" l="1"/>
  <c r="K22" i="118" l="1"/>
  <c r="D22"/>
  <c r="E22"/>
  <c r="G22"/>
  <c r="H22"/>
  <c r="I22"/>
  <c r="C170"/>
  <c r="C162"/>
  <c r="C161"/>
  <c r="D168"/>
  <c r="C168" s="1"/>
  <c r="D160"/>
  <c r="C160" s="1"/>
  <c r="D152"/>
  <c r="B372" i="123"/>
  <c r="B373" l="1"/>
  <c r="B369"/>
  <c r="B366"/>
  <c r="B370"/>
  <c r="B367"/>
  <c r="B371"/>
  <c r="B368"/>
  <c r="C169" i="118"/>
  <c r="C154"/>
  <c r="E373" i="123" s="1"/>
  <c r="C153" i="118"/>
  <c r="E372" i="123" s="1"/>
  <c r="C152" i="118"/>
  <c r="E371" i="123" s="1"/>
  <c r="D167" i="118"/>
  <c r="C167" s="1"/>
  <c r="D159"/>
  <c r="C159" s="1"/>
  <c r="BK28"/>
  <c r="D151" s="1"/>
  <c r="C151" s="1"/>
  <c r="E370" i="123" s="1"/>
  <c r="C143" i="118" l="1"/>
  <c r="C144"/>
  <c r="E182" i="116" s="1"/>
  <c r="E181" l="1"/>
  <c r="BD362" i="123"/>
  <c r="AN362"/>
  <c r="Y362"/>
  <c r="V362"/>
  <c r="R362"/>
  <c r="BD361"/>
  <c r="AN361"/>
  <c r="Y361"/>
  <c r="V361"/>
  <c r="R361"/>
  <c r="D76"/>
  <c r="D74"/>
  <c r="BC72"/>
  <c r="W72"/>
  <c r="BD72" s="1"/>
  <c r="I72"/>
  <c r="AW72" s="1"/>
  <c r="D72"/>
  <c r="BD17"/>
  <c r="BC19" s="1"/>
  <c r="BC17"/>
  <c r="BB17"/>
  <c r="AZ17"/>
  <c r="AY17"/>
  <c r="AX17"/>
  <c r="AW17"/>
  <c r="F69" i="118"/>
  <c r="E69"/>
  <c r="D69"/>
  <c r="I222" i="116"/>
  <c r="BB19" i="123" l="1"/>
  <c r="BD19"/>
  <c r="E361"/>
  <c r="E362"/>
  <c r="E17"/>
  <c r="E72"/>
  <c r="E19" l="1"/>
  <c r="BD512" i="116" l="1"/>
  <c r="AN512"/>
  <c r="Y512"/>
  <c r="V512"/>
  <c r="R512"/>
  <c r="D226"/>
  <c r="D224"/>
  <c r="D222"/>
  <c r="L137" i="118"/>
  <c r="BA124"/>
  <c r="C130"/>
  <c r="E12" i="123" s="1"/>
  <c r="D163" i="118" l="1"/>
  <c r="C163" s="1"/>
  <c r="D147"/>
  <c r="C147" s="1"/>
  <c r="E366" i="123" s="1"/>
  <c r="D155" i="118"/>
  <c r="C155" s="1"/>
  <c r="D165"/>
  <c r="C165" s="1"/>
  <c r="D157"/>
  <c r="C157" s="1"/>
  <c r="D149"/>
  <c r="C149" s="1"/>
  <c r="E368" i="123" s="1"/>
  <c r="E12" i="116"/>
  <c r="E512"/>
  <c r="AW222" l="1"/>
  <c r="BC222"/>
  <c r="W222"/>
  <c r="BD222" s="1"/>
  <c r="AW17"/>
  <c r="AX17"/>
  <c r="AY17"/>
  <c r="AZ17"/>
  <c r="BB17"/>
  <c r="BC17"/>
  <c r="BD17"/>
  <c r="BC19" s="1"/>
  <c r="BD19" l="1"/>
  <c r="BB19"/>
  <c r="E222"/>
  <c r="B4" i="118"/>
  <c r="C261"/>
  <c r="E49" i="127" s="1"/>
  <c r="B6" i="118"/>
  <c r="C264"/>
  <c r="E44" i="116"/>
  <c r="E17"/>
  <c r="K132" i="118"/>
  <c r="L132"/>
  <c r="D128"/>
  <c r="C173"/>
  <c r="E26" i="126" l="1"/>
  <c r="E52" i="127"/>
  <c r="E23" i="126"/>
  <c r="E30" i="123"/>
  <c r="E27"/>
  <c r="E27" i="116"/>
  <c r="E30"/>
  <c r="E19"/>
  <c r="C128" i="118"/>
  <c r="E10" i="123" s="1"/>
  <c r="F20" i="118"/>
  <c r="J22"/>
  <c r="D132"/>
  <c r="G72"/>
  <c r="G74" s="1"/>
  <c r="F72"/>
  <c r="N20" l="1"/>
  <c r="J71" s="1"/>
  <c r="M20"/>
  <c r="T133"/>
  <c r="D133" s="1"/>
  <c r="C132" s="1"/>
  <c r="E13" i="123" s="1"/>
  <c r="F74" i="118"/>
  <c r="T135"/>
  <c r="D135" s="1"/>
  <c r="H74"/>
  <c r="D251"/>
  <c r="D293"/>
  <c r="C293" s="1"/>
  <c r="E97" i="127" s="1"/>
  <c r="T302" i="118"/>
  <c r="T300"/>
  <c r="D289"/>
  <c r="C289" s="1"/>
  <c r="E95" i="127" s="1"/>
  <c r="D291" i="118"/>
  <c r="C291" s="1"/>
  <c r="E96" i="127" s="1"/>
  <c r="D164" i="118"/>
  <c r="C164" s="1"/>
  <c r="F22"/>
  <c r="D158"/>
  <c r="C158" s="1"/>
  <c r="D166"/>
  <c r="C166" s="1"/>
  <c r="D148"/>
  <c r="C148" s="1"/>
  <c r="D156"/>
  <c r="C156" s="1"/>
  <c r="D150"/>
  <c r="C150" s="1"/>
  <c r="E10" i="116"/>
  <c r="F57" i="118"/>
  <c r="H71" s="1"/>
  <c r="H57"/>
  <c r="T134"/>
  <c r="D134" s="1"/>
  <c r="F231"/>
  <c r="T231"/>
  <c r="E231"/>
  <c r="C26" l="1"/>
  <c r="E71" i="126"/>
  <c r="E50" i="123"/>
  <c r="E69" i="126"/>
  <c r="E70"/>
  <c r="E49" i="123"/>
  <c r="E48"/>
  <c r="E168" i="116"/>
  <c r="E167"/>
  <c r="E166"/>
  <c r="D302" i="118"/>
  <c r="C302" s="1"/>
  <c r="D300"/>
  <c r="C300" s="1"/>
  <c r="E367" i="123"/>
  <c r="E369"/>
  <c r="C134" i="118"/>
  <c r="D231"/>
  <c r="E13" i="116"/>
  <c r="D137" i="118"/>
  <c r="E99" i="127" l="1"/>
  <c r="E54" i="123"/>
  <c r="E98" i="127"/>
  <c r="E72" i="126"/>
  <c r="E172" i="116"/>
  <c r="E14"/>
  <c r="E14" i="123"/>
  <c r="R177" i="118"/>
  <c r="E73" i="126" l="1"/>
  <c r="E173" i="116"/>
  <c r="E55" i="123"/>
  <c r="G56" i="118"/>
  <c r="G53"/>
  <c r="E56"/>
  <c r="E53"/>
  <c r="D214" l="1"/>
  <c r="D222" l="1"/>
  <c r="C222" s="1"/>
  <c r="D219"/>
  <c r="C219" s="1"/>
  <c r="D218"/>
  <c r="C218" s="1"/>
  <c r="D217"/>
  <c r="C217" s="1"/>
  <c r="D198"/>
  <c r="C198" s="1"/>
  <c r="D195"/>
  <c r="C195" s="1"/>
  <c r="D194"/>
  <c r="C194" s="1"/>
  <c r="D193"/>
  <c r="C193" s="1"/>
  <c r="C123"/>
  <c r="D201" s="1"/>
  <c r="C201" s="1"/>
  <c r="M212"/>
  <c r="T212"/>
  <c r="M188"/>
  <c r="T188"/>
  <c r="T177"/>
  <c r="D177" s="1"/>
  <c r="C177" s="1"/>
  <c r="E57"/>
  <c r="G57"/>
  <c r="D239"/>
  <c r="C239" s="1"/>
  <c r="D238"/>
  <c r="C238" s="1"/>
  <c r="D232"/>
  <c r="C232" s="1"/>
  <c r="T176"/>
  <c r="R176"/>
  <c r="R174"/>
  <c r="D174" s="1"/>
  <c r="C174" s="1"/>
  <c r="F175"/>
  <c r="H175"/>
  <c r="J175"/>
  <c r="K175"/>
  <c r="L175"/>
  <c r="Q175"/>
  <c r="R175"/>
  <c r="C235"/>
  <c r="C228"/>
  <c r="B62"/>
  <c r="B61"/>
  <c r="B60"/>
  <c r="B59"/>
  <c r="B58"/>
  <c r="B57"/>
  <c r="B56"/>
  <c r="O175"/>
  <c r="D200"/>
  <c r="C200" s="1"/>
  <c r="D221"/>
  <c r="C221" s="1"/>
  <c r="D220"/>
  <c r="C220" s="1"/>
  <c r="D216"/>
  <c r="C216" s="1"/>
  <c r="D208"/>
  <c r="C208" s="1"/>
  <c r="D197"/>
  <c r="C197" s="1"/>
  <c r="D196"/>
  <c r="C196" s="1"/>
  <c r="D192"/>
  <c r="C192" s="1"/>
  <c r="D184"/>
  <c r="C184" s="1"/>
  <c r="E88"/>
  <c r="D183" s="1"/>
  <c r="C183" s="1"/>
  <c r="P90"/>
  <c r="L88"/>
  <c r="D224" s="1"/>
  <c r="C224" s="1"/>
  <c r="C231"/>
  <c r="I83"/>
  <c r="E83" s="1"/>
  <c r="O93"/>
  <c r="U93" s="1"/>
  <c r="Q93" s="1"/>
  <c r="O82"/>
  <c r="U82" s="1"/>
  <c r="Q82" s="1"/>
  <c r="I82"/>
  <c r="E82" s="1"/>
  <c r="V86"/>
  <c r="K87"/>
  <c r="D89"/>
  <c r="P89" s="1"/>
  <c r="E93"/>
  <c r="C229"/>
  <c r="C236"/>
  <c r="W87" l="1"/>
  <c r="E87"/>
  <c r="D176"/>
  <c r="C176" s="1"/>
  <c r="B63"/>
  <c r="C245" s="1"/>
  <c r="Q88"/>
  <c r="D207" s="1"/>
  <c r="C207" s="1"/>
  <c r="U83"/>
  <c r="Q83" s="1"/>
  <c r="D206"/>
  <c r="C206" s="1"/>
  <c r="D182"/>
  <c r="C182" s="1"/>
  <c r="E84"/>
  <c r="C248"/>
  <c r="O123"/>
  <c r="D225" s="1"/>
  <c r="C225" s="1"/>
  <c r="Q115"/>
  <c r="Q107"/>
  <c r="Q105"/>
  <c r="Q103"/>
  <c r="D188"/>
  <c r="C188" s="1"/>
  <c r="D212"/>
  <c r="C212" s="1"/>
  <c r="D255"/>
  <c r="C255" s="1"/>
  <c r="S175"/>
  <c r="C250"/>
  <c r="C254"/>
  <c r="D178"/>
  <c r="C178" s="1"/>
  <c r="D256"/>
  <c r="C256" s="1"/>
  <c r="C253"/>
  <c r="C251"/>
  <c r="D252"/>
  <c r="C252" s="1"/>
  <c r="C242" l="1"/>
  <c r="Q84"/>
  <c r="V85" s="1"/>
  <c r="J85"/>
  <c r="I87"/>
  <c r="D230"/>
  <c r="C230" s="1"/>
  <c r="T175"/>
  <c r="D175" s="1"/>
  <c r="C175" s="1"/>
  <c r="D237"/>
  <c r="C237" s="1"/>
  <c r="K109" l="1"/>
  <c r="J117"/>
  <c r="K105"/>
  <c r="J115"/>
  <c r="C92"/>
  <c r="E72" s="1"/>
  <c r="I86"/>
  <c r="K86" s="1"/>
  <c r="J109"/>
  <c r="U87"/>
  <c r="O87" s="1"/>
  <c r="C214"/>
  <c r="D213"/>
  <c r="C213" s="1"/>
  <c r="T136" l="1"/>
  <c r="D136" s="1"/>
  <c r="D72"/>
  <c r="T138" s="1"/>
  <c r="I123"/>
  <c r="I97"/>
  <c r="D180"/>
  <c r="C180" s="1"/>
  <c r="I119"/>
  <c r="E119" s="1"/>
  <c r="I105"/>
  <c r="E105" s="1"/>
  <c r="I101"/>
  <c r="E101" s="1"/>
  <c r="I109"/>
  <c r="E109" s="1"/>
  <c r="I121"/>
  <c r="I115"/>
  <c r="E115" s="1"/>
  <c r="I120"/>
  <c r="I117"/>
  <c r="I111"/>
  <c r="E111" s="1"/>
  <c r="I107"/>
  <c r="E107" s="1"/>
  <c r="I99"/>
  <c r="E99" s="1"/>
  <c r="E92"/>
  <c r="I103"/>
  <c r="E103" s="1"/>
  <c r="I92"/>
  <c r="I95"/>
  <c r="E95" s="1"/>
  <c r="O92"/>
  <c r="V111"/>
  <c r="V117"/>
  <c r="V103"/>
  <c r="W117"/>
  <c r="W109"/>
  <c r="Q87"/>
  <c r="W105"/>
  <c r="U86"/>
  <c r="V109"/>
  <c r="V115"/>
  <c r="I125" l="1"/>
  <c r="I124"/>
  <c r="K121"/>
  <c r="I113"/>
  <c r="E113" s="1"/>
  <c r="J121"/>
  <c r="K123"/>
  <c r="E97"/>
  <c r="E96"/>
  <c r="J123"/>
  <c r="E117"/>
  <c r="Q92"/>
  <c r="U92"/>
  <c r="U99"/>
  <c r="Q99" s="1"/>
  <c r="U121"/>
  <c r="U119"/>
  <c r="Q119" s="1"/>
  <c r="U97"/>
  <c r="U107"/>
  <c r="U123"/>
  <c r="U109"/>
  <c r="Q109" s="1"/>
  <c r="U117"/>
  <c r="U120"/>
  <c r="U101"/>
  <c r="Q101" s="1"/>
  <c r="U103"/>
  <c r="U115"/>
  <c r="U105"/>
  <c r="U111"/>
  <c r="Q111" s="1"/>
  <c r="U95"/>
  <c r="Q95" s="1"/>
  <c r="W86"/>
  <c r="D204" s="1"/>
  <c r="C204" s="1"/>
  <c r="Q117" l="1"/>
  <c r="U125"/>
  <c r="U124"/>
  <c r="E121"/>
  <c r="Q97"/>
  <c r="U113"/>
  <c r="Q113" s="1"/>
  <c r="V121"/>
  <c r="W123"/>
  <c r="Q96"/>
  <c r="W121"/>
  <c r="V123"/>
  <c r="Q121" l="1"/>
  <c r="G23" l="1"/>
  <c r="E23"/>
  <c r="D23"/>
  <c r="D211"/>
  <c r="C211" s="1"/>
  <c r="D210"/>
  <c r="C210" s="1"/>
  <c r="E73"/>
  <c r="D186"/>
  <c r="C186" s="1"/>
  <c r="D187"/>
  <c r="C187" s="1"/>
  <c r="C136"/>
  <c r="F23"/>
  <c r="D189"/>
  <c r="C189" s="1"/>
  <c r="K89" l="1"/>
  <c r="J89" s="1"/>
  <c r="E74"/>
  <c r="B7"/>
  <c r="E15" i="116"/>
  <c r="E15" i="123"/>
  <c r="W89" i="118"/>
  <c r="V89" s="1"/>
  <c r="D138"/>
  <c r="T139"/>
  <c r="D139" s="1"/>
  <c r="D190"/>
  <c r="C190" s="1"/>
  <c r="D73"/>
  <c r="D74" s="1"/>
  <c r="J80"/>
  <c r="K90"/>
  <c r="J90" s="1"/>
  <c r="O20"/>
  <c r="W90"/>
  <c r="V90" s="1"/>
  <c r="I71" l="1"/>
  <c r="I72" s="1"/>
  <c r="C138"/>
  <c r="K71"/>
  <c r="I75" l="1"/>
  <c r="I73"/>
  <c r="E16" i="116"/>
  <c r="E16" i="123"/>
  <c r="B5" i="118" l="1"/>
  <c r="ER289"/>
  <c r="ER292" s="1"/>
  <c r="ER293" s="1"/>
  <c r="ER296" s="1"/>
  <c r="ER294" l="1"/>
  <c r="ER295" s="1"/>
  <c r="ER297" s="1"/>
  <c r="GB289"/>
  <c r="GB292" s="1"/>
  <c r="GB293" s="1"/>
  <c r="GB296" s="1"/>
  <c r="GB294" l="1"/>
  <c r="GB295" s="1"/>
  <c r="GB297" s="1"/>
</calcChain>
</file>

<file path=xl/comments1.xml><?xml version="1.0" encoding="utf-8"?>
<comments xmlns="http://schemas.openxmlformats.org/spreadsheetml/2006/main">
  <authors>
    <author>MOST</author>
  </authors>
  <commentList>
    <comment ref="F50" authorId="0">
      <text>
        <r>
          <rPr>
            <sz val="9"/>
            <color indexed="81"/>
            <rFont val="Arial"/>
            <family val="2"/>
          </rPr>
          <t>0x05000&lt;bit8&gt;</t>
        </r>
        <r>
          <rPr>
            <sz val="9"/>
            <color indexed="81"/>
            <rFont val="ＭＳ Ｐゴシック"/>
            <family val="3"/>
            <charset val="128"/>
          </rPr>
          <t xml:space="preserve">
</t>
        </r>
      </text>
    </comment>
    <comment ref="H50" authorId="0">
      <text>
        <r>
          <rPr>
            <sz val="9"/>
            <color indexed="81"/>
            <rFont val="Arial"/>
            <family val="2"/>
          </rPr>
          <t>0x5080&lt;bit8&gt;</t>
        </r>
        <r>
          <rPr>
            <sz val="9"/>
            <color indexed="81"/>
            <rFont val="ＭＳ Ｐゴシック"/>
            <family val="3"/>
            <charset val="128"/>
          </rPr>
          <t xml:space="preserve">
</t>
        </r>
      </text>
    </comment>
    <comment ref="C52" authorId="0">
      <text>
        <r>
          <rPr>
            <sz val="9"/>
            <color indexed="81"/>
            <rFont val="Arial"/>
            <family val="2"/>
          </rPr>
          <t>0x500C&lt;bit15&gt;
0x5000&lt;bit8&gt;</t>
        </r>
        <r>
          <rPr>
            <sz val="9"/>
            <color indexed="81"/>
            <rFont val="ＭＳ Ｐゴシック"/>
            <family val="3"/>
            <charset val="128"/>
          </rPr>
          <t xml:space="preserve">
</t>
        </r>
      </text>
    </comment>
    <comment ref="D52" authorId="0">
      <text>
        <r>
          <rPr>
            <sz val="9"/>
            <color indexed="81"/>
            <rFont val="Arial"/>
            <family val="2"/>
          </rPr>
          <t>0x500C&lt;bit14&gt;</t>
        </r>
        <r>
          <rPr>
            <sz val="9"/>
            <color indexed="81"/>
            <rFont val="ＭＳ Ｐゴシック"/>
            <family val="3"/>
            <charset val="128"/>
          </rPr>
          <t xml:space="preserve">
</t>
        </r>
      </text>
    </comment>
    <comment ref="E52" authorId="0">
      <text>
        <r>
          <rPr>
            <sz val="9"/>
            <color indexed="81"/>
            <rFont val="Arial"/>
            <family val="2"/>
          </rPr>
          <t>0x500C&lt;bit11:0&gt;</t>
        </r>
        <r>
          <rPr>
            <sz val="9"/>
            <color indexed="81"/>
            <rFont val="ＭＳ Ｐゴシック"/>
            <family val="3"/>
            <charset val="128"/>
          </rPr>
          <t xml:space="preserve">
</t>
        </r>
      </text>
    </comment>
    <comment ref="F52" authorId="0">
      <text>
        <r>
          <rPr>
            <sz val="9"/>
            <color indexed="81"/>
            <rFont val="Arial"/>
            <family val="2"/>
          </rPr>
          <t>0x500A&lt;bit5:0&gt;</t>
        </r>
        <r>
          <rPr>
            <sz val="9"/>
            <color indexed="81"/>
            <rFont val="ＭＳ Ｐゴシック"/>
            <family val="3"/>
            <charset val="128"/>
          </rPr>
          <t xml:space="preserve">
</t>
        </r>
      </text>
    </comment>
    <comment ref="G52" authorId="0">
      <text>
        <r>
          <rPr>
            <sz val="9"/>
            <color indexed="81"/>
            <rFont val="Arial"/>
            <family val="2"/>
          </rPr>
          <t>0x508C&lt;bit11:0&gt;</t>
        </r>
        <r>
          <rPr>
            <sz val="9"/>
            <color indexed="81"/>
            <rFont val="ＭＳ Ｐゴシック"/>
            <family val="3"/>
            <charset val="128"/>
          </rPr>
          <t xml:space="preserve">
</t>
        </r>
      </text>
    </comment>
    <comment ref="H52" authorId="0">
      <text>
        <r>
          <rPr>
            <sz val="9"/>
            <color indexed="81"/>
            <rFont val="Arial"/>
            <family val="2"/>
          </rPr>
          <t>0x508A&lt;bit5:0&gt;</t>
        </r>
        <r>
          <rPr>
            <sz val="9"/>
            <color indexed="81"/>
            <rFont val="ＭＳ Ｐゴシック"/>
            <family val="3"/>
            <charset val="128"/>
          </rPr>
          <t xml:space="preserve">
</t>
        </r>
      </text>
    </comment>
    <comment ref="C55" authorId="0">
      <text>
        <r>
          <rPr>
            <sz val="9"/>
            <color indexed="81"/>
            <rFont val="Arial"/>
            <family val="2"/>
          </rPr>
          <t>0x0006&lt;bit[1:0]&gt;</t>
        </r>
        <r>
          <rPr>
            <sz val="9"/>
            <color indexed="81"/>
            <rFont val="ＭＳ Ｐゴシック"/>
            <family val="3"/>
            <charset val="128"/>
          </rPr>
          <t xml:space="preserve">
</t>
        </r>
      </text>
    </comment>
    <comment ref="D55" authorId="0">
      <text>
        <r>
          <rPr>
            <sz val="9"/>
            <color indexed="81"/>
            <rFont val="Arial"/>
            <family val="2"/>
          </rPr>
          <t xml:space="preserve">0x017C&lt;bit0&gt;
0x037C&lt;bit0&gt;
</t>
        </r>
      </text>
    </comment>
    <comment ref="E55" authorId="0">
      <text>
        <r>
          <rPr>
            <sz val="9"/>
            <color indexed="81"/>
            <rFont val="Arial"/>
            <family val="2"/>
          </rPr>
          <t>0x500E&lt;bit11:0&gt;</t>
        </r>
        <r>
          <rPr>
            <sz val="9"/>
            <color indexed="81"/>
            <rFont val="ＭＳ Ｐゴシック"/>
            <family val="3"/>
            <charset val="128"/>
          </rPr>
          <t xml:space="preserve">
</t>
        </r>
      </text>
    </comment>
    <comment ref="F55" authorId="0">
      <text>
        <r>
          <rPr>
            <sz val="9"/>
            <color indexed="81"/>
            <rFont val="Arial"/>
            <family val="2"/>
          </rPr>
          <t>0x500C&lt;bit13:8&gt;</t>
        </r>
        <r>
          <rPr>
            <sz val="9"/>
            <color indexed="81"/>
            <rFont val="ＭＳ Ｐゴシック"/>
            <family val="3"/>
            <charset val="128"/>
          </rPr>
          <t xml:space="preserve">
</t>
        </r>
      </text>
    </comment>
    <comment ref="G55" authorId="0">
      <text>
        <r>
          <rPr>
            <sz val="9"/>
            <color indexed="81"/>
            <rFont val="Arial"/>
            <family val="2"/>
          </rPr>
          <t>0x508E&lt;bit11:0&gt;</t>
        </r>
        <r>
          <rPr>
            <sz val="9"/>
            <color indexed="81"/>
            <rFont val="ＭＳ Ｐゴシック"/>
            <family val="3"/>
            <charset val="128"/>
          </rPr>
          <t xml:space="preserve">
</t>
        </r>
      </text>
    </comment>
    <comment ref="H55" authorId="0">
      <text>
        <r>
          <rPr>
            <sz val="9"/>
            <color indexed="81"/>
            <rFont val="Arial"/>
            <family val="2"/>
          </rPr>
          <t>0x508A&lt;bit13:8&gt;</t>
        </r>
        <r>
          <rPr>
            <sz val="9"/>
            <color indexed="81"/>
            <rFont val="ＭＳ Ｐゴシック"/>
            <family val="3"/>
            <charset val="128"/>
          </rPr>
          <t xml:space="preserve">
</t>
        </r>
      </text>
    </comment>
    <comment ref="D57" authorId="0">
      <text>
        <r>
          <rPr>
            <sz val="9"/>
            <color indexed="81"/>
            <rFont val="Arial"/>
            <family val="2"/>
          </rPr>
          <t>0x0006&lt;bit2&gt;</t>
        </r>
        <r>
          <rPr>
            <sz val="9"/>
            <color indexed="81"/>
            <rFont val="ＭＳ Ｐゴシック"/>
            <family val="3"/>
            <charset val="128"/>
          </rPr>
          <t xml:space="preserve">
</t>
        </r>
      </text>
    </comment>
    <comment ref="D73" authorId="0">
      <text>
        <r>
          <rPr>
            <sz val="9"/>
            <color indexed="81"/>
            <rFont val="Arial"/>
            <family val="2"/>
          </rPr>
          <t>LP-&gt;HS transition time is  not included in this time</t>
        </r>
      </text>
    </comment>
    <comment ref="E73" authorId="0">
      <text>
        <r>
          <rPr>
            <sz val="9"/>
            <color indexed="81"/>
            <rFont val="Arial"/>
            <family val="2"/>
          </rPr>
          <t>LP-&gt;HS transition time is not included in this time</t>
        </r>
      </text>
    </comment>
    <comment ref="BA277" authorId="0">
      <text>
        <r>
          <rPr>
            <b/>
            <sz val="11"/>
            <color indexed="81"/>
            <rFont val="ＭＳ Ｐゴシック"/>
            <family val="3"/>
            <charset val="128"/>
          </rPr>
          <t>MOST:</t>
        </r>
        <r>
          <rPr>
            <sz val="11"/>
            <color indexed="81"/>
            <rFont val="ＭＳ Ｐゴシック"/>
            <family val="3"/>
            <charset val="128"/>
          </rPr>
          <t xml:space="preserve">
</t>
        </r>
        <r>
          <rPr>
            <b/>
            <sz val="11"/>
            <color indexed="10"/>
            <rFont val="ＭＳ Ｐゴシック"/>
            <family val="3"/>
            <charset val="128"/>
          </rPr>
          <t>Must be set to 1</t>
        </r>
      </text>
    </comment>
  </commentList>
</comments>
</file>

<file path=xl/sharedStrings.xml><?xml version="1.0" encoding="utf-8"?>
<sst xmlns="http://schemas.openxmlformats.org/spreadsheetml/2006/main" count="3732" uniqueCount="1822">
  <si>
    <t xml:space="preserve">Register Name </t>
  </si>
  <si>
    <t>Address</t>
  </si>
  <si>
    <t>HowToUse</t>
    <phoneticPr fontId="6"/>
  </si>
  <si>
    <t>Tv01</t>
    <phoneticPr fontId="6"/>
  </si>
  <si>
    <t>Rev</t>
    <phoneticPr fontId="6"/>
  </si>
  <si>
    <t>v01</t>
    <phoneticPr fontId="6"/>
  </si>
  <si>
    <t>Note</t>
    <phoneticPr fontId="6"/>
  </si>
  <si>
    <t>Rev</t>
    <phoneticPr fontId="6"/>
  </si>
  <si>
    <t>Note</t>
    <phoneticPr fontId="6"/>
  </si>
  <si>
    <t>Code</t>
    <phoneticPr fontId="6"/>
  </si>
  <si>
    <t>1st Edition</t>
    <phoneticPr fontId="6"/>
  </si>
  <si>
    <t>Revison</t>
    <phoneticPr fontId="6"/>
  </si>
  <si>
    <t>CMD</t>
    <phoneticPr fontId="6"/>
  </si>
  <si>
    <t>Data</t>
    <phoneticPr fontId="6"/>
  </si>
  <si>
    <t>REM</t>
    <phoneticPr fontId="6"/>
  </si>
  <si>
    <t>END</t>
    <phoneticPr fontId="6"/>
  </si>
  <si>
    <t>TOSHIBA Confidential</t>
    <phoneticPr fontId="6"/>
  </si>
  <si>
    <t>Value</t>
    <phoneticPr fontId="6"/>
  </si>
  <si>
    <t>Sepc min</t>
    <phoneticPr fontId="6"/>
  </si>
  <si>
    <t>Spec max</t>
    <phoneticPr fontId="6"/>
  </si>
  <si>
    <t>MHz</t>
    <phoneticPr fontId="6"/>
  </si>
  <si>
    <t>REFCLK</t>
    <phoneticPr fontId="6"/>
  </si>
  <si>
    <t>MHz</t>
    <phoneticPr fontId="6"/>
  </si>
  <si>
    <t>REFCK(MHz)</t>
    <phoneticPr fontId="6"/>
  </si>
  <si>
    <t>Pre Divider value</t>
    <phoneticPr fontId="6"/>
  </si>
  <si>
    <t>1-16</t>
    <phoneticPr fontId="6"/>
  </si>
  <si>
    <t>PLL input clock(MHz)</t>
    <phoneticPr fontId="6"/>
  </si>
  <si>
    <t>Unit Clock</t>
    <phoneticPr fontId="6"/>
  </si>
  <si>
    <t>Multiply value of Unit Clock</t>
    <phoneticPr fontId="6"/>
  </si>
  <si>
    <t>1-511</t>
    <phoneticPr fontId="6"/>
  </si>
  <si>
    <t>FRS,PRD,FBD-&gt;</t>
    <phoneticPr fontId="6"/>
  </si>
  <si>
    <t>Mbps/lane</t>
    <phoneticPr fontId="6"/>
  </si>
  <si>
    <t>DSI speed (Mbps/lane)</t>
    <phoneticPr fontId="6"/>
  </si>
  <si>
    <t>lane</t>
    <phoneticPr fontId="6"/>
  </si>
  <si>
    <t>Add EOT</t>
    <phoneticPr fontId="6"/>
  </si>
  <si>
    <t>Enable</t>
  </si>
  <si>
    <t>Insertion of LP between PKT</t>
    <phoneticPr fontId="6"/>
  </si>
  <si>
    <t>Disable</t>
  </si>
  <si>
    <t>HS Byte Clock</t>
    <phoneticPr fontId="6"/>
  </si>
  <si>
    <t>SYSCLK Freq(MHz)</t>
    <phoneticPr fontId="6"/>
  </si>
  <si>
    <t>Line Init Control</t>
    <phoneticPr fontId="6"/>
  </si>
  <si>
    <t>0-65535</t>
    <phoneticPr fontId="6"/>
  </si>
  <si>
    <t>Line Init Control(us)</t>
    <phoneticPr fontId="6"/>
  </si>
  <si>
    <t>TLPTXTIMECNT</t>
    <phoneticPr fontId="6"/>
  </si>
  <si>
    <t>1-2047</t>
    <phoneticPr fontId="6"/>
  </si>
  <si>
    <t>TLPX(ns)</t>
    <phoneticPr fontId="6"/>
  </si>
  <si>
    <t>0-127</t>
    <phoneticPr fontId="6"/>
  </si>
  <si>
    <t>TCLK-PREPARE(ns)</t>
    <phoneticPr fontId="6"/>
  </si>
  <si>
    <t>TCLK-PREPARE+</t>
    <phoneticPr fontId="6"/>
  </si>
  <si>
    <t>0-255</t>
    <phoneticPr fontId="6"/>
  </si>
  <si>
    <t>TCLK-ZERO(ns)</t>
    <phoneticPr fontId="6"/>
  </si>
  <si>
    <t>TCLKTRAILCNT</t>
    <phoneticPr fontId="6"/>
  </si>
  <si>
    <t>TCLK-TRAIL(ns)</t>
    <phoneticPr fontId="6"/>
  </si>
  <si>
    <t>THS-PREPARE(ns)</t>
    <phoneticPr fontId="6"/>
  </si>
  <si>
    <t>THS-PREPARE+</t>
    <phoneticPr fontId="6"/>
  </si>
  <si>
    <t>THS-ZERO(ns)</t>
    <phoneticPr fontId="6"/>
  </si>
  <si>
    <t>TWAKEUPCNT</t>
    <phoneticPr fontId="6"/>
  </si>
  <si>
    <t>TWAKEUP(ms)</t>
    <phoneticPr fontId="6"/>
  </si>
  <si>
    <t>TCLKPOSTCNT</t>
    <phoneticPr fontId="6"/>
  </si>
  <si>
    <t>0-2047</t>
    <phoneticPr fontId="6"/>
  </si>
  <si>
    <t>TCLK-POST(ns)</t>
    <phoneticPr fontId="6"/>
  </si>
  <si>
    <t>THSTRAILCNT</t>
    <phoneticPr fontId="6"/>
  </si>
  <si>
    <t>0-15</t>
    <phoneticPr fontId="6"/>
  </si>
  <si>
    <t>THS-TRAIL(ns)</t>
    <phoneticPr fontId="6"/>
  </si>
  <si>
    <t>Address(Hex)</t>
    <phoneticPr fontId="6"/>
  </si>
  <si>
    <t>Data(Hex)</t>
    <phoneticPr fontId="6"/>
  </si>
  <si>
    <t>fps</t>
    <phoneticPr fontId="15"/>
  </si>
  <si>
    <t>Htotal</t>
    <phoneticPr fontId="15"/>
  </si>
  <si>
    <t>(us)</t>
    <phoneticPr fontId="15"/>
  </si>
  <si>
    <t>Vtotal</t>
    <phoneticPr fontId="15"/>
  </si>
  <si>
    <t>(ms)</t>
    <phoneticPr fontId="15"/>
  </si>
  <si>
    <t>Format</t>
    <phoneticPr fontId="15"/>
  </si>
  <si>
    <t>Multiply Vaue</t>
    <phoneticPr fontId="6"/>
  </si>
  <si>
    <t>H Active</t>
    <phoneticPr fontId="15"/>
  </si>
  <si>
    <t>(us)</t>
    <phoneticPr fontId="15"/>
  </si>
  <si>
    <t>(ms)</t>
    <phoneticPr fontId="15"/>
  </si>
  <si>
    <t>V Blank</t>
    <phoneticPr fontId="15"/>
  </si>
  <si>
    <t>Timing</t>
    <phoneticPr fontId="15"/>
  </si>
  <si>
    <r>
      <t>TLPX</t>
    </r>
    <r>
      <rPr>
        <sz val="8"/>
        <rFont val="Arial"/>
        <family val="2"/>
      </rPr>
      <t>(Master)</t>
    </r>
    <r>
      <rPr>
        <sz val="11"/>
        <color indexed="8"/>
        <rFont val="Arial"/>
        <family val="2"/>
      </rPr>
      <t>/TLPX</t>
    </r>
    <r>
      <rPr>
        <sz val="8"/>
        <rFont val="Arial"/>
        <family val="2"/>
      </rPr>
      <t>(SLAVE)</t>
    </r>
    <phoneticPr fontId="6"/>
  </si>
  <si>
    <t>&lt;Error Message&gt;</t>
    <phoneticPr fontId="15"/>
  </si>
  <si>
    <t>Common Timing</t>
    <phoneticPr fontId="15"/>
  </si>
  <si>
    <t>Title</t>
    <phoneticPr fontId="6"/>
  </si>
  <si>
    <t>Comment</t>
    <phoneticPr fontId="6"/>
  </si>
  <si>
    <t>Initialization</t>
    <phoneticPr fontId="6"/>
  </si>
  <si>
    <t>Set</t>
  </si>
  <si>
    <t>Main_Parameters</t>
    <phoneticPr fontId="6"/>
  </si>
  <si>
    <t>Title</t>
    <phoneticPr fontId="15"/>
  </si>
  <si>
    <t>TOSHIBA Confidential</t>
    <phoneticPr fontId="6"/>
  </si>
  <si>
    <t xml:space="preserve">Fill parameters to yellow colored cells
</t>
    <phoneticPr fontId="6"/>
  </si>
  <si>
    <t>Yes</t>
  </si>
  <si>
    <t>000A</t>
    <phoneticPr fontId="6"/>
  </si>
  <si>
    <t>500M-1G</t>
  </si>
  <si>
    <t>HFP  left</t>
    <phoneticPr fontId="15"/>
  </si>
  <si>
    <t>SyncEvent</t>
  </si>
  <si>
    <t>PCLK</t>
    <phoneticPr fontId="15"/>
  </si>
  <si>
    <t>(MHz)</t>
    <phoneticPr fontId="15"/>
  </si>
  <si>
    <t>(PCLK)</t>
    <phoneticPr fontId="15"/>
  </si>
  <si>
    <t>HBPR</t>
    <phoneticPr fontId="15"/>
  </si>
  <si>
    <t>Hactive</t>
    <phoneticPr fontId="15"/>
  </si>
  <si>
    <t>HFPR</t>
    <phoneticPr fontId="15"/>
  </si>
  <si>
    <t>(line)</t>
    <phoneticPr fontId="15"/>
  </si>
  <si>
    <t>VBPR</t>
    <phoneticPr fontId="15"/>
  </si>
  <si>
    <t>Vactive</t>
    <phoneticPr fontId="15"/>
  </si>
  <si>
    <t>VFPR</t>
    <phoneticPr fontId="15"/>
  </si>
  <si>
    <t>us</t>
    <phoneticPr fontId="15"/>
  </si>
  <si>
    <t>ns</t>
    <phoneticPr fontId="15"/>
  </si>
  <si>
    <t>ns</t>
    <phoneticPr fontId="15"/>
  </si>
  <si>
    <t>DSI Output Detail Timing</t>
    <phoneticPr fontId="15"/>
  </si>
  <si>
    <t>HPW+HBP</t>
    <phoneticPr fontId="15"/>
  </si>
  <si>
    <t>Min</t>
    <phoneticPr fontId="15"/>
  </si>
  <si>
    <t>Suitable DSI speed(Mbps/lane)</t>
    <phoneticPr fontId="6"/>
  </si>
  <si>
    <t>0-2047</t>
    <phoneticPr fontId="6"/>
  </si>
  <si>
    <t>LPTX of SLAVE</t>
    <phoneticPr fontId="15"/>
  </si>
  <si>
    <t>ns</t>
    <phoneticPr fontId="15"/>
  </si>
  <si>
    <t>&lt;= DSI:HS-&gt;LP-&gt;HS time (ns)</t>
  </si>
  <si>
    <t>DSI speed/lane</t>
  </si>
  <si>
    <t>DSI lane</t>
  </si>
  <si>
    <t>DSI clock enable during LP</t>
  </si>
  <si>
    <t>DSI speed range(Mbps)</t>
  </si>
  <si>
    <t>RGB888</t>
  </si>
  <si>
    <t>RX-TA-SURE(ns)</t>
    <phoneticPr fontId="6"/>
  </si>
  <si>
    <t>TX-TA-GO(ns)</t>
    <phoneticPr fontId="6"/>
  </si>
  <si>
    <t>No</t>
  </si>
  <si>
    <t>Command Description   WR8:8bit Write,  WR16:16bit Write,  WR32:32bit Write, RD8:8bit Read,  RD16:16bit Read,  RD32:32bit Read</t>
    <phoneticPr fontId="6"/>
  </si>
  <si>
    <t>1st Pixel to</t>
    <phoneticPr fontId="15"/>
  </si>
  <si>
    <t>DSI Output
Format</t>
    <phoneticPr fontId="15"/>
  </si>
  <si>
    <t>TX0 Dmy Pix
(End)</t>
    <phoneticPr fontId="15"/>
  </si>
  <si>
    <t>TX0 Dmy Pix
(Start)</t>
    <phoneticPr fontId="15"/>
  </si>
  <si>
    <t>TX1 Dmy Pix
(Start)</t>
    <phoneticPr fontId="15"/>
  </si>
  <si>
    <t>TX1 Dmy Pix
(End)</t>
    <phoneticPr fontId="15"/>
  </si>
  <si>
    <t>TX0 Output
Start Pixel</t>
    <phoneticPr fontId="15"/>
  </si>
  <si>
    <t>TX0 Output
End Pixel</t>
    <phoneticPr fontId="15"/>
  </si>
  <si>
    <t>TX1 Output
Start Pixel</t>
    <phoneticPr fontId="15"/>
  </si>
  <si>
    <t>TX1 Output
End Pixel</t>
    <phoneticPr fontId="15"/>
  </si>
  <si>
    <t>DSI
Sync Mode</t>
    <phoneticPr fontId="15"/>
  </si>
  <si>
    <t>TX0 Trf Pix</t>
    <phoneticPr fontId="15"/>
  </si>
  <si>
    <t>TX1 Trf Pix</t>
    <phoneticPr fontId="15"/>
  </si>
  <si>
    <t>V Active</t>
    <phoneticPr fontId="15"/>
  </si>
  <si>
    <t>02AC</t>
    <phoneticPr fontId="6"/>
  </si>
  <si>
    <t>018C</t>
    <phoneticPr fontId="6"/>
  </si>
  <si>
    <t>0190</t>
    <phoneticPr fontId="6"/>
  </si>
  <si>
    <t>0454</t>
    <phoneticPr fontId="6"/>
  </si>
  <si>
    <t>0458</t>
    <phoneticPr fontId="6"/>
  </si>
  <si>
    <t>045C</t>
    <phoneticPr fontId="6"/>
  </si>
  <si>
    <t>0460</t>
    <phoneticPr fontId="6"/>
  </si>
  <si>
    <t>0464</t>
    <phoneticPr fontId="6"/>
  </si>
  <si>
    <t>0468</t>
    <phoneticPr fontId="6"/>
  </si>
  <si>
    <t>046C</t>
    <phoneticPr fontId="6"/>
  </si>
  <si>
    <t>0320</t>
    <phoneticPr fontId="6"/>
  </si>
  <si>
    <t>5008</t>
    <phoneticPr fontId="6"/>
  </si>
  <si>
    <t>5088</t>
    <phoneticPr fontId="6"/>
  </si>
  <si>
    <t>500C</t>
    <phoneticPr fontId="6"/>
  </si>
  <si>
    <t>508C</t>
    <phoneticPr fontId="6"/>
  </si>
  <si>
    <t>0120</t>
    <phoneticPr fontId="6"/>
  </si>
  <si>
    <t>0254</t>
    <phoneticPr fontId="6"/>
  </si>
  <si>
    <t>0258</t>
    <phoneticPr fontId="6"/>
  </si>
  <si>
    <t>025C</t>
    <phoneticPr fontId="6"/>
  </si>
  <si>
    <t>0260</t>
    <phoneticPr fontId="6"/>
  </si>
  <si>
    <t>0264</t>
    <phoneticPr fontId="6"/>
  </si>
  <si>
    <t>0268</t>
    <phoneticPr fontId="6"/>
  </si>
  <si>
    <t>026C</t>
    <phoneticPr fontId="6"/>
  </si>
  <si>
    <t>0318</t>
    <phoneticPr fontId="6"/>
  </si>
  <si>
    <t>0118</t>
    <phoneticPr fontId="6"/>
  </si>
  <si>
    <t>0278</t>
    <phoneticPr fontId="6"/>
  </si>
  <si>
    <t>038C</t>
    <phoneticPr fontId="6"/>
  </si>
  <si>
    <t>0390</t>
    <phoneticPr fontId="6"/>
  </si>
  <si>
    <t>0478</t>
    <phoneticPr fontId="6"/>
  </si>
  <si>
    <t>00000001</t>
    <phoneticPr fontId="6"/>
  </si>
  <si>
    <t>0110</t>
    <phoneticPr fontId="6"/>
  </si>
  <si>
    <t>0310</t>
    <phoneticPr fontId="6"/>
  </si>
  <si>
    <t>5000</t>
    <phoneticPr fontId="6"/>
  </si>
  <si>
    <t>1000</t>
    <phoneticPr fontId="6"/>
  </si>
  <si>
    <t>0274</t>
    <phoneticPr fontId="6"/>
  </si>
  <si>
    <t>0474</t>
    <phoneticPr fontId="6"/>
  </si>
  <si>
    <t>00000003</t>
    <phoneticPr fontId="6"/>
  </si>
  <si>
    <t>04AC</t>
    <phoneticPr fontId="6"/>
  </si>
  <si>
    <t>8A00</t>
    <phoneticPr fontId="6"/>
  </si>
  <si>
    <t>8A08</t>
    <phoneticPr fontId="6"/>
  </si>
  <si>
    <t>8A01</t>
    <phoneticPr fontId="6"/>
  </si>
  <si>
    <t>14</t>
    <phoneticPr fontId="15"/>
  </si>
  <si>
    <t>500E</t>
    <phoneticPr fontId="6"/>
  </si>
  <si>
    <t>Splitter Mode</t>
    <phoneticPr fontId="15"/>
  </si>
  <si>
    <t>TX0 Splitter-&gt;</t>
    <phoneticPr fontId="15"/>
  </si>
  <si>
    <t>TX1 Splitter-&gt;</t>
    <phoneticPr fontId="15"/>
  </si>
  <si>
    <t>5080</t>
    <phoneticPr fontId="6"/>
  </si>
  <si>
    <t>508E</t>
    <phoneticPr fontId="6"/>
  </si>
  <si>
    <t>0006</t>
    <phoneticPr fontId="6"/>
  </si>
  <si>
    <t>MSF</t>
    <phoneticPr fontId="15"/>
  </si>
  <si>
    <t>1-4096</t>
    <phoneticPr fontId="15"/>
  </si>
  <si>
    <t>DSI0</t>
  </si>
  <si>
    <t>DSI Mode</t>
    <phoneticPr fontId="15"/>
  </si>
  <si>
    <t>Format</t>
    <phoneticPr fontId="15"/>
  </si>
  <si>
    <t>Splitter</t>
    <phoneticPr fontId="15"/>
  </si>
  <si>
    <t>1-4096</t>
    <phoneticPr fontId="15"/>
  </si>
  <si>
    <t>7008</t>
    <phoneticPr fontId="6"/>
  </si>
  <si>
    <t>700A</t>
    <phoneticPr fontId="6"/>
  </si>
  <si>
    <t>700C</t>
    <phoneticPr fontId="6"/>
  </si>
  <si>
    <t>700E</t>
    <phoneticPr fontId="6"/>
  </si>
  <si>
    <t>7010</t>
    <phoneticPr fontId="6"/>
  </si>
  <si>
    <t>7012</t>
    <phoneticPr fontId="6"/>
  </si>
  <si>
    <t>7014</t>
    <phoneticPr fontId="6"/>
  </si>
  <si>
    <t>7016</t>
    <phoneticPr fontId="6"/>
  </si>
  <si>
    <t>7000</t>
    <phoneticPr fontId="6"/>
  </si>
  <si>
    <t xml:space="preserve">Select "Main_Parameters" sheet. </t>
    <phoneticPr fontId="6"/>
  </si>
  <si>
    <t>017C</t>
    <phoneticPr fontId="6"/>
  </si>
  <si>
    <t>037C</t>
    <phoneticPr fontId="6"/>
  </si>
  <si>
    <t>TCLK-Pre(ns)</t>
    <phoneticPr fontId="6"/>
  </si>
  <si>
    <t>TCLK-EXIT(ns)</t>
    <phoneticPr fontId="6"/>
  </si>
  <si>
    <t>LPTXTIMECNT</t>
    <phoneticPr fontId="6"/>
  </si>
  <si>
    <t>TCLK_HEADERCNT</t>
  </si>
  <si>
    <t>TCLK_HEADERCNT</t>
    <phoneticPr fontId="6"/>
  </si>
  <si>
    <t>0-63</t>
    <phoneticPr fontId="6"/>
  </si>
  <si>
    <t>THS_HEADERCNT</t>
  </si>
  <si>
    <t>THS_HEADERCNT</t>
    <phoneticPr fontId="6"/>
  </si>
  <si>
    <t>THS-EXIT(ns)</t>
    <phoneticPr fontId="6"/>
  </si>
  <si>
    <t>TCLKTRAILCNT</t>
  </si>
  <si>
    <t>TWAKEUPCNT</t>
  </si>
  <si>
    <t>TCLKPOSTCNT</t>
  </si>
  <si>
    <t>THSTRAILCNT</t>
  </si>
  <si>
    <t>BTA_COUNT</t>
  </si>
  <si>
    <t>BTA_COUNT</t>
    <phoneticPr fontId="15"/>
  </si>
  <si>
    <t>REG[0454h]bit[11:0]</t>
    <phoneticPr fontId="15"/>
  </si>
  <si>
    <t>REG[0458h]bit[6:0]</t>
    <phoneticPr fontId="15"/>
  </si>
  <si>
    <t>REG[0458h]bit[23:16]</t>
    <phoneticPr fontId="15"/>
  </si>
  <si>
    <t>REG[0458h]bit[13:8]</t>
    <phoneticPr fontId="15"/>
  </si>
  <si>
    <t>REG[045Ch]bit[7:0]</t>
    <phoneticPr fontId="15"/>
  </si>
  <si>
    <t>REG[045Ch]bit[26:16]</t>
    <phoneticPr fontId="15"/>
  </si>
  <si>
    <t>REG[0460h]bit[6:0]</t>
    <phoneticPr fontId="15"/>
  </si>
  <si>
    <t>REG[0460h]bit[23:16]</t>
    <phoneticPr fontId="15"/>
  </si>
  <si>
    <t>REG[0464h]bit[15:0]</t>
    <phoneticPr fontId="15"/>
  </si>
  <si>
    <t>REG[0468h]bit[10:0]</t>
    <phoneticPr fontId="15"/>
  </si>
  <si>
    <t>REG[046Ch]bit[7:0]</t>
    <phoneticPr fontId="15"/>
  </si>
  <si>
    <t>REG[046Ch]bit[26:16]</t>
    <phoneticPr fontId="15"/>
  </si>
  <si>
    <t>REG[0478h]bit[10:0]</t>
    <phoneticPr fontId="15"/>
  </si>
  <si>
    <t>REG[0478h]bit[26:16]</t>
    <phoneticPr fontId="15"/>
  </si>
  <si>
    <t>REG[0310h]bit[15:0]</t>
    <phoneticPr fontId="6"/>
  </si>
  <si>
    <t>HPW</t>
    <phoneticPr fontId="15"/>
  </si>
  <si>
    <t>HPW+HBP by</t>
    <phoneticPr fontId="15"/>
  </si>
  <si>
    <t>Time(ByteClk)-&gt;</t>
    <phoneticPr fontId="15"/>
  </si>
  <si>
    <t>&lt;= DSI:HS-&gt;LP-&gt;HS(short) time (ns)</t>
    <phoneticPr fontId="15"/>
  </si>
  <si>
    <t>Color Bar Setting</t>
    <phoneticPr fontId="6"/>
  </si>
  <si>
    <t>Source_ColorBar</t>
    <phoneticPr fontId="6"/>
  </si>
  <si>
    <t>&lt;Embedded Color Bar Output&gt;</t>
    <phoneticPr fontId="6"/>
  </si>
  <si>
    <t xml:space="preserve">Select "Main_Parameters" sheet. </t>
    <phoneticPr fontId="6"/>
  </si>
  <si>
    <t xml:space="preserve">Fill parameters to yellow colored cells
</t>
    <phoneticPr fontId="6"/>
  </si>
  <si>
    <t>0170(HDMI input)</t>
    <phoneticPr fontId="6"/>
  </si>
  <si>
    <t>0170(Color Bar)</t>
    <phoneticPr fontId="6"/>
  </si>
  <si>
    <t>0370(Color Bar)</t>
    <phoneticPr fontId="6"/>
  </si>
  <si>
    <t>Signal Source</t>
    <phoneticPr fontId="6"/>
  </si>
  <si>
    <t>TX0/1 Enable</t>
  </si>
  <si>
    <t>PCLK</t>
  </si>
  <si>
    <t>HBPR</t>
  </si>
  <si>
    <t>HFPR</t>
  </si>
  <si>
    <t>VBPR</t>
  </si>
  <si>
    <t>Vactive</t>
  </si>
  <si>
    <t>VFPR</t>
  </si>
  <si>
    <t>bits/
pixel</t>
  </si>
  <si>
    <t>(MHz)</t>
  </si>
  <si>
    <t>(PCLK)</t>
  </si>
  <si>
    <t>(line)</t>
  </si>
  <si>
    <t>HPW</t>
    <phoneticPr fontId="43"/>
  </si>
  <si>
    <t>HACT</t>
    <phoneticPr fontId="43"/>
  </si>
  <si>
    <t>VPW</t>
    <phoneticPr fontId="43"/>
  </si>
  <si>
    <t>fps</t>
    <phoneticPr fontId="43"/>
  </si>
  <si>
    <t>(PCLK)</t>
    <phoneticPr fontId="43"/>
  </si>
  <si>
    <t>(line)</t>
    <phoneticPr fontId="43"/>
  </si>
  <si>
    <t>1920x1080</t>
    <phoneticPr fontId="43"/>
  </si>
  <si>
    <t>1920x1200</t>
    <phoneticPr fontId="43"/>
  </si>
  <si>
    <t>1200x1920</t>
    <phoneticPr fontId="43"/>
  </si>
  <si>
    <t>2048x1536</t>
    <phoneticPr fontId="43"/>
  </si>
  <si>
    <t>2560x1600</t>
    <phoneticPr fontId="43"/>
  </si>
  <si>
    <t>3200x2400</t>
    <phoneticPr fontId="43"/>
  </si>
  <si>
    <t>1080x1920</t>
    <phoneticPr fontId="43"/>
  </si>
  <si>
    <t>1440x2560</t>
    <phoneticPr fontId="43"/>
  </si>
  <si>
    <t>768x1366</t>
    <phoneticPr fontId="43"/>
  </si>
  <si>
    <t>3840x2160</t>
    <phoneticPr fontId="43"/>
  </si>
  <si>
    <t>4096x2048</t>
    <phoneticPr fontId="43"/>
  </si>
  <si>
    <t>4096x2160</t>
    <phoneticPr fontId="43"/>
  </si>
  <si>
    <t>1600x2560</t>
    <phoneticPr fontId="43"/>
  </si>
  <si>
    <t>1536x2048</t>
    <phoneticPr fontId="43"/>
  </si>
  <si>
    <t>2560x1440</t>
    <phoneticPr fontId="43"/>
  </si>
  <si>
    <t>1280x800</t>
    <phoneticPr fontId="43"/>
  </si>
  <si>
    <t>No</t>
    <phoneticPr fontId="15"/>
  </si>
  <si>
    <t>Preset Resolution</t>
    <phoneticPr fontId="15"/>
  </si>
  <si>
    <t>REFCLK(MHz)</t>
    <phoneticPr fontId="6"/>
  </si>
  <si>
    <t>DSI Mode</t>
    <phoneticPr fontId="15"/>
  </si>
  <si>
    <t>WR8</t>
    <phoneticPr fontId="6"/>
  </si>
  <si>
    <t>0800</t>
    <phoneticPr fontId="6"/>
  </si>
  <si>
    <t>1000</t>
    <phoneticPr fontId="6"/>
  </si>
  <si>
    <t>1004</t>
    <phoneticPr fontId="6"/>
  </si>
  <si>
    <t>WR32</t>
    <phoneticPr fontId="6"/>
  </si>
  <si>
    <t>1008</t>
    <phoneticPr fontId="6"/>
  </si>
  <si>
    <t>100C</t>
    <phoneticPr fontId="6"/>
  </si>
  <si>
    <t>1010</t>
    <phoneticPr fontId="6"/>
  </si>
  <si>
    <t>I/O Voltage Setting</t>
    <phoneticPr fontId="6"/>
  </si>
  <si>
    <t>Boot Wait Count Setting</t>
    <phoneticPr fontId="6"/>
  </si>
  <si>
    <t>1014</t>
    <phoneticPr fontId="6"/>
  </si>
  <si>
    <t>1018</t>
    <phoneticPr fontId="6"/>
  </si>
  <si>
    <t>RD32</t>
    <phoneticPr fontId="6"/>
  </si>
  <si>
    <t>8003</t>
    <phoneticPr fontId="6"/>
  </si>
  <si>
    <t>B400</t>
    <phoneticPr fontId="6"/>
  </si>
  <si>
    <t>B632</t>
    <phoneticPr fontId="6"/>
  </si>
  <si>
    <t>IOB_CTRL1</t>
    <phoneticPr fontId="6"/>
  </si>
  <si>
    <t>BootWaitCount</t>
    <phoneticPr fontId="6"/>
  </si>
  <si>
    <t>Boot Set0</t>
    <phoneticPr fontId="6"/>
  </si>
  <si>
    <t>Boot Set1</t>
    <phoneticPr fontId="6"/>
  </si>
  <si>
    <t>Boot Set2</t>
    <phoneticPr fontId="6"/>
  </si>
  <si>
    <t>Boot Set3</t>
    <phoneticPr fontId="6"/>
  </si>
  <si>
    <t>Boot Ctrl</t>
    <phoneticPr fontId="6"/>
  </si>
  <si>
    <t>Boot Status</t>
    <phoneticPr fontId="6"/>
  </si>
  <si>
    <t>AL Mode Control Link</t>
    <phoneticPr fontId="6"/>
  </si>
  <si>
    <t>Max Downspread</t>
    <phoneticPr fontId="6"/>
  </si>
  <si>
    <t>PL Mainlink REFCLK Ctrl</t>
    <phoneticPr fontId="6"/>
  </si>
  <si>
    <t>Max Link Rate</t>
    <phoneticPr fontId="6"/>
  </si>
  <si>
    <t>Max Lane Count</t>
    <phoneticPr fontId="6"/>
  </si>
  <si>
    <t>8001</t>
    <phoneticPr fontId="6"/>
  </si>
  <si>
    <t>8002</t>
    <phoneticPr fontId="6"/>
  </si>
  <si>
    <t>8202</t>
    <phoneticPr fontId="6"/>
  </si>
  <si>
    <t>8204</t>
    <phoneticPr fontId="6"/>
  </si>
  <si>
    <t>WR32</t>
    <phoneticPr fontId="6"/>
  </si>
  <si>
    <t>DSI_DSITX_MODE</t>
    <phoneticPr fontId="6"/>
  </si>
  <si>
    <t>DSI_DSITX_START</t>
    <phoneticPr fontId="6"/>
  </si>
  <si>
    <t>00000001</t>
    <phoneticPr fontId="6"/>
  </si>
  <si>
    <t>WR32</t>
    <phoneticPr fontId="6"/>
  </si>
  <si>
    <t>I/O Voltage</t>
    <phoneticPr fontId="15"/>
  </si>
  <si>
    <t>0800</t>
    <phoneticPr fontId="6"/>
  </si>
  <si>
    <t>1000</t>
    <phoneticPr fontId="6"/>
  </si>
  <si>
    <t>1004</t>
    <phoneticPr fontId="6"/>
  </si>
  <si>
    <t>1008</t>
    <phoneticPr fontId="6"/>
  </si>
  <si>
    <t>100C</t>
    <phoneticPr fontId="6"/>
  </si>
  <si>
    <t>1010</t>
    <phoneticPr fontId="6"/>
  </si>
  <si>
    <t>Compression</t>
    <phoneticPr fontId="15"/>
  </si>
  <si>
    <r>
      <t>bi</t>
    </r>
    <r>
      <rPr>
        <sz val="11"/>
        <color rgb="FFFF0000"/>
        <rFont val="ＭＳ Ｐゴシック"/>
        <family val="3"/>
        <charset val="128"/>
      </rPr>
      <t>ｔ</t>
    </r>
    <r>
      <rPr>
        <sz val="11"/>
        <color rgb="FFFF0000"/>
        <rFont val="Arial"/>
        <family val="2"/>
      </rPr>
      <t>15(bit31)</t>
    </r>
    <phoneticPr fontId="6"/>
  </si>
  <si>
    <r>
      <t>bi</t>
    </r>
    <r>
      <rPr>
        <sz val="11"/>
        <color rgb="FFFF0000"/>
        <rFont val="ＭＳ Ｐゴシック"/>
        <family val="3"/>
        <charset val="128"/>
      </rPr>
      <t>ｔ</t>
    </r>
    <r>
      <rPr>
        <sz val="11"/>
        <color rgb="FFFF0000"/>
        <rFont val="Arial"/>
        <family val="2"/>
      </rPr>
      <t>14(bit30)</t>
    </r>
    <phoneticPr fontId="6"/>
  </si>
  <si>
    <r>
      <t>bi</t>
    </r>
    <r>
      <rPr>
        <sz val="11"/>
        <color rgb="FFFF0000"/>
        <rFont val="ＭＳ Ｐゴシック"/>
        <family val="3"/>
        <charset val="128"/>
      </rPr>
      <t>ｔ</t>
    </r>
    <r>
      <rPr>
        <sz val="11"/>
        <color rgb="FFFF0000"/>
        <rFont val="Arial"/>
        <family val="2"/>
      </rPr>
      <t>13(bit29)</t>
    </r>
    <phoneticPr fontId="6"/>
  </si>
  <si>
    <r>
      <t>bi</t>
    </r>
    <r>
      <rPr>
        <sz val="11"/>
        <color rgb="FFFF0000"/>
        <rFont val="ＭＳ Ｐゴシック"/>
        <family val="3"/>
        <charset val="128"/>
      </rPr>
      <t>ｔ</t>
    </r>
    <r>
      <rPr>
        <sz val="11"/>
        <color rgb="FFFF0000"/>
        <rFont val="Arial"/>
        <family val="2"/>
      </rPr>
      <t>12(bit28)</t>
    </r>
    <phoneticPr fontId="6"/>
  </si>
  <si>
    <r>
      <t>bi</t>
    </r>
    <r>
      <rPr>
        <sz val="11"/>
        <color rgb="FFFF0000"/>
        <rFont val="ＭＳ Ｐゴシック"/>
        <family val="3"/>
        <charset val="128"/>
      </rPr>
      <t>ｔ</t>
    </r>
    <r>
      <rPr>
        <sz val="11"/>
        <color rgb="FFFF0000"/>
        <rFont val="Arial"/>
        <family val="2"/>
      </rPr>
      <t>11(bit27)</t>
    </r>
    <phoneticPr fontId="6"/>
  </si>
  <si>
    <r>
      <t>bi</t>
    </r>
    <r>
      <rPr>
        <sz val="11"/>
        <color rgb="FFFF0000"/>
        <rFont val="ＭＳ Ｐゴシック"/>
        <family val="3"/>
        <charset val="128"/>
      </rPr>
      <t>ｔ</t>
    </r>
    <r>
      <rPr>
        <sz val="11"/>
        <color rgb="FFFF0000"/>
        <rFont val="Arial"/>
        <family val="2"/>
      </rPr>
      <t>10(bit26)</t>
    </r>
    <phoneticPr fontId="6"/>
  </si>
  <si>
    <r>
      <t>bi</t>
    </r>
    <r>
      <rPr>
        <sz val="11"/>
        <color rgb="FFFF0000"/>
        <rFont val="ＭＳ Ｐゴシック"/>
        <family val="3"/>
        <charset val="128"/>
      </rPr>
      <t>ｔ</t>
    </r>
    <r>
      <rPr>
        <sz val="11"/>
        <color rgb="FFFF0000"/>
        <rFont val="Arial"/>
        <family val="2"/>
      </rPr>
      <t>09(bit25)</t>
    </r>
    <phoneticPr fontId="6"/>
  </si>
  <si>
    <r>
      <t>bi</t>
    </r>
    <r>
      <rPr>
        <sz val="11"/>
        <color rgb="FFFF0000"/>
        <rFont val="ＭＳ Ｐゴシック"/>
        <family val="3"/>
        <charset val="128"/>
      </rPr>
      <t>ｔ</t>
    </r>
    <r>
      <rPr>
        <sz val="11"/>
        <color rgb="FFFF0000"/>
        <rFont val="Arial"/>
        <family val="2"/>
      </rPr>
      <t>08(bit24)</t>
    </r>
    <phoneticPr fontId="6"/>
  </si>
  <si>
    <r>
      <t>bi</t>
    </r>
    <r>
      <rPr>
        <sz val="11"/>
        <color rgb="FFFF0000"/>
        <rFont val="ＭＳ Ｐゴシック"/>
        <family val="3"/>
        <charset val="128"/>
      </rPr>
      <t>ｔ</t>
    </r>
    <r>
      <rPr>
        <sz val="11"/>
        <color rgb="FFFF0000"/>
        <rFont val="Arial"/>
        <family val="2"/>
      </rPr>
      <t>07(bit23)</t>
    </r>
    <phoneticPr fontId="6"/>
  </si>
  <si>
    <r>
      <t>bi</t>
    </r>
    <r>
      <rPr>
        <sz val="11"/>
        <color rgb="FFFF0000"/>
        <rFont val="ＭＳ Ｐゴシック"/>
        <family val="3"/>
        <charset val="128"/>
      </rPr>
      <t>ｔ</t>
    </r>
    <r>
      <rPr>
        <sz val="11"/>
        <color rgb="FFFF0000"/>
        <rFont val="Arial"/>
        <family val="2"/>
      </rPr>
      <t>06(bit22)</t>
    </r>
    <phoneticPr fontId="6"/>
  </si>
  <si>
    <r>
      <t>bi</t>
    </r>
    <r>
      <rPr>
        <sz val="11"/>
        <color rgb="FFFF0000"/>
        <rFont val="ＭＳ Ｐゴシック"/>
        <family val="3"/>
        <charset val="128"/>
      </rPr>
      <t>ｔ</t>
    </r>
    <r>
      <rPr>
        <sz val="11"/>
        <color rgb="FFFF0000"/>
        <rFont val="Arial"/>
        <family val="2"/>
      </rPr>
      <t>05(bit21)</t>
    </r>
    <phoneticPr fontId="6"/>
  </si>
  <si>
    <r>
      <t>bi</t>
    </r>
    <r>
      <rPr>
        <sz val="11"/>
        <color rgb="FFFF0000"/>
        <rFont val="ＭＳ Ｐゴシック"/>
        <family val="3"/>
        <charset val="128"/>
      </rPr>
      <t>ｔ</t>
    </r>
    <r>
      <rPr>
        <sz val="11"/>
        <color rgb="FFFF0000"/>
        <rFont val="Arial"/>
        <family val="2"/>
      </rPr>
      <t>04(bit20)</t>
    </r>
    <phoneticPr fontId="6"/>
  </si>
  <si>
    <r>
      <t>bi</t>
    </r>
    <r>
      <rPr>
        <sz val="11"/>
        <color rgb="FFFF0000"/>
        <rFont val="ＭＳ Ｐゴシック"/>
        <family val="3"/>
        <charset val="128"/>
      </rPr>
      <t>ｔ</t>
    </r>
    <r>
      <rPr>
        <sz val="11"/>
        <color rgb="FFFF0000"/>
        <rFont val="Arial"/>
        <family val="2"/>
      </rPr>
      <t>03(bit19)</t>
    </r>
    <phoneticPr fontId="6"/>
  </si>
  <si>
    <r>
      <t>bi</t>
    </r>
    <r>
      <rPr>
        <sz val="11"/>
        <color rgb="FFFF0000"/>
        <rFont val="ＭＳ Ｐゴシック"/>
        <family val="3"/>
        <charset val="128"/>
      </rPr>
      <t>ｔ</t>
    </r>
    <r>
      <rPr>
        <sz val="11"/>
        <color rgb="FFFF0000"/>
        <rFont val="Arial"/>
        <family val="2"/>
      </rPr>
      <t>02(bit18)</t>
    </r>
    <phoneticPr fontId="6"/>
  </si>
  <si>
    <r>
      <t>bi</t>
    </r>
    <r>
      <rPr>
        <sz val="11"/>
        <color rgb="FFFF0000"/>
        <rFont val="ＭＳ Ｐゴシック"/>
        <family val="3"/>
        <charset val="128"/>
      </rPr>
      <t>ｔ</t>
    </r>
    <r>
      <rPr>
        <sz val="11"/>
        <color rgb="FFFF0000"/>
        <rFont val="Arial"/>
        <family val="2"/>
      </rPr>
      <t>01(bit17)</t>
    </r>
    <phoneticPr fontId="6"/>
  </si>
  <si>
    <r>
      <t>bi</t>
    </r>
    <r>
      <rPr>
        <sz val="11"/>
        <color rgb="FFFF0000"/>
        <rFont val="ＭＳ Ｐゴシック"/>
        <family val="3"/>
        <charset val="128"/>
      </rPr>
      <t>ｔ</t>
    </r>
    <r>
      <rPr>
        <sz val="11"/>
        <color rgb="FFFF0000"/>
        <rFont val="Arial"/>
        <family val="2"/>
      </rPr>
      <t>00(bit16)</t>
    </r>
    <phoneticPr fontId="6"/>
  </si>
  <si>
    <t>1008</t>
    <phoneticPr fontId="6"/>
  </si>
  <si>
    <t>VFP(lines)</t>
    <phoneticPr fontId="15"/>
  </si>
  <si>
    <t>1010</t>
    <phoneticPr fontId="6"/>
  </si>
  <si>
    <t>Time(ns)-&gt;</t>
    <phoneticPr fontId="15"/>
  </si>
  <si>
    <t>Value Set-&gt;</t>
    <phoneticPr fontId="15"/>
  </si>
  <si>
    <t>TC358860XBG eDP Input Start Up sequence</t>
    <phoneticPr fontId="6"/>
  </si>
  <si>
    <t>eFuseBtEn[7]</t>
    <phoneticPr fontId="6"/>
  </si>
  <si>
    <t>Break1IntEn[6]</t>
    <phoneticPr fontId="6"/>
  </si>
  <si>
    <t>Break0IntEn[5]</t>
    <phoneticPr fontId="6"/>
  </si>
  <si>
    <t>BootDoneIntEn[4]</t>
    <phoneticPr fontId="6"/>
  </si>
  <si>
    <t>Resume1En[2]</t>
    <phoneticPr fontId="6"/>
  </si>
  <si>
    <t>Resume0En[1]</t>
    <phoneticPr fontId="6"/>
  </si>
  <si>
    <t>BootEn[0]</t>
    <phoneticPr fontId="6"/>
  </si>
  <si>
    <t>Auto Boot</t>
  </si>
  <si>
    <t>b15</t>
    <phoneticPr fontId="6"/>
  </si>
  <si>
    <t>b14</t>
    <phoneticPr fontId="6"/>
  </si>
  <si>
    <t>b13</t>
    <phoneticPr fontId="6"/>
  </si>
  <si>
    <t>b12</t>
    <phoneticPr fontId="6"/>
  </si>
  <si>
    <t>b11</t>
    <phoneticPr fontId="6"/>
  </si>
  <si>
    <t>b10</t>
    <phoneticPr fontId="6"/>
  </si>
  <si>
    <t>b9</t>
    <phoneticPr fontId="6"/>
  </si>
  <si>
    <t>b8</t>
    <phoneticPr fontId="6"/>
  </si>
  <si>
    <t>b7</t>
    <phoneticPr fontId="6"/>
  </si>
  <si>
    <t>b6</t>
    <phoneticPr fontId="6"/>
  </si>
  <si>
    <t>b5</t>
    <phoneticPr fontId="6"/>
  </si>
  <si>
    <t>b4</t>
    <phoneticPr fontId="6"/>
  </si>
  <si>
    <t>b3</t>
    <phoneticPr fontId="6"/>
  </si>
  <si>
    <t>b2</t>
    <phoneticPr fontId="6"/>
  </si>
  <si>
    <t>b1</t>
    <phoneticPr fontId="6"/>
  </si>
  <si>
    <t>b0</t>
    <phoneticPr fontId="6"/>
  </si>
  <si>
    <t>LinkTrainin[0]</t>
    <phoneticPr fontId="6"/>
  </si>
  <si>
    <t>12</t>
    <phoneticPr fontId="6"/>
  </si>
  <si>
    <t>Expected read out value</t>
    <phoneticPr fontId="6"/>
  </si>
  <si>
    <t>No Error</t>
  </si>
  <si>
    <t>Ready</t>
  </si>
  <si>
    <t>BLPktEn[7]</t>
    <phoneticPr fontId="6"/>
  </si>
  <si>
    <t>DSI STOP[2:1]</t>
    <phoneticPr fontId="6"/>
  </si>
  <si>
    <t>VSYNC</t>
  </si>
  <si>
    <t>WR32</t>
    <phoneticPr fontId="6"/>
  </si>
  <si>
    <t>b16</t>
    <phoneticPr fontId="6"/>
  </si>
  <si>
    <t>b17</t>
    <phoneticPr fontId="6"/>
  </si>
  <si>
    <t>b18</t>
    <phoneticPr fontId="6"/>
  </si>
  <si>
    <t>b19</t>
    <phoneticPr fontId="6"/>
  </si>
  <si>
    <t>b20</t>
    <phoneticPr fontId="6"/>
  </si>
  <si>
    <t>b21</t>
    <phoneticPr fontId="6"/>
  </si>
  <si>
    <t>b22</t>
    <phoneticPr fontId="6"/>
  </si>
  <si>
    <t>b23</t>
    <phoneticPr fontId="6"/>
  </si>
  <si>
    <t>b24</t>
    <phoneticPr fontId="6"/>
  </si>
  <si>
    <t>b25</t>
    <phoneticPr fontId="6"/>
  </si>
  <si>
    <t>b26</t>
    <phoneticPr fontId="6"/>
  </si>
  <si>
    <t>b27</t>
    <phoneticPr fontId="6"/>
  </si>
  <si>
    <t>b28</t>
    <phoneticPr fontId="6"/>
  </si>
  <si>
    <t>b29</t>
    <phoneticPr fontId="6"/>
  </si>
  <si>
    <t>b30</t>
    <phoneticPr fontId="6"/>
  </si>
  <si>
    <t>b31</t>
    <phoneticPr fontId="6"/>
  </si>
  <si>
    <t>IO Voltahge Setting</t>
    <phoneticPr fontId="6"/>
  </si>
  <si>
    <t>Boot Settings</t>
    <phoneticPr fontId="6"/>
  </si>
  <si>
    <t>For Full Link Training</t>
    <phoneticPr fontId="6"/>
  </si>
  <si>
    <t>V Blank(eDP)&gt;</t>
    <phoneticPr fontId="15"/>
  </si>
  <si>
    <t>VPW+VFP+2</t>
    <phoneticPr fontId="15"/>
  </si>
  <si>
    <t>&lt;-Time(ByteClk)</t>
    <phoneticPr fontId="15"/>
  </si>
  <si>
    <t>DSI Ref Speed/lane(Mbps)</t>
    <phoneticPr fontId="15"/>
  </si>
  <si>
    <t>DSI:HS-&gt;LP-&gt;HS time(Manual) (ns)=&gt;</t>
    <phoneticPr fontId="15"/>
  </si>
  <si>
    <t>DSI:HS-&gt;LP-&gt;HS(short)(Manual) time (ns)=&gt;</t>
    <phoneticPr fontId="15"/>
  </si>
  <si>
    <t>Resolution</t>
    <phoneticPr fontId="15"/>
  </si>
  <si>
    <t>Original</t>
    <phoneticPr fontId="15"/>
  </si>
  <si>
    <t>Ref DSI Speed</t>
    <phoneticPr fontId="15"/>
  </si>
  <si>
    <t>DSI-TX Output</t>
    <phoneticPr fontId="15"/>
  </si>
  <si>
    <t>Additional Setting for eDP</t>
    <phoneticPr fontId="6"/>
  </si>
  <si>
    <t>eDP Settings for Link Training</t>
    <phoneticPr fontId="6"/>
  </si>
  <si>
    <t>Check BOOT sequence completion.</t>
    <phoneticPr fontId="6"/>
  </si>
  <si>
    <t>CHECK</t>
    <phoneticPr fontId="6"/>
  </si>
  <si>
    <t>Command Description   delay:Wait (unit is "us"), REM/REMnd: Remark. For delay command, Wait value must be written into address column.  CHECK: Check Sequence.</t>
    <phoneticPr fontId="6"/>
  </si>
  <si>
    <t>1link or 2link(Split)</t>
    <phoneticPr fontId="15"/>
  </si>
  <si>
    <t>DSI Start</t>
    <phoneticPr fontId="6"/>
  </si>
  <si>
    <t>RD32</t>
    <phoneticPr fontId="6"/>
  </si>
  <si>
    <t>DSITX_INIT_INT_STAT</t>
    <phoneticPr fontId="6"/>
  </si>
  <si>
    <t>delay</t>
    <phoneticPr fontId="6"/>
  </si>
  <si>
    <t>Wait 100us</t>
    <phoneticPr fontId="6"/>
  </si>
  <si>
    <t>00000003</t>
    <phoneticPr fontId="6"/>
  </si>
  <si>
    <t>Check if 0x2060/4060&lt;bit1:0&gt;=11b.</t>
    <phoneticPr fontId="6"/>
  </si>
  <si>
    <t>If not wait until 0x2060/4060&lt;bit1:0&gt;=11b.</t>
    <phoneticPr fontId="6"/>
  </si>
  <si>
    <t>DSI1_CQMODE</t>
    <phoneticPr fontId="6"/>
  </si>
  <si>
    <t>DSI0_CQMODE</t>
    <phoneticPr fontId="6"/>
  </si>
  <si>
    <t>DSI0_VideoSTART</t>
    <phoneticPr fontId="6"/>
  </si>
  <si>
    <t>DSI1_VideoSTART</t>
    <phoneticPr fontId="6"/>
  </si>
  <si>
    <t>2A10</t>
    <phoneticPr fontId="6"/>
  </si>
  <si>
    <t>3A10</t>
    <phoneticPr fontId="6"/>
  </si>
  <si>
    <t>2A04</t>
    <phoneticPr fontId="6"/>
  </si>
  <si>
    <t>3A04</t>
    <phoneticPr fontId="6"/>
  </si>
  <si>
    <t>Delay from HSYNC(1&lt;Delay&lt;2^13)</t>
    <phoneticPr fontId="6"/>
  </si>
  <si>
    <t>Delay from VSYNC(0&lt;Delay&lt;2^13)</t>
    <phoneticPr fontId="6"/>
  </si>
  <si>
    <t>CMD Mode[31]</t>
    <phoneticPr fontId="6"/>
  </si>
  <si>
    <t>With Video</t>
  </si>
  <si>
    <t>00000001</t>
    <phoneticPr fontId="6"/>
  </si>
  <si>
    <t>Set_DPVideoEn</t>
    <phoneticPr fontId="6"/>
  </si>
  <si>
    <t>0154</t>
    <phoneticPr fontId="6"/>
  </si>
  <si>
    <t>Display Port Input Enable</t>
    <phoneticPr fontId="6"/>
  </si>
  <si>
    <t>Wait 1ms</t>
    <phoneticPr fontId="6"/>
  </si>
  <si>
    <t>Check if 0x8202 is expected value.</t>
    <phoneticPr fontId="6"/>
  </si>
  <si>
    <t>Check if 0x8204 is expected value.</t>
    <phoneticPr fontId="6"/>
  </si>
  <si>
    <t>GPIO setting for LCD.  (Depends on LCD specification and System configuration)</t>
    <phoneticPr fontId="6"/>
  </si>
  <si>
    <t>Command Transmission Before Video Start. (Depeds on LCD specification)</t>
    <phoneticPr fontId="6"/>
  </si>
  <si>
    <t>Command Transmission After Video Start. (Depends on LCD specification)</t>
    <phoneticPr fontId="6"/>
  </si>
  <si>
    <t>GPIOC</t>
    <phoneticPr fontId="6"/>
  </si>
  <si>
    <t>0080</t>
    <phoneticPr fontId="6"/>
  </si>
  <si>
    <t>Run BOOT</t>
    <phoneticPr fontId="6"/>
  </si>
  <si>
    <t>Run BOOT again</t>
    <phoneticPr fontId="6"/>
  </si>
  <si>
    <t>Select Link Training Mode by C30</t>
    <phoneticPr fontId="6"/>
  </si>
  <si>
    <t>Fill DSI related parameters</t>
    <phoneticPr fontId="6"/>
  </si>
  <si>
    <t xml:space="preserve">Select REFCLK by C37. </t>
    <phoneticPr fontId="6"/>
  </si>
  <si>
    <t>Select DSI speed by C39 referring to C38. Faster than C38 is recommended.</t>
    <phoneticPr fontId="6"/>
  </si>
  <si>
    <t xml:space="preserve">Select DSI lanes by C40. DSI link by C41. Compression Enable/Disable by C46. Suitable DSI clock speed will be listed in C38. 
If C38 is "N/A", setting mismatch happens. Please try other parameters according to message shown in &lt;Error Message&gt; box.  </t>
    <phoneticPr fontId="6"/>
  </si>
  <si>
    <t>Select DSI mode by C42.</t>
    <phoneticPr fontId="6"/>
  </si>
  <si>
    <t xml:space="preserve">Fill DSI side porch timing by D70~G70, D71~G71. When "Sync Event Mode" is selected HPW+HBP for Horizontal and VFP for Vertical will be setting target.
When "Sync Pulse Mode" is selected, HPW, HBP for Horizontal, VPW, VFP for Vertical will be setting target. 
HFP(DSI) is calculated by eDP input 1line time - HPW(DSI)+HBP(DSI) time - H active time. VPW+VBP(DSI) is calculated by eDP V blanking - VFP.
To set porch timing, 2 modes are prepared. "Follow Input" and "Set".
When "Follow Input" is selected, porch timings(in ns/us/ms) are automatically adjusted to follow eDP input time filled in D19,E19,H19,I19,K19.
For "Set" mode, user can decide porch timing independently from eDP input.  Mode selection is done by D70,E70,F70,G70 and setting values for "Set" mode are through D71,E71,F71,G71. 
Unit for Vertical porch is "line". For Horizontal poch, unit is word count. time in ns and time in byte clock unit is displayed in D73/E73 and D74/E74 each.
</t>
    <phoneticPr fontId="6"/>
  </si>
  <si>
    <t>By filling DSI side porch timing, this excel sheet will check if DSI can output all the data within 1line period.
If I72 is "NG", DSI cannot outpu all the data within 1line period. For this case please try other parameters according to message shown in &lt;Error Message&gt; box.
F74,G74,H74 cells are prepared to check DSI side V porch parameters. If "NG" appears, adjust V porch parameters until F74,G74,H74 become "OK".</t>
    <phoneticPr fontId="6"/>
  </si>
  <si>
    <t>LCD command transmission sequence should be put into light yellow colored part.
1st yellow part is for LCD command tranmission before video transmisson. 2nd yellow part is for LCD command transmission after video start.</t>
    <phoneticPr fontId="6"/>
  </si>
  <si>
    <t>If detailed setting/adjustment is required, adjust orange colored part in register setting.</t>
    <phoneticPr fontId="6"/>
  </si>
  <si>
    <t>0300</t>
    <phoneticPr fontId="39"/>
  </si>
  <si>
    <t>0304</t>
    <phoneticPr fontId="39"/>
  </si>
  <si>
    <t>CBR00_HTIM1</t>
    <phoneticPr fontId="39"/>
  </si>
  <si>
    <t>CBR00_HTIM2</t>
    <phoneticPr fontId="39"/>
  </si>
  <si>
    <t>CBR00_VTIM1</t>
    <phoneticPr fontId="39"/>
  </si>
  <si>
    <t>CBR00_VTIM2</t>
    <phoneticPr fontId="39"/>
  </si>
  <si>
    <t>0308</t>
    <phoneticPr fontId="39"/>
  </si>
  <si>
    <t>030C</t>
    <phoneticPr fontId="39"/>
  </si>
  <si>
    <t>0310</t>
    <phoneticPr fontId="39"/>
  </si>
  <si>
    <t>0314</t>
    <phoneticPr fontId="39"/>
  </si>
  <si>
    <t>CBR00_MODE</t>
    <phoneticPr fontId="39"/>
  </si>
  <si>
    <t>CBR00_COLOR</t>
    <phoneticPr fontId="39"/>
  </si>
  <si>
    <t>CBR00_ENABLE</t>
    <phoneticPr fontId="39"/>
  </si>
  <si>
    <t>CBR00_START</t>
    <phoneticPr fontId="39"/>
  </si>
  <si>
    <t>0318</t>
    <phoneticPr fontId="39"/>
  </si>
  <si>
    <t>031C</t>
    <phoneticPr fontId="39"/>
  </si>
  <si>
    <t>CB00</t>
    <phoneticPr fontId="15"/>
  </si>
  <si>
    <t>CB Mode</t>
    <phoneticPr fontId="15"/>
  </si>
  <si>
    <t>eDP Ch(ch) -&gt;</t>
    <phoneticPr fontId="15"/>
  </si>
  <si>
    <t>Black</t>
    <phoneticPr fontId="15"/>
  </si>
  <si>
    <t>White</t>
    <phoneticPr fontId="15"/>
  </si>
  <si>
    <t>Original RGB</t>
    <phoneticPr fontId="15"/>
  </si>
  <si>
    <t>ColorBar(V)</t>
    <phoneticPr fontId="15"/>
  </si>
  <si>
    <t>ColorBar(H)</t>
    <phoneticPr fontId="15"/>
  </si>
  <si>
    <t>GrayScale(V)</t>
    <phoneticPr fontId="15"/>
  </si>
  <si>
    <t>GrayScale(H)</t>
    <phoneticPr fontId="15"/>
  </si>
  <si>
    <t>CB Mode</t>
    <phoneticPr fontId="6"/>
  </si>
  <si>
    <t>CB00 -&gt;</t>
    <phoneticPr fontId="6"/>
  </si>
  <si>
    <t>R(0~255)</t>
    <phoneticPr fontId="15"/>
  </si>
  <si>
    <t>G(0~255)</t>
    <phoneticPr fontId="15"/>
  </si>
  <si>
    <t>B(0~255)</t>
    <phoneticPr fontId="15"/>
  </si>
  <si>
    <t>Seld No-&gt;</t>
    <phoneticPr fontId="15"/>
  </si>
  <si>
    <t>0300</t>
    <phoneticPr fontId="15"/>
  </si>
  <si>
    <t>0304</t>
    <phoneticPr fontId="15"/>
  </si>
  <si>
    <t>0308</t>
    <phoneticPr fontId="15"/>
  </si>
  <si>
    <t>030C</t>
    <phoneticPr fontId="15"/>
  </si>
  <si>
    <t>0310</t>
    <phoneticPr fontId="15"/>
  </si>
  <si>
    <t>0314</t>
    <phoneticPr fontId="15"/>
  </si>
  <si>
    <t>0318</t>
    <phoneticPr fontId="15"/>
  </si>
  <si>
    <t>031C</t>
    <phoneticPr fontId="15"/>
  </si>
  <si>
    <t>0414</t>
    <phoneticPr fontId="15"/>
  </si>
  <si>
    <t>0418</t>
    <phoneticPr fontId="15"/>
  </si>
  <si>
    <t>041C</t>
    <phoneticPr fontId="15"/>
  </si>
  <si>
    <t>0514</t>
    <phoneticPr fontId="15"/>
  </si>
  <si>
    <t>0518</t>
    <phoneticPr fontId="15"/>
  </si>
  <si>
    <t>051C</t>
    <phoneticPr fontId="15"/>
  </si>
  <si>
    <t>0410</t>
    <phoneticPr fontId="15"/>
  </si>
  <si>
    <t>0510</t>
    <phoneticPr fontId="15"/>
  </si>
  <si>
    <t>0400</t>
    <phoneticPr fontId="15"/>
  </si>
  <si>
    <t>0404</t>
    <phoneticPr fontId="15"/>
  </si>
  <si>
    <t>0408</t>
    <phoneticPr fontId="15"/>
  </si>
  <si>
    <t>040C</t>
    <phoneticPr fontId="15"/>
  </si>
  <si>
    <t>0500</t>
    <phoneticPr fontId="15"/>
  </si>
  <si>
    <t>0504</t>
    <phoneticPr fontId="15"/>
  </si>
  <si>
    <t>0508</t>
    <phoneticPr fontId="15"/>
  </si>
  <si>
    <t>050C</t>
    <phoneticPr fontId="15"/>
  </si>
  <si>
    <t>VPW</t>
    <phoneticPr fontId="15"/>
  </si>
  <si>
    <t>TC358860XBG Color Bar Start Up sequence</t>
    <phoneticPr fontId="6"/>
  </si>
  <si>
    <t>eDP Link Rate(Gbps) -&gt;</t>
    <phoneticPr fontId="15"/>
  </si>
  <si>
    <t>Select picture source by C29. Select "Color Bar".</t>
    <phoneticPr fontId="6"/>
  </si>
  <si>
    <t>Select I/O voltage by C34.</t>
    <phoneticPr fontId="6"/>
  </si>
  <si>
    <t>3-1</t>
    <phoneticPr fontId="6"/>
  </si>
  <si>
    <t>3-2</t>
    <phoneticPr fontId="6"/>
  </si>
  <si>
    <t>3-2-1</t>
    <phoneticPr fontId="6"/>
  </si>
  <si>
    <t>3-2-2</t>
    <phoneticPr fontId="6"/>
  </si>
  <si>
    <t>3-2-3</t>
    <phoneticPr fontId="6"/>
  </si>
  <si>
    <t>3-2-4</t>
    <phoneticPr fontId="6"/>
  </si>
  <si>
    <t>3-2-5</t>
    <phoneticPr fontId="6"/>
  </si>
  <si>
    <t>3-3</t>
    <phoneticPr fontId="6"/>
  </si>
  <si>
    <t>3-3-1</t>
    <phoneticPr fontId="6"/>
  </si>
  <si>
    <t>3-3-2</t>
    <phoneticPr fontId="6"/>
  </si>
  <si>
    <t>3-3-3</t>
    <phoneticPr fontId="6"/>
  </si>
  <si>
    <t>3-3-4</t>
    <phoneticPr fontId="6"/>
  </si>
  <si>
    <t>3-3-5</t>
    <phoneticPr fontId="6"/>
  </si>
  <si>
    <t>3-3-6</t>
    <phoneticPr fontId="6"/>
  </si>
  <si>
    <t>6-1</t>
    <phoneticPr fontId="6"/>
  </si>
  <si>
    <t>6-2</t>
    <phoneticPr fontId="6"/>
  </si>
  <si>
    <t>Fill Color Bar related paramters.</t>
    <phoneticPr fontId="6"/>
  </si>
  <si>
    <t>3-2-3</t>
    <phoneticPr fontId="6"/>
  </si>
  <si>
    <t>3-2-4</t>
    <phoneticPr fontId="6"/>
  </si>
  <si>
    <t>After all the judgement cells becomes OK, select "Source_ColorBar" sheet.</t>
    <phoneticPr fontId="6"/>
  </si>
  <si>
    <t>Setting seuqnece is automatically calculated and listed in B, D, E columns at "Source_ColorBar" sheet.
C column is Command. D column is Address, E column is Data.</t>
    <phoneticPr fontId="6"/>
  </si>
  <si>
    <t>Additional/detail setting can be done in "Source_ColorBar" sheet.</t>
    <phoneticPr fontId="6"/>
  </si>
  <si>
    <t>After all the judgement cells becomes OK, select "Source_eDP" sheet.</t>
    <phoneticPr fontId="6"/>
  </si>
  <si>
    <t>Setting seuqnece is automatically calculated and listed in B, D, E columns at "Source_eDP" sheet.
C column is Command. D column is Address, E column is Data.</t>
    <phoneticPr fontId="6"/>
  </si>
  <si>
    <t>Additional/detail setting can be done in "Source_eDP" sheet.</t>
    <phoneticPr fontId="6"/>
  </si>
  <si>
    <t>HS</t>
    <phoneticPr fontId="15"/>
  </si>
  <si>
    <t>v02</t>
    <phoneticPr fontId="6"/>
  </si>
  <si>
    <t>Change C70 to HS(fixed)</t>
    <phoneticPr fontId="6"/>
  </si>
  <si>
    <t>v02</t>
    <phoneticPr fontId="6"/>
  </si>
  <si>
    <t>v02</t>
    <phoneticPr fontId="6"/>
  </si>
  <si>
    <t>Add "General I2C","General AUX" format</t>
    <phoneticPr fontId="6"/>
  </si>
  <si>
    <t>Tv02</t>
    <phoneticPr fontId="6"/>
  </si>
  <si>
    <t>Change DSI speed (C39)</t>
    <phoneticPr fontId="6"/>
  </si>
  <si>
    <t>Change HPW+HBP value (E71)</t>
    <phoneticPr fontId="6"/>
  </si>
  <si>
    <t>B88E</t>
    <phoneticPr fontId="6"/>
  </si>
  <si>
    <t>B88F</t>
    <phoneticPr fontId="6"/>
  </si>
  <si>
    <t>B89A</t>
    <phoneticPr fontId="6"/>
  </si>
  <si>
    <t>B89B</t>
    <phoneticPr fontId="6"/>
  </si>
  <si>
    <t>FF</t>
    <phoneticPr fontId="6"/>
  </si>
  <si>
    <t>Set CR_OPT_WCNT0</t>
    <phoneticPr fontId="6"/>
  </si>
  <si>
    <t>Set CR_OPT_WCNT1</t>
    <phoneticPr fontId="6"/>
  </si>
  <si>
    <t>Set CR_OPT_WCNT2</t>
    <phoneticPr fontId="6"/>
  </si>
  <si>
    <t>Set CR_OPT_WCNT3</t>
    <phoneticPr fontId="6"/>
  </si>
  <si>
    <t>Set CDR_PHASE_LP_EN</t>
    <phoneticPr fontId="6"/>
  </si>
  <si>
    <t>B800</t>
    <phoneticPr fontId="6"/>
  </si>
  <si>
    <t>1E</t>
    <phoneticPr fontId="6"/>
  </si>
  <si>
    <t>0288</t>
    <phoneticPr fontId="6"/>
  </si>
  <si>
    <t>76012345</t>
    <phoneticPr fontId="6"/>
  </si>
  <si>
    <t>Set CMP0_POST_SWAP</t>
    <phoneticPr fontId="6"/>
  </si>
  <si>
    <t>Set CMP1_POST_SWAP</t>
    <phoneticPr fontId="6"/>
  </si>
  <si>
    <t>0298</t>
    <phoneticPr fontId="6"/>
  </si>
  <si>
    <t>RD8</t>
    <phoneticPr fontId="6"/>
  </si>
  <si>
    <t>PL Mainlink Status</t>
    <phoneticPr fontId="6"/>
  </si>
  <si>
    <t>B631</t>
    <phoneticPr fontId="6"/>
  </si>
  <si>
    <t>Check PHY calibration ready</t>
    <phoneticPr fontId="6"/>
  </si>
  <si>
    <t>Calib Err[1]</t>
    <phoneticPr fontId="6"/>
  </si>
  <si>
    <t>PHY Rdy[0]</t>
    <phoneticPr fontId="6"/>
  </si>
  <si>
    <t>CHECK</t>
    <phoneticPr fontId="6"/>
  </si>
  <si>
    <t>Check if 0xB631&lt;bit1:0&gt;=01b.</t>
    <phoneticPr fontId="6"/>
  </si>
  <si>
    <t>If not wait until 0xB631&lt;bit1:0&gt;=01b</t>
    <phoneticPr fontId="6"/>
  </si>
  <si>
    <t>Add eDP additonal setting</t>
    <phoneticPr fontId="6"/>
  </si>
  <si>
    <t>Add Compression related additional setting</t>
    <phoneticPr fontId="6"/>
  </si>
  <si>
    <t>Main Link reference clock select</t>
    <phoneticPr fontId="6"/>
  </si>
  <si>
    <t>Data Swap setting for compression</t>
    <phoneticPr fontId="39"/>
  </si>
  <si>
    <t>Add Data Swap setting for compression</t>
    <phoneticPr fontId="6"/>
  </si>
  <si>
    <t>CB00 En</t>
  </si>
  <si>
    <t>8203</t>
    <phoneticPr fontId="6"/>
  </si>
  <si>
    <t>Check if 0x8203 is expected value.</t>
    <phoneticPr fontId="6"/>
  </si>
  <si>
    <t>Check Link Training Status lane0,1 (DPCD 202h)</t>
    <phoneticPr fontId="6"/>
  </si>
  <si>
    <t>Check Link Training Status lane2,3 (DPCD 203h)</t>
    <phoneticPr fontId="6"/>
  </si>
  <si>
    <t>If not, Link Training has problem.</t>
    <phoneticPr fontId="6"/>
  </si>
  <si>
    <t>LANE0_1_STATUS</t>
    <phoneticPr fontId="6"/>
  </si>
  <si>
    <t>LANE2_3_STATUS</t>
    <phoneticPr fontId="6"/>
  </si>
  <si>
    <t>LANE_ALIGN_STATUS_UPDATED</t>
    <phoneticPr fontId="6"/>
  </si>
  <si>
    <t>Check Link Training Status lane align (DPCD 204h)</t>
    <phoneticPr fontId="6"/>
  </si>
  <si>
    <t>Tv03</t>
    <phoneticPr fontId="6"/>
  </si>
  <si>
    <t>v03</t>
    <phoneticPr fontId="6"/>
  </si>
  <si>
    <t>Modifty status checking after Link Training. 0x8202,0x8203,0x8204</t>
    <phoneticPr fontId="6"/>
  </si>
  <si>
    <t>v03</t>
    <phoneticPr fontId="6"/>
  </si>
  <si>
    <t>v03</t>
    <phoneticPr fontId="6"/>
  </si>
  <si>
    <t>Delete setting for CB10 and CB11.</t>
    <phoneticPr fontId="6"/>
  </si>
  <si>
    <t>RD8</t>
    <phoneticPr fontId="6"/>
  </si>
  <si>
    <t>LANE_COUNT_SET</t>
    <phoneticPr fontId="6"/>
  </si>
  <si>
    <t>8101</t>
    <phoneticPr fontId="6"/>
  </si>
  <si>
    <t>TC358860XBG Debug Registers</t>
    <phoneticPr fontId="6"/>
  </si>
  <si>
    <t>DBGF_IOSEL[1:0]</t>
    <phoneticPr fontId="6"/>
  </si>
  <si>
    <t>5100</t>
    <phoneticPr fontId="6"/>
  </si>
  <si>
    <t>05210522</t>
    <phoneticPr fontId="39"/>
  </si>
  <si>
    <t>DSI0D0P=HSYNC,DSI0CKP=VSYNC</t>
    <phoneticPr fontId="39"/>
  </si>
  <si>
    <t>5104</t>
    <phoneticPr fontId="6"/>
  </si>
  <si>
    <t>052D052C</t>
    <phoneticPr fontId="39"/>
  </si>
  <si>
    <t>DSI0D2P=DE1,DSI0D1P=DE0</t>
    <phoneticPr fontId="39"/>
  </si>
  <si>
    <t>DBGF_IOSEL[3:2]</t>
    <phoneticPr fontId="6"/>
  </si>
  <si>
    <t>Source_Debug</t>
    <phoneticPr fontId="6"/>
  </si>
  <si>
    <t>1st Edition</t>
    <phoneticPr fontId="6"/>
  </si>
  <si>
    <t>Delete CB10,CB11 setting.</t>
    <phoneticPr fontId="6"/>
  </si>
  <si>
    <t>v02</t>
    <phoneticPr fontId="6"/>
  </si>
  <si>
    <t>Modify Color Bar setting part,</t>
    <phoneticPr fontId="6"/>
  </si>
  <si>
    <t>81 or 01</t>
    <phoneticPr fontId="6"/>
  </si>
  <si>
    <t>81 or 01</t>
    <phoneticPr fontId="6"/>
  </si>
  <si>
    <t>Tv04</t>
    <phoneticPr fontId="6"/>
  </si>
  <si>
    <t>v04</t>
    <phoneticPr fontId="6"/>
  </si>
  <si>
    <t>Add new expectation value to E60.</t>
    <phoneticPr fontId="6"/>
  </si>
  <si>
    <t>Tv05</t>
    <phoneticPr fontId="6"/>
  </si>
  <si>
    <t>v04</t>
    <phoneticPr fontId="6"/>
  </si>
  <si>
    <t>Modify BJ4 value</t>
    <phoneticPr fontId="6"/>
  </si>
  <si>
    <t>Unlock F19 J19</t>
    <phoneticPr fontId="6"/>
  </si>
  <si>
    <t>00000000</t>
    <phoneticPr fontId="6"/>
  </si>
  <si>
    <t>v05</t>
    <phoneticPr fontId="6"/>
  </si>
  <si>
    <t>Change 0x0804 value</t>
    <phoneticPr fontId="6"/>
  </si>
  <si>
    <t>v04</t>
    <phoneticPr fontId="6"/>
  </si>
  <si>
    <t>Tv06</t>
    <phoneticPr fontId="6"/>
  </si>
  <si>
    <t>Tv07</t>
    <phoneticPr fontId="6"/>
  </si>
  <si>
    <t>v06</t>
    <phoneticPr fontId="6"/>
  </si>
  <si>
    <t>Modify B31 formula</t>
    <phoneticPr fontId="6"/>
  </si>
  <si>
    <t>B008</t>
    <phoneticPr fontId="15"/>
  </si>
  <si>
    <t>41B0</t>
    <phoneticPr fontId="15"/>
  </si>
  <si>
    <t>41BC</t>
    <phoneticPr fontId="15"/>
  </si>
  <si>
    <t>41C0</t>
    <phoneticPr fontId="15"/>
  </si>
  <si>
    <t>0110</t>
    <phoneticPr fontId="15"/>
  </si>
  <si>
    <t>0124</t>
    <phoneticPr fontId="15"/>
  </si>
  <si>
    <t>0148</t>
    <phoneticPr fontId="15"/>
  </si>
  <si>
    <t>2920</t>
    <phoneticPr fontId="15"/>
  </si>
  <si>
    <t>4154</t>
    <phoneticPr fontId="15"/>
  </si>
  <si>
    <t>4158</t>
    <phoneticPr fontId="15"/>
  </si>
  <si>
    <t>415C</t>
    <phoneticPr fontId="15"/>
  </si>
  <si>
    <t>4160</t>
    <phoneticPr fontId="15"/>
  </si>
  <si>
    <t>4164</t>
    <phoneticPr fontId="15"/>
  </si>
  <si>
    <t>4168</t>
    <phoneticPr fontId="15"/>
  </si>
  <si>
    <t>416C</t>
    <phoneticPr fontId="15"/>
  </si>
  <si>
    <t>4178</t>
    <phoneticPr fontId="15"/>
  </si>
  <si>
    <t>B005</t>
    <phoneticPr fontId="15"/>
  </si>
  <si>
    <t>B006</t>
    <phoneticPr fontId="15"/>
  </si>
  <si>
    <t>B007</t>
    <phoneticPr fontId="15"/>
  </si>
  <si>
    <t>B009</t>
    <phoneticPr fontId="15"/>
  </si>
  <si>
    <t>B00A</t>
    <phoneticPr fontId="15"/>
  </si>
  <si>
    <t>CG_VIDPLL_CTRL1</t>
    <phoneticPr fontId="15"/>
  </si>
  <si>
    <t>CG_VIDPLL_CTRL2</t>
    <phoneticPr fontId="15"/>
  </si>
  <si>
    <t>CG_VIDPLL_CTRL3</t>
    <phoneticPr fontId="15"/>
  </si>
  <si>
    <t>CG_VIDPLL_CTRL4</t>
    <phoneticPr fontId="15"/>
  </si>
  <si>
    <t>CG_VIDPLL_CTRL5</t>
    <phoneticPr fontId="15"/>
  </si>
  <si>
    <t>CG_VIDPLL_CTRL6</t>
    <phoneticPr fontId="15"/>
  </si>
  <si>
    <t>REFCLK(MHz)</t>
    <phoneticPr fontId="15"/>
  </si>
  <si>
    <t>PCLK(MHz)</t>
    <phoneticPr fontId="15"/>
  </si>
  <si>
    <t>Preset</t>
    <phoneticPr fontId="15"/>
  </si>
  <si>
    <t>FRS</t>
    <phoneticPr fontId="15"/>
  </si>
  <si>
    <t>PRD</t>
    <phoneticPr fontId="15"/>
  </si>
  <si>
    <t>REFCLK</t>
    <phoneticPr fontId="15"/>
  </si>
  <si>
    <t>DSI Speed(Mbps)</t>
    <phoneticPr fontId="15"/>
  </si>
  <si>
    <t>FBD</t>
    <phoneticPr fontId="15"/>
  </si>
  <si>
    <t>FBD(Integer)</t>
    <phoneticPr fontId="15"/>
  </si>
  <si>
    <t>DSI Speed(Real)</t>
    <phoneticPr fontId="15"/>
  </si>
  <si>
    <t>LBW</t>
    <phoneticPr fontId="15"/>
  </si>
  <si>
    <t>PLLFR[3:0]</t>
    <phoneticPr fontId="15"/>
  </si>
  <si>
    <t>PLLVDIV[1:0]</t>
    <phoneticPr fontId="15"/>
  </si>
  <si>
    <t>PLLPRESCR</t>
    <phoneticPr fontId="15"/>
  </si>
  <si>
    <t>PLLBCP[4:0]</t>
    <phoneticPr fontId="15"/>
  </si>
  <si>
    <t>Cmp,Split Status</t>
    <phoneticPr fontId="15"/>
  </si>
  <si>
    <t>Bit/Pixel</t>
    <phoneticPr fontId="15"/>
  </si>
  <si>
    <t>REG[4178h]bit[10:0]</t>
    <phoneticPr fontId="6"/>
  </si>
  <si>
    <t>REG[4178h]bit[26:16]</t>
    <phoneticPr fontId="6"/>
  </si>
  <si>
    <t>REG[416Ch]bit[26:16]</t>
    <phoneticPr fontId="6"/>
  </si>
  <si>
    <t>REG[416Ch]bit[7:0]</t>
    <phoneticPr fontId="6"/>
  </si>
  <si>
    <t>REG[4168h]bit[10:0]</t>
    <phoneticPr fontId="6"/>
  </si>
  <si>
    <t>REG[4164h]bit[15:0]</t>
    <phoneticPr fontId="6"/>
  </si>
  <si>
    <t>REG[4160h]bit[23:16]</t>
    <phoneticPr fontId="6"/>
  </si>
  <si>
    <t>REG[4160h]bit[6:0]</t>
    <phoneticPr fontId="6"/>
  </si>
  <si>
    <t>REG[415Ch]bit[26:16]</t>
    <phoneticPr fontId="6"/>
  </si>
  <si>
    <t>REG[415Ch]bit[7:0]</t>
    <phoneticPr fontId="6"/>
  </si>
  <si>
    <t>REG[4158h]bit[13:8]</t>
    <phoneticPr fontId="6"/>
  </si>
  <si>
    <t>REG[4158h]bit[23:16]</t>
    <phoneticPr fontId="6"/>
  </si>
  <si>
    <t>REG[4158h]bit[6:0]</t>
    <phoneticPr fontId="6"/>
  </si>
  <si>
    <t>REG[4154h]bit[11:0]</t>
    <phoneticPr fontId="6"/>
  </si>
  <si>
    <t>REG[4120h]bit[15:0]</t>
    <phoneticPr fontId="6"/>
  </si>
  <si>
    <t>LPTX</t>
    <phoneticPr fontId="15"/>
  </si>
  <si>
    <t>TCLK-PRE</t>
    <phoneticPr fontId="15"/>
  </si>
  <si>
    <t>TCLK-PREPARE+ZERO</t>
    <phoneticPr fontId="15"/>
  </si>
  <si>
    <t>TCLK-PREPARE</t>
    <phoneticPr fontId="15"/>
  </si>
  <si>
    <t>TCLK-TRAIL</t>
    <phoneticPr fontId="15"/>
  </si>
  <si>
    <t>TCLK-EXIT</t>
    <phoneticPr fontId="15"/>
  </si>
  <si>
    <t>THS-PREPARE</t>
    <phoneticPr fontId="15"/>
  </si>
  <si>
    <t>THS-PREPARE+ZERO</t>
    <phoneticPr fontId="15"/>
  </si>
  <si>
    <t>TWAKEUP</t>
    <phoneticPr fontId="15"/>
  </si>
  <si>
    <t>THS-TRAIL</t>
    <phoneticPr fontId="15"/>
  </si>
  <si>
    <t>THS-EXIT</t>
    <phoneticPr fontId="15"/>
  </si>
  <si>
    <t>RX-TA-SURE</t>
    <phoneticPr fontId="15"/>
  </si>
  <si>
    <t>TX-TA-GO</t>
    <phoneticPr fontId="15"/>
  </si>
  <si>
    <t>TCLK-POST</t>
    <phoneticPr fontId="15"/>
  </si>
  <si>
    <t>Selected Column</t>
    <phoneticPr fontId="15"/>
  </si>
  <si>
    <t>Tv08</t>
    <phoneticPr fontId="6"/>
  </si>
  <si>
    <t>v02</t>
    <phoneticPr fontId="6"/>
  </si>
  <si>
    <t>Modify E10</t>
    <phoneticPr fontId="6"/>
  </si>
  <si>
    <t>BB26</t>
    <phoneticPr fontId="6"/>
  </si>
  <si>
    <t>RX_VREG_VALUE</t>
    <phoneticPr fontId="6"/>
  </si>
  <si>
    <t>RX_VREG_ENABLE</t>
    <phoneticPr fontId="6"/>
  </si>
  <si>
    <t>BB01</t>
    <phoneticPr fontId="6"/>
  </si>
  <si>
    <t>B80B</t>
    <phoneticPr fontId="6"/>
  </si>
  <si>
    <t>B833</t>
    <phoneticPr fontId="6"/>
  </si>
  <si>
    <t>B85B</t>
    <phoneticPr fontId="6"/>
  </si>
  <si>
    <t>B810</t>
    <phoneticPr fontId="6"/>
  </si>
  <si>
    <t>B838</t>
    <phoneticPr fontId="6"/>
  </si>
  <si>
    <t>B860</t>
    <phoneticPr fontId="6"/>
  </si>
  <si>
    <t>B815</t>
    <phoneticPr fontId="6"/>
  </si>
  <si>
    <t>B83D</t>
    <phoneticPr fontId="6"/>
  </si>
  <si>
    <t>B865</t>
    <phoneticPr fontId="6"/>
  </si>
  <si>
    <t>B81A</t>
    <phoneticPr fontId="6"/>
  </si>
  <si>
    <t>B842</t>
    <phoneticPr fontId="6"/>
  </si>
  <si>
    <t>B86A</t>
    <phoneticPr fontId="6"/>
  </si>
  <si>
    <t>B81F</t>
    <phoneticPr fontId="6"/>
  </si>
  <si>
    <t>B847</t>
    <phoneticPr fontId="6"/>
  </si>
  <si>
    <t>B86F</t>
    <phoneticPr fontId="6"/>
  </si>
  <si>
    <t>B824</t>
    <phoneticPr fontId="6"/>
  </si>
  <si>
    <t>B84C</t>
    <phoneticPr fontId="6"/>
  </si>
  <si>
    <t>B874</t>
    <phoneticPr fontId="6"/>
  </si>
  <si>
    <t>B829</t>
    <phoneticPr fontId="6"/>
  </si>
  <si>
    <t>B851</t>
    <phoneticPr fontId="6"/>
  </si>
  <si>
    <t>B879</t>
    <phoneticPr fontId="6"/>
  </si>
  <si>
    <t>B82E</t>
    <phoneticPr fontId="6"/>
  </si>
  <si>
    <t>B856</t>
    <phoneticPr fontId="6"/>
  </si>
  <si>
    <t>B87E</t>
    <phoneticPr fontId="6"/>
  </si>
  <si>
    <t>BB90</t>
    <phoneticPr fontId="6"/>
  </si>
  <si>
    <t>BB91</t>
    <phoneticPr fontId="6"/>
  </si>
  <si>
    <t>BB92</t>
    <phoneticPr fontId="6"/>
  </si>
  <si>
    <t>BB93</t>
    <phoneticPr fontId="6"/>
  </si>
  <si>
    <t>BB94</t>
    <phoneticPr fontId="6"/>
  </si>
  <si>
    <t>BB95</t>
    <phoneticPr fontId="6"/>
  </si>
  <si>
    <t>BB96</t>
    <phoneticPr fontId="6"/>
  </si>
  <si>
    <t>BB97</t>
    <phoneticPr fontId="6"/>
  </si>
  <si>
    <t>BB98</t>
    <phoneticPr fontId="6"/>
  </si>
  <si>
    <t>BB99</t>
    <phoneticPr fontId="6"/>
  </si>
  <si>
    <t>BB9A</t>
    <phoneticPr fontId="6"/>
  </si>
  <si>
    <t>BB9B</t>
    <phoneticPr fontId="6"/>
  </si>
  <si>
    <t>RX_CDR_LUT8</t>
    <phoneticPr fontId="6"/>
  </si>
  <si>
    <t>PLL_CP1P1</t>
    <phoneticPr fontId="6"/>
  </si>
  <si>
    <t>PLL_CP1P2</t>
    <phoneticPr fontId="6"/>
  </si>
  <si>
    <t>PLL_CP1P3</t>
    <phoneticPr fontId="6"/>
  </si>
  <si>
    <t>PLL_CP2P1</t>
    <phoneticPr fontId="6"/>
  </si>
  <si>
    <t>PLL_CP2P2</t>
    <phoneticPr fontId="6"/>
  </si>
  <si>
    <t>PLL_CP2P3</t>
    <phoneticPr fontId="6"/>
  </si>
  <si>
    <t>PLL_CP2P4</t>
    <phoneticPr fontId="6"/>
  </si>
  <si>
    <t>PLL_CP2P5</t>
    <phoneticPr fontId="6"/>
  </si>
  <si>
    <t>PLL_CP2P6</t>
    <phoneticPr fontId="6"/>
  </si>
  <si>
    <t>PLL_CP2P7</t>
    <phoneticPr fontId="6"/>
  </si>
  <si>
    <t>PLL_CP2P8</t>
    <phoneticPr fontId="6"/>
  </si>
  <si>
    <t>PLL_CP2P9</t>
    <phoneticPr fontId="6"/>
  </si>
  <si>
    <t>PLL_CP3P1</t>
    <phoneticPr fontId="6"/>
  </si>
  <si>
    <t>PLL_CP3P2</t>
    <phoneticPr fontId="6"/>
  </si>
  <si>
    <t>PLL_CP3P3</t>
    <phoneticPr fontId="6"/>
  </si>
  <si>
    <t>PLL_CP4P1</t>
    <phoneticPr fontId="6"/>
  </si>
  <si>
    <t>PLL_CP4P2</t>
    <phoneticPr fontId="6"/>
  </si>
  <si>
    <t>PLL_CP4P3</t>
    <phoneticPr fontId="6"/>
  </si>
  <si>
    <t>PLL_CP4P4</t>
    <phoneticPr fontId="6"/>
  </si>
  <si>
    <t>PLL_CP4P5</t>
    <phoneticPr fontId="6"/>
  </si>
  <si>
    <t>PLL_CP4P6</t>
    <phoneticPr fontId="6"/>
  </si>
  <si>
    <t>PLL_CP5P7</t>
    <phoneticPr fontId="6"/>
  </si>
  <si>
    <t>PLL_CP5P2</t>
    <phoneticPr fontId="6"/>
  </si>
  <si>
    <t>PLL_CP5P3</t>
    <phoneticPr fontId="6"/>
  </si>
  <si>
    <t>ctle_em_data_rate_control_0[7:0]</t>
    <phoneticPr fontId="6"/>
  </si>
  <si>
    <t>ctle_em_data_rate_control_1[7:0]</t>
    <phoneticPr fontId="6"/>
  </si>
  <si>
    <t>ctle_em_data_rate_control_2[7:0]</t>
    <phoneticPr fontId="6"/>
  </si>
  <si>
    <t>ctle_em_data_rate_control_3[7:0]</t>
    <phoneticPr fontId="6"/>
  </si>
  <si>
    <t>ctle_em_data_rate_control_4[7:0]</t>
    <phoneticPr fontId="6"/>
  </si>
  <si>
    <t>ctle_em_data_rate_control_5[7:0]</t>
    <phoneticPr fontId="6"/>
  </si>
  <si>
    <t>ctle_em_data_rate_control_6[7:0]</t>
    <phoneticPr fontId="6"/>
  </si>
  <si>
    <t>ctle_em_data_rate_control_7[7:0]</t>
    <phoneticPr fontId="6"/>
  </si>
  <si>
    <t>ctle_em_data_rate_control_8[7:0]</t>
    <phoneticPr fontId="6"/>
  </si>
  <si>
    <t>ctle_em_data_rate_control_A[7:0]</t>
    <phoneticPr fontId="6"/>
  </si>
  <si>
    <t>ctle_em_data_rate_control_B[7:0]</t>
    <phoneticPr fontId="6"/>
  </si>
  <si>
    <t>v07</t>
    <phoneticPr fontId="6"/>
  </si>
  <si>
    <t>02</t>
    <phoneticPr fontId="6"/>
  </si>
  <si>
    <t>20</t>
    <phoneticPr fontId="6"/>
  </si>
  <si>
    <t>F0</t>
    <phoneticPr fontId="6"/>
  </si>
  <si>
    <t>00</t>
    <phoneticPr fontId="6"/>
  </si>
  <si>
    <t>0F</t>
    <phoneticPr fontId="6"/>
  </si>
  <si>
    <t>F6</t>
    <phoneticPr fontId="6"/>
  </si>
  <si>
    <t>Change DPCD 0700h</t>
    <phoneticPr fontId="6"/>
  </si>
  <si>
    <t>DPCD 0700h</t>
    <phoneticPr fontId="6"/>
  </si>
  <si>
    <t>Set AUXTXHSEN</t>
    <phoneticPr fontId="6"/>
  </si>
  <si>
    <t>B608</t>
    <phoneticPr fontId="6"/>
  </si>
  <si>
    <t>0B</t>
    <phoneticPr fontId="6"/>
  </si>
  <si>
    <t>Orignal/Preset</t>
    <phoneticPr fontId="15"/>
  </si>
  <si>
    <t>Original</t>
    <phoneticPr fontId="15"/>
  </si>
  <si>
    <t>Preset</t>
    <phoneticPr fontId="15"/>
  </si>
  <si>
    <t>DSI Speed  Preset?</t>
    <phoneticPr fontId="15"/>
  </si>
  <si>
    <t>PPI_DPHY_LPTXTIMECNT</t>
    <phoneticPr fontId="6"/>
  </si>
  <si>
    <t>PPI_DPHY_TCLK_HEADERCNT</t>
    <phoneticPr fontId="6"/>
  </si>
  <si>
    <t>PPI_DPHY_TCLK_TRAILCNT</t>
    <phoneticPr fontId="6"/>
  </si>
  <si>
    <t>PPI_DPHY_THS_HEADERCNT</t>
    <phoneticPr fontId="6"/>
  </si>
  <si>
    <t>PPI_DPHY_TWAKEUPCNT</t>
    <phoneticPr fontId="6"/>
  </si>
  <si>
    <t>PPI_DPHY_TCLK_POSTCNT</t>
    <phoneticPr fontId="6"/>
  </si>
  <si>
    <t>PPI_DPHY_THSTRAILCNT</t>
    <phoneticPr fontId="6"/>
  </si>
  <si>
    <t>PPI_DSI_BTA_COUNT</t>
    <phoneticPr fontId="6"/>
  </si>
  <si>
    <t>DSI0_PIC_SYN_PKT_A</t>
    <phoneticPr fontId="6"/>
  </si>
  <si>
    <t>2920</t>
    <phoneticPr fontId="6"/>
  </si>
  <si>
    <t>3920</t>
    <phoneticPr fontId="15"/>
  </si>
  <si>
    <t>3920</t>
    <phoneticPr fontId="6"/>
  </si>
  <si>
    <t>DSI1_PIC_SYN_PKT_A</t>
    <phoneticPr fontId="6"/>
  </si>
  <si>
    <t>0110</t>
    <phoneticPr fontId="6"/>
  </si>
  <si>
    <t>0124</t>
    <phoneticPr fontId="6"/>
  </si>
  <si>
    <t>0148</t>
    <phoneticPr fontId="6"/>
  </si>
  <si>
    <t>HTIM2_LEFT</t>
    <phoneticPr fontId="6"/>
  </si>
  <si>
    <t>HTIM2_RIGHT</t>
    <phoneticPr fontId="6"/>
  </si>
  <si>
    <t>DPRX_HTIM2</t>
    <phoneticPr fontId="6"/>
  </si>
  <si>
    <t>Auto Boot</t>
    <phoneticPr fontId="6"/>
  </si>
  <si>
    <t>No</t>
    <phoneticPr fontId="6"/>
  </si>
  <si>
    <t>Timing Select</t>
    <phoneticPr fontId="15"/>
  </si>
  <si>
    <t>0000</t>
    <phoneticPr fontId="15"/>
  </si>
  <si>
    <t>0370(eDP Input)</t>
    <phoneticPr fontId="6"/>
  </si>
  <si>
    <t>Video Size Related Setting for Non Preset</t>
    <phoneticPr fontId="6"/>
  </si>
  <si>
    <t>B005</t>
    <phoneticPr fontId="6"/>
  </si>
  <si>
    <t>B006</t>
    <phoneticPr fontId="6"/>
  </si>
  <si>
    <t>B007</t>
    <phoneticPr fontId="6"/>
  </si>
  <si>
    <t>B008</t>
    <phoneticPr fontId="6"/>
  </si>
  <si>
    <t>B00A</t>
    <phoneticPr fontId="6"/>
  </si>
  <si>
    <t>SET CG_VIDPLL_CTRL1</t>
    <phoneticPr fontId="6"/>
  </si>
  <si>
    <t>SET CG_VIDPLL_CTRL2</t>
    <phoneticPr fontId="6"/>
  </si>
  <si>
    <t>SET CG_VIDPLL_CTRL3</t>
    <phoneticPr fontId="6"/>
  </si>
  <si>
    <t>SET CG_VIDPLL_CTRL4</t>
    <phoneticPr fontId="6"/>
  </si>
  <si>
    <t>SET CG_VIDPLL_CTRL5</t>
    <phoneticPr fontId="6"/>
  </si>
  <si>
    <t>SET CG_VIDPLL_CTRL6</t>
    <phoneticPr fontId="6"/>
  </si>
  <si>
    <t>PCLK/DSI Spped Judge</t>
    <phoneticPr fontId="15"/>
  </si>
  <si>
    <t>Disable</t>
    <phoneticPr fontId="6"/>
  </si>
  <si>
    <t>MIPI_PLL_CNF</t>
    <phoneticPr fontId="6"/>
  </si>
  <si>
    <t>MIPI_PLL_PARA</t>
    <phoneticPr fontId="6"/>
  </si>
  <si>
    <t>MIPI_PLL_FIX</t>
    <phoneticPr fontId="6"/>
  </si>
  <si>
    <t>41B0</t>
    <phoneticPr fontId="6"/>
  </si>
  <si>
    <t>41BC</t>
    <phoneticPr fontId="6"/>
  </si>
  <si>
    <t>41C0</t>
    <phoneticPr fontId="6"/>
  </si>
  <si>
    <t>DSI Transition Time Setting for Non Preset</t>
    <phoneticPr fontId="6"/>
  </si>
  <si>
    <t>DPRX CAD Register Setting</t>
    <phoneticPr fontId="6"/>
  </si>
  <si>
    <t>B800</t>
    <phoneticPr fontId="6"/>
  </si>
  <si>
    <t>Set CDR_PHASE_LP_EN</t>
    <phoneticPr fontId="6"/>
  </si>
  <si>
    <t>0E</t>
    <phoneticPr fontId="6"/>
  </si>
  <si>
    <t>RX_CDR_LUT1</t>
    <phoneticPr fontId="6"/>
  </si>
  <si>
    <t>B8C0</t>
    <phoneticPr fontId="6"/>
  </si>
  <si>
    <t>F1</t>
    <phoneticPr fontId="6"/>
  </si>
  <si>
    <t>RX_CDR_LUT2</t>
    <phoneticPr fontId="6"/>
  </si>
  <si>
    <t>RX_CDR_LUT3</t>
    <phoneticPr fontId="6"/>
  </si>
  <si>
    <t>RX_CDR_LUT4</t>
    <phoneticPr fontId="6"/>
  </si>
  <si>
    <t>RX_CDR_LUT5</t>
    <phoneticPr fontId="6"/>
  </si>
  <si>
    <t>RX_CDR_LUT6</t>
    <phoneticPr fontId="6"/>
  </si>
  <si>
    <t>RX_CDR_LUT7</t>
    <phoneticPr fontId="6"/>
  </si>
  <si>
    <t>B8C1</t>
    <phoneticPr fontId="6"/>
  </si>
  <si>
    <t>B8C2</t>
    <phoneticPr fontId="6"/>
  </si>
  <si>
    <t>B8C3</t>
    <phoneticPr fontId="6"/>
  </si>
  <si>
    <t>B8C4</t>
    <phoneticPr fontId="6"/>
  </si>
  <si>
    <t>B8C5</t>
    <phoneticPr fontId="6"/>
  </si>
  <si>
    <t>B8C6</t>
    <phoneticPr fontId="6"/>
  </si>
  <si>
    <t>B8C7</t>
    <phoneticPr fontId="6"/>
  </si>
  <si>
    <t>10</t>
    <phoneticPr fontId="6"/>
  </si>
  <si>
    <t>B896</t>
    <phoneticPr fontId="6"/>
  </si>
  <si>
    <t>CR_OPT_CTRL</t>
    <phoneticPr fontId="6"/>
  </si>
  <si>
    <t>EQ_OPT_CTRL</t>
    <phoneticPr fontId="6"/>
  </si>
  <si>
    <t>03</t>
    <phoneticPr fontId="6"/>
  </si>
  <si>
    <t>BBD1</t>
    <phoneticPr fontId="6"/>
  </si>
  <si>
    <t>BBB0</t>
    <phoneticPr fontId="6"/>
  </si>
  <si>
    <t>B88B</t>
    <phoneticPr fontId="6"/>
  </si>
  <si>
    <t>B88C</t>
    <phoneticPr fontId="6"/>
  </si>
  <si>
    <t>B88D</t>
    <phoneticPr fontId="6"/>
  </si>
  <si>
    <t>B897</t>
    <phoneticPr fontId="6"/>
  </si>
  <si>
    <t>ctle_em_contro_1</t>
    <phoneticPr fontId="6"/>
  </si>
  <si>
    <t>eye_configuration_0</t>
    <phoneticPr fontId="6"/>
  </si>
  <si>
    <t>CR_OPT_MIN_EYE_VALID</t>
  </si>
  <si>
    <t>CR_OPT_WCNT0_EYE</t>
  </si>
  <si>
    <t>CT_OPT_WCNT1_EYE</t>
  </si>
  <si>
    <t>EQ_OPT_MIN_EYE_VALID</t>
  </si>
  <si>
    <t>EQ_OPT_WCNT0_FEQ</t>
  </si>
  <si>
    <t>07</t>
    <phoneticPr fontId="6"/>
  </si>
  <si>
    <t>04</t>
    <phoneticPr fontId="6"/>
  </si>
  <si>
    <t>45</t>
    <phoneticPr fontId="6"/>
  </si>
  <si>
    <t>05</t>
    <phoneticPr fontId="6"/>
  </si>
  <si>
    <t>B88A</t>
    <phoneticPr fontId="6"/>
  </si>
  <si>
    <t>Check if eDP video is coming</t>
    <phoneticPr fontId="6"/>
  </si>
  <si>
    <t>If not wait until eDP video comes</t>
    <phoneticPr fontId="6"/>
  </si>
  <si>
    <t>GPIO0</t>
    <phoneticPr fontId="39"/>
  </si>
  <si>
    <t>GPIO1</t>
    <phoneticPr fontId="39"/>
  </si>
  <si>
    <t>GPIO2</t>
    <phoneticPr fontId="39"/>
  </si>
  <si>
    <t>GPIO3</t>
    <phoneticPr fontId="39"/>
  </si>
  <si>
    <t>GPIO</t>
  </si>
  <si>
    <t>5010</t>
    <phoneticPr fontId="6"/>
  </si>
  <si>
    <t>5014</t>
    <phoneticPr fontId="6"/>
  </si>
  <si>
    <t>008C</t>
    <phoneticPr fontId="39"/>
  </si>
  <si>
    <t>Mode</t>
    <phoneticPr fontId="39"/>
  </si>
  <si>
    <t>Signal</t>
    <phoneticPr fontId="39"/>
  </si>
  <si>
    <t>GPIO3</t>
    <phoneticPr fontId="39"/>
  </si>
  <si>
    <t>MP_FBD[8:0]</t>
    <phoneticPr fontId="15"/>
  </si>
  <si>
    <t>MP_FRS[1:0]</t>
    <phoneticPr fontId="15"/>
  </si>
  <si>
    <t>MP_PRD[3:0]</t>
    <phoneticPr fontId="15"/>
  </si>
  <si>
    <t>fVCO</t>
    <phoneticPr fontId="15"/>
  </si>
  <si>
    <t>fVCO Judge</t>
    <phoneticPr fontId="15"/>
  </si>
  <si>
    <t>PLLVDIV[1:0](0~3)</t>
    <phoneticPr fontId="15"/>
  </si>
  <si>
    <t>PLLPRESCL(0)</t>
    <phoneticPr fontId="15"/>
  </si>
  <si>
    <t>fCMP</t>
    <phoneticPr fontId="15"/>
  </si>
  <si>
    <t>fCMP Judge</t>
    <phoneticPr fontId="15"/>
  </si>
  <si>
    <t>eDP Link Rate Check -&gt;</t>
    <phoneticPr fontId="15"/>
  </si>
  <si>
    <t>Internal PCLK Check -&gt;</t>
    <phoneticPr fontId="15"/>
  </si>
  <si>
    <t>TCLK-EXIT(ns)</t>
    <phoneticPr fontId="15"/>
  </si>
  <si>
    <t>THS-TRAIL(ns)</t>
    <phoneticPr fontId="15"/>
  </si>
  <si>
    <t>THS-EXIT(ns)</t>
    <phoneticPr fontId="15"/>
  </si>
  <si>
    <t>TWAKEUP(ms)</t>
    <phoneticPr fontId="15"/>
  </si>
  <si>
    <t>HS-&gt;LP Transition(ns)</t>
    <phoneticPr fontId="15"/>
  </si>
  <si>
    <t>DSI Speed(Real)(Mbps)</t>
    <phoneticPr fontId="15"/>
  </si>
  <si>
    <t>&lt;LP-HS time(us)</t>
    <phoneticPr fontId="15"/>
  </si>
  <si>
    <t>If not wait until 0x1018&lt;bit2:0&gt; will be expected value</t>
    <phoneticPr fontId="6"/>
  </si>
  <si>
    <t>Check if 0x1018&lt;bit2:0&gt; is expected value</t>
    <phoneticPr fontId="6"/>
  </si>
  <si>
    <t>VIDEOMODE</t>
    <phoneticPr fontId="6"/>
  </si>
  <si>
    <t>0100</t>
    <phoneticPr fontId="6"/>
  </si>
  <si>
    <t>Split Swap, Compression mode setting</t>
    <phoneticPr fontId="6"/>
  </si>
  <si>
    <t>Split Mode</t>
    <phoneticPr fontId="15"/>
  </si>
  <si>
    <t>Split Mode</t>
    <phoneticPr fontId="15"/>
  </si>
  <si>
    <t>Split REG</t>
    <phoneticPr fontId="15"/>
  </si>
  <si>
    <t>For DP EDID Read</t>
    <phoneticPr fontId="6"/>
  </si>
  <si>
    <t>B201</t>
    <phoneticPr fontId="6"/>
  </si>
  <si>
    <t>30</t>
    <phoneticPr fontId="6"/>
  </si>
  <si>
    <t>B202</t>
    <phoneticPr fontId="6"/>
  </si>
  <si>
    <t>0000</t>
    <phoneticPr fontId="6"/>
  </si>
  <si>
    <t>B204</t>
    <phoneticPr fontId="6"/>
  </si>
  <si>
    <t>VSYNC monitor output setting for DP connection</t>
    <phoneticPr fontId="6"/>
  </si>
  <si>
    <t>Set Monitor On</t>
    <phoneticPr fontId="6"/>
  </si>
  <si>
    <t>008C</t>
    <phoneticPr fontId="6"/>
  </si>
  <si>
    <t>GPIOOUTMODE</t>
  </si>
  <si>
    <t>GPIOOUTMODE</t>
    <phoneticPr fontId="39"/>
  </si>
  <si>
    <t>Monitor Signal Selection</t>
    <phoneticPr fontId="6"/>
  </si>
  <si>
    <t>Monitor Signal Selection for GPIO0,  GPIO1</t>
    <phoneticPr fontId="39"/>
  </si>
  <si>
    <t>Monitor Signal Selection for GPIO2,  GPIO3</t>
    <phoneticPr fontId="39"/>
  </si>
  <si>
    <t>I2C direction control for DP connection</t>
    <phoneticPr fontId="6"/>
  </si>
  <si>
    <t>I2CMD_SL</t>
    <phoneticPr fontId="6"/>
  </si>
  <si>
    <t>00B0</t>
    <phoneticPr fontId="6"/>
  </si>
  <si>
    <t>00000001</t>
    <phoneticPr fontId="6"/>
  </si>
  <si>
    <t>Change I2C to Master Mode</t>
    <phoneticPr fontId="6"/>
  </si>
  <si>
    <t>Check if VSYNC is detected on monitor signal</t>
    <phoneticPr fontId="6"/>
  </si>
  <si>
    <t>If not, wait until VSYNC will be detected</t>
    <phoneticPr fontId="6"/>
  </si>
  <si>
    <t>Change I2C to Slave Mode</t>
    <phoneticPr fontId="6"/>
  </si>
  <si>
    <t>REM</t>
    <phoneticPr fontId="6"/>
  </si>
  <si>
    <t>After Link Training finishes</t>
    <phoneticPr fontId="6"/>
  </si>
  <si>
    <t>00000000</t>
    <phoneticPr fontId="6"/>
  </si>
  <si>
    <t>Check Link Training Status</t>
    <phoneticPr fontId="6"/>
  </si>
  <si>
    <t>Bpp</t>
    <phoneticPr fontId="15"/>
  </si>
  <si>
    <t>&lt;=Real Speed</t>
    <phoneticPr fontId="15"/>
  </si>
  <si>
    <t>DSI speed/lane(Mbps)</t>
    <phoneticPr fontId="15"/>
  </si>
  <si>
    <t>GPIO setting for LCD control.  (Depends on LCD specification and System configuration)</t>
    <phoneticPr fontId="6"/>
  </si>
  <si>
    <t>Add eDP-RX adjustment parameter setting.</t>
    <phoneticPr fontId="6"/>
  </si>
  <si>
    <t>Add settinfg for DP connection with EDID read.</t>
    <phoneticPr fontId="6"/>
  </si>
  <si>
    <t>Monitor Signal Output on GPIO</t>
    <phoneticPr fontId="6"/>
  </si>
  <si>
    <t>Add setting of monitor signal output on GPIO</t>
    <phoneticPr fontId="6"/>
  </si>
  <si>
    <t>v05</t>
    <phoneticPr fontId="6"/>
  </si>
  <si>
    <t>v05</t>
    <phoneticPr fontId="6"/>
  </si>
  <si>
    <t>Add L/R swap function(E41).</t>
    <phoneticPr fontId="6"/>
  </si>
  <si>
    <t>Support "Original" resolution(B20).</t>
    <phoneticPr fontId="6"/>
  </si>
  <si>
    <t>Add internal PCLK setting(C23).</t>
    <phoneticPr fontId="6"/>
  </si>
  <si>
    <t>Expand DSI clock selection(C39).</t>
    <phoneticPr fontId="6"/>
  </si>
  <si>
    <t>Link Training(Full/Fast)</t>
    <phoneticPr fontId="6"/>
  </si>
  <si>
    <t>1:Full 2:Both</t>
  </si>
  <si>
    <t>Link Training Mode</t>
    <phoneticPr fontId="6"/>
  </si>
  <si>
    <t>&lt;eDP/DP Input&gt;</t>
    <phoneticPr fontId="6"/>
  </si>
  <si>
    <t>Select picture source by C29. Select "eDP"or "DP".</t>
    <phoneticPr fontId="6"/>
  </si>
  <si>
    <t>Fill eDP(DP) related paramters at "eDP(DP) Input" part.</t>
    <phoneticPr fontId="6"/>
  </si>
  <si>
    <t>Put eDP/DP input PCLK(Stream CLK) frequency to C20.</t>
    <phoneticPr fontId="6"/>
  </si>
  <si>
    <t>Set suitable Link Speed and Lane Count to C21 and C22. 
If C25 shows "NG", eDP/DP Link Speed/Lane Count doesn't match to input timing. Please try diffetent values according to message shown in &lt;Error Message&gt; box.</t>
    <phoneticPr fontId="6"/>
  </si>
  <si>
    <t>Put eDP/DP side porch value to D20,E20,G20,H20,I20,K20. Total vertical blanking lines must be the same as value required by LCD.</t>
    <phoneticPr fontId="6"/>
  </si>
  <si>
    <t>3-2-6</t>
    <phoneticPr fontId="6"/>
  </si>
  <si>
    <t xml:space="preserve">Select DSI lanes by C40. DSI link by C41. Compression Enable/Disable by C46. Suitable DSI clock speed will be listed in C38. 
If C38 is "N/A", setting mismatch happens. Please try other parameters according to message shown in &lt;Error Message&gt; box.  </t>
    <phoneticPr fontId="6"/>
  </si>
  <si>
    <t>Put Color Bar porch value to D20,E20,G20,H20,I20,K20. Total vertical blanking lines must be the same as value required by LCD.</t>
    <phoneticPr fontId="6"/>
  </si>
  <si>
    <t>Select Color Bar kind by module to use by F29. When "Original RGB" is selected, R.G.B data can be directly set through G29,H29,I29.</t>
    <phoneticPr fontId="6"/>
  </si>
  <si>
    <t>PCLK frequency of Color Bar output is selected by C23.</t>
    <phoneticPr fontId="6"/>
  </si>
  <si>
    <t>eDP/DP input resolution can be selected by cell B20. When "Original" is selected, H active(F19) and Vactive(J19) must be specified.</t>
    <phoneticPr fontId="6"/>
  </si>
  <si>
    <t>Color Bar resolution can be selected by cell B20. When "Original" is selected, H active(F19) and Vactive(J19) must be specified.</t>
    <phoneticPr fontId="6"/>
  </si>
  <si>
    <t>Select Internal PCLK frequency by C23. Selected value is shown in C24. Same or faster than eDP/DP input PCLK(C20) is recommended.
If C26 shows "NG",select faster internal PCLK.</t>
    <phoneticPr fontId="6"/>
  </si>
  <si>
    <t>v03</t>
    <phoneticPr fontId="6"/>
  </si>
  <si>
    <t>Monitor Signals Output on DSI signal</t>
    <phoneticPr fontId="6"/>
  </si>
  <si>
    <t>Add more explanation.</t>
    <phoneticPr fontId="6"/>
  </si>
  <si>
    <t>41B0</t>
    <phoneticPr fontId="6"/>
  </si>
  <si>
    <t>41BC</t>
    <phoneticPr fontId="6"/>
  </si>
  <si>
    <t>41C0</t>
    <phoneticPr fontId="6"/>
  </si>
  <si>
    <t>Video Size, Split, Cmp, EXTclk, VPW setting</t>
    <phoneticPr fontId="6"/>
  </si>
  <si>
    <t>VFP,  VSDelay setting</t>
    <phoneticPr fontId="6"/>
  </si>
  <si>
    <t>DSI VSDelay, DSI lane, DSIclk setting</t>
    <phoneticPr fontId="6"/>
  </si>
  <si>
    <t>DSI HPW, DSI HBP setting</t>
    <phoneticPr fontId="6"/>
  </si>
  <si>
    <t>By VidSize</t>
    <phoneticPr fontId="15"/>
  </si>
  <si>
    <t>Add setting for non preset parameters.</t>
    <phoneticPr fontId="6"/>
  </si>
  <si>
    <t>Follow Input</t>
  </si>
  <si>
    <t>Short Pkt: b[7:0]=DataID,b31=En,b25=Long/Short,b24=LP/HS</t>
    <phoneticPr fontId="6"/>
  </si>
  <si>
    <t>DSIG_CQ_HEADER</t>
    <phoneticPr fontId="6"/>
  </si>
  <si>
    <t>DSIG_CQ_STATUS</t>
    <phoneticPr fontId="6"/>
  </si>
  <si>
    <t>Check if &lt;bit0&gt;=1</t>
    <phoneticPr fontId="6"/>
  </si>
  <si>
    <t>If not, wait until &lt;bit0&gt;=1</t>
    <phoneticPr fontId="6"/>
  </si>
  <si>
    <t>0080</t>
    <phoneticPr fontId="6"/>
  </si>
  <si>
    <t>GPIOC</t>
    <phoneticPr fontId="6"/>
  </si>
  <si>
    <t>Tv09</t>
    <phoneticPr fontId="6"/>
  </si>
  <si>
    <t>v08</t>
    <phoneticPr fontId="6"/>
  </si>
  <si>
    <t>Add GPIO setting for internal monitor output</t>
    <phoneticPr fontId="6"/>
  </si>
  <si>
    <t>4050</t>
    <phoneticPr fontId="6"/>
  </si>
  <si>
    <t>Set DSITX FUNC_MODE</t>
    <phoneticPr fontId="6"/>
  </si>
  <si>
    <t>402C</t>
    <phoneticPr fontId="6"/>
  </si>
  <si>
    <t>DSI enter ULPS state 0</t>
    <phoneticPr fontId="6"/>
  </si>
  <si>
    <t>412C</t>
    <phoneticPr fontId="6"/>
  </si>
  <si>
    <t>4128</t>
    <phoneticPr fontId="6"/>
  </si>
  <si>
    <t>00000005</t>
    <phoneticPr fontId="6"/>
  </si>
  <si>
    <t>00000072</t>
    <phoneticPr fontId="6"/>
  </si>
  <si>
    <t>00000001</t>
    <phoneticPr fontId="6"/>
  </si>
  <si>
    <t>DSI enter ULPS state 1</t>
    <phoneticPr fontId="6"/>
  </si>
  <si>
    <t>DSI enter ULPS state 2</t>
    <phoneticPr fontId="6"/>
  </si>
  <si>
    <t>0020</t>
    <phoneticPr fontId="6"/>
  </si>
  <si>
    <t>Set SRAM PD</t>
    <phoneticPr fontId="6"/>
  </si>
  <si>
    <t>FFFFFFFF</t>
    <phoneticPr fontId="6"/>
  </si>
  <si>
    <t>0018</t>
    <phoneticPr fontId="6"/>
  </si>
  <si>
    <t>Set Clock EN</t>
    <phoneticPr fontId="6"/>
  </si>
  <si>
    <t>00000000</t>
    <phoneticPr fontId="6"/>
  </si>
  <si>
    <t>41B8</t>
    <phoneticPr fontId="6"/>
  </si>
  <si>
    <t>MIPI PLL OFF 0</t>
    <phoneticPr fontId="6"/>
  </si>
  <si>
    <t>MIPI PLL OFF 1</t>
    <phoneticPr fontId="6"/>
  </si>
  <si>
    <t>41A4</t>
    <phoneticPr fontId="6"/>
  </si>
  <si>
    <t>B004</t>
    <phoneticPr fontId="6"/>
  </si>
  <si>
    <t>WR8</t>
    <phoneticPr fontId="6"/>
  </si>
  <si>
    <t>00</t>
    <phoneticPr fontId="6"/>
  </si>
  <si>
    <t>PCLK PLL OFF</t>
    <phoneticPr fontId="6"/>
  </si>
  <si>
    <t>4008</t>
    <phoneticPr fontId="6"/>
  </si>
  <si>
    <t>Set DSITX_CLKEN</t>
    <phoneticPr fontId="6"/>
  </si>
  <si>
    <t>001C</t>
    <phoneticPr fontId="6"/>
  </si>
  <si>
    <t>Module Soft Reset</t>
    <phoneticPr fontId="6"/>
  </si>
  <si>
    <t>BA38</t>
    <phoneticPr fontId="6"/>
  </si>
  <si>
    <t>DPRX PHY BGR Disable 0</t>
    <phoneticPr fontId="6"/>
  </si>
  <si>
    <t>DPRX PHY BGR Disable 1</t>
    <phoneticPr fontId="6"/>
  </si>
  <si>
    <t>BA3A</t>
    <phoneticPr fontId="6"/>
  </si>
  <si>
    <t>80002805</t>
    <phoneticPr fontId="6"/>
  </si>
  <si>
    <t>Display Off</t>
    <phoneticPr fontId="6"/>
  </si>
  <si>
    <t>Wait 34ms</t>
    <phoneticPr fontId="6"/>
  </si>
  <si>
    <t>Enter Sleep</t>
    <phoneticPr fontId="6"/>
  </si>
  <si>
    <t>80001005</t>
    <phoneticPr fontId="6"/>
  </si>
  <si>
    <t>Enter SLEEP mode</t>
    <phoneticPr fontId="6"/>
  </si>
  <si>
    <t>Command Transmission durig Video Transmission for Display Off. (Depeds on LCD specification)</t>
    <phoneticPr fontId="6"/>
  </si>
  <si>
    <t>Display Port Input Disable</t>
    <phoneticPr fontId="6"/>
  </si>
  <si>
    <t>No Video</t>
    <phoneticPr fontId="6"/>
  </si>
  <si>
    <t>Stop DSI0 Video TX</t>
    <phoneticPr fontId="39"/>
  </si>
  <si>
    <t>Stop DSI1 Video TX</t>
    <phoneticPr fontId="39"/>
  </si>
  <si>
    <t>Change DSI0 CMD QUEUE mode</t>
    <phoneticPr fontId="39"/>
  </si>
  <si>
    <t>Change DSI1 CMD QUEUE mode</t>
    <phoneticPr fontId="39"/>
  </si>
  <si>
    <t>Stop DSI-TX</t>
    <phoneticPr fontId="39"/>
  </si>
  <si>
    <t>Internal SRAM Power Down</t>
    <phoneticPr fontId="39"/>
  </si>
  <si>
    <t>Module Software Reset except for DPRX block.</t>
    <phoneticPr fontId="39"/>
  </si>
  <si>
    <t>DPRX BGR disable</t>
    <phoneticPr fontId="39"/>
  </si>
  <si>
    <t>Wait 200ms</t>
    <phoneticPr fontId="6"/>
  </si>
  <si>
    <t>ULPS setting</t>
    <phoneticPr fontId="39"/>
  </si>
  <si>
    <t>ULPS setting</t>
    <phoneticPr fontId="39"/>
  </si>
  <si>
    <t>MIPI PLL Off</t>
    <phoneticPr fontId="39"/>
  </si>
  <si>
    <t>PCLK PLL Off</t>
    <phoneticPr fontId="39"/>
  </si>
  <si>
    <t>v01</t>
    <phoneticPr fontId="6"/>
  </si>
  <si>
    <t>Resume from SLEEP</t>
    <phoneticPr fontId="6"/>
  </si>
  <si>
    <t>01</t>
    <phoneticPr fontId="6"/>
  </si>
  <si>
    <t>00000000</t>
    <phoneticPr fontId="39"/>
  </si>
  <si>
    <t>DPRX BGR enable</t>
    <phoneticPr fontId="39"/>
  </si>
  <si>
    <t>RD16</t>
    <phoneticPr fontId="39"/>
  </si>
  <si>
    <t>B228</t>
    <phoneticPr fontId="39"/>
  </si>
  <si>
    <t>B22A</t>
    <phoneticPr fontId="39"/>
  </si>
  <si>
    <t>RD16</t>
    <phoneticPr fontId="39"/>
  </si>
  <si>
    <t>MSA6,7</t>
    <phoneticPr fontId="39"/>
  </si>
  <si>
    <t>MSA8,9</t>
    <phoneticPr fontId="39"/>
  </si>
  <si>
    <t>B22C</t>
    <phoneticPr fontId="39"/>
  </si>
  <si>
    <t>B22E</t>
    <phoneticPr fontId="39"/>
  </si>
  <si>
    <t>MSA10,11</t>
    <phoneticPr fontId="39"/>
  </si>
  <si>
    <t>MSA12,13</t>
    <phoneticPr fontId="39"/>
  </si>
  <si>
    <t>B230</t>
    <phoneticPr fontId="39"/>
  </si>
  <si>
    <t>B232</t>
    <phoneticPr fontId="39"/>
  </si>
  <si>
    <t>MSA14,15</t>
    <phoneticPr fontId="39"/>
  </si>
  <si>
    <t>MSA16,17</t>
    <phoneticPr fontId="39"/>
  </si>
  <si>
    <t>B234</t>
    <phoneticPr fontId="39"/>
  </si>
  <si>
    <t>B236</t>
    <phoneticPr fontId="39"/>
  </si>
  <si>
    <t>MSA18,19</t>
    <phoneticPr fontId="39"/>
  </si>
  <si>
    <t>MSA20,21</t>
    <phoneticPr fontId="39"/>
  </si>
  <si>
    <t>eDP Input Timing Check (Got from Main Stream Attribute(MSA))</t>
    <phoneticPr fontId="6"/>
  </si>
  <si>
    <t>0F50</t>
    <phoneticPr fontId="39"/>
  </si>
  <si>
    <t>H total</t>
    <phoneticPr fontId="39"/>
  </si>
  <si>
    <t>V total</t>
    <phoneticPr fontId="39"/>
  </si>
  <si>
    <t>0880</t>
    <phoneticPr fontId="39"/>
  </si>
  <si>
    <t>0048</t>
    <phoneticPr fontId="39"/>
  </si>
  <si>
    <t>0008</t>
    <phoneticPr fontId="39"/>
  </si>
  <si>
    <t>0F00</t>
    <phoneticPr fontId="39"/>
  </si>
  <si>
    <t>0870</t>
    <phoneticPr fontId="39"/>
  </si>
  <si>
    <t>HSW</t>
    <phoneticPr fontId="39"/>
  </si>
  <si>
    <t>H Start</t>
    <phoneticPr fontId="39"/>
  </si>
  <si>
    <t>V Start</t>
    <phoneticPr fontId="39"/>
  </si>
  <si>
    <t>VSW</t>
    <phoneticPr fontId="39"/>
  </si>
  <si>
    <t>H width</t>
    <phoneticPr fontId="39"/>
  </si>
  <si>
    <t>V width</t>
    <phoneticPr fontId="39"/>
  </si>
  <si>
    <t>HBP</t>
    <phoneticPr fontId="39"/>
  </si>
  <si>
    <t>HFP</t>
    <phoneticPr fontId="39"/>
  </si>
  <si>
    <t>VBP</t>
    <phoneticPr fontId="39"/>
  </si>
  <si>
    <t>VFP</t>
    <phoneticPr fontId="39"/>
  </si>
  <si>
    <t>8020</t>
    <phoneticPr fontId="39"/>
  </si>
  <si>
    <t>8002</t>
    <phoneticPr fontId="39"/>
  </si>
  <si>
    <r>
      <t xml:space="preserve">H total related    </t>
    </r>
    <r>
      <rPr>
        <sz val="11"/>
        <color rgb="FFFF0000"/>
        <rFont val="Arial"/>
        <family val="2"/>
      </rPr>
      <t>This is OPTIONAL for eDP/DP source</t>
    </r>
    <phoneticPr fontId="39"/>
  </si>
  <si>
    <r>
      <t xml:space="preserve">V total related   </t>
    </r>
    <r>
      <rPr>
        <sz val="11"/>
        <color rgb="FFFF0000"/>
        <rFont val="Arial"/>
        <family val="2"/>
      </rPr>
      <t>This is OPTIONAL for eDP/DP source</t>
    </r>
    <phoneticPr fontId="39"/>
  </si>
  <si>
    <r>
      <t xml:space="preserve">HSW related   </t>
    </r>
    <r>
      <rPr>
        <sz val="11"/>
        <color rgb="FFFF0000"/>
        <rFont val="Arial"/>
        <family val="2"/>
      </rPr>
      <t>This is OPTIONAL for eDP/DP source</t>
    </r>
    <phoneticPr fontId="39"/>
  </si>
  <si>
    <r>
      <t xml:space="preserve">H start related   </t>
    </r>
    <r>
      <rPr>
        <sz val="11"/>
        <color rgb="FFFF0000"/>
        <rFont val="Arial"/>
        <family val="2"/>
      </rPr>
      <t>This is OPTIONAL for eDP/DP source</t>
    </r>
    <phoneticPr fontId="39"/>
  </si>
  <si>
    <r>
      <t xml:space="preserve">V start related   </t>
    </r>
    <r>
      <rPr>
        <sz val="11"/>
        <color rgb="FFFF0000"/>
        <rFont val="Arial"/>
        <family val="2"/>
      </rPr>
      <t>This is OPTIONAL for eDP/DP source</t>
    </r>
    <phoneticPr fontId="39"/>
  </si>
  <si>
    <r>
      <t xml:space="preserve">VSW related   </t>
    </r>
    <r>
      <rPr>
        <sz val="11"/>
        <color rgb="FFFF0000"/>
        <rFont val="Arial"/>
        <family val="2"/>
      </rPr>
      <t>This is OPTIONAL for eDP/DP source</t>
    </r>
    <phoneticPr fontId="39"/>
  </si>
  <si>
    <r>
      <t xml:space="preserve">H width related   </t>
    </r>
    <r>
      <rPr>
        <sz val="11"/>
        <color rgb="FFFF0000"/>
        <rFont val="Arial"/>
        <family val="2"/>
      </rPr>
      <t>This is OPTIONAL for eDP/DP source</t>
    </r>
    <phoneticPr fontId="39"/>
  </si>
  <si>
    <r>
      <t xml:space="preserve">V width related   </t>
    </r>
    <r>
      <rPr>
        <sz val="11"/>
        <color rgb="FFFF0000"/>
        <rFont val="Arial"/>
        <family val="2"/>
      </rPr>
      <t>This is OPTIONAL for eDP/DP source</t>
    </r>
    <phoneticPr fontId="39"/>
  </si>
  <si>
    <t>v03</t>
    <phoneticPr fontId="6"/>
  </si>
  <si>
    <t>Add timing check sequence using Mainlink Stream Attribute</t>
    <phoneticPr fontId="6"/>
  </si>
  <si>
    <t>Source_eDP_Suspend</t>
    <phoneticPr fontId="6"/>
  </si>
  <si>
    <t>1st Edition</t>
    <phoneticPr fontId="6"/>
  </si>
  <si>
    <t>Source_eDP_Resume</t>
    <phoneticPr fontId="6"/>
  </si>
  <si>
    <t>8100</t>
    <phoneticPr fontId="6"/>
  </si>
  <si>
    <t>LINK_BW_SET</t>
    <phoneticPr fontId="6"/>
  </si>
  <si>
    <t>eDP speed (DPCD 100h): Source will set this register
06h:Source sets 1.62Gbps or default value. 
0Ah:Source sets 2.7Gbps.
14h:Source sets 5.4Gbps.</t>
    <phoneticPr fontId="39"/>
  </si>
  <si>
    <t>v04</t>
    <phoneticPr fontId="6"/>
  </si>
  <si>
    <r>
      <t xml:space="preserve">eDP lanes/Enhanced Frame (DPCD 101h): Source will set this register.
</t>
    </r>
    <r>
      <rPr>
        <sz val="11"/>
        <color rgb="FFFF0000"/>
        <rFont val="Arial"/>
        <family val="2"/>
      </rPr>
      <t>Bit7(Enhaned Frame Enable): Must be "1"(Enhanced Frame Enabled)</t>
    </r>
    <r>
      <rPr>
        <sz val="11"/>
        <color theme="1"/>
        <rFont val="Arial"/>
        <family val="2"/>
      </rPr>
      <t xml:space="preserve">
Bit[4:0] (Lane Count Set):
 1h:1lane, 2h:2lanes, 4h:4lanes</t>
    </r>
    <phoneticPr fontId="39"/>
  </si>
  <si>
    <t>8103</t>
    <phoneticPr fontId="6"/>
  </si>
  <si>
    <t>TRAINING_LANE0_SET</t>
    <phoneticPr fontId="6"/>
  </si>
  <si>
    <t>TRAINING_LANE1_SET</t>
    <phoneticPr fontId="6"/>
  </si>
  <si>
    <t>TRAINING_LANE2_SET</t>
    <phoneticPr fontId="6"/>
  </si>
  <si>
    <t>8104</t>
    <phoneticPr fontId="6"/>
  </si>
  <si>
    <t>8105</t>
    <phoneticPr fontId="6"/>
  </si>
  <si>
    <t>TRAINING_LANE3_SET</t>
    <phoneticPr fontId="6"/>
  </si>
  <si>
    <t>8106</t>
    <phoneticPr fontId="6"/>
  </si>
  <si>
    <t>Link Training LANE0 Set (DPCD 103h): Source will set this register
Check PRE-EMPHASIS, VOLTAGE SWING level during Link Training.
Bit5:      MAX_PRE-EMPHASIS_REACHED
Bit[4:3]: PRE-EMPHASIS_SET
Bit2:      MAX_SWING_REACHED
Bit[1:0]: VOLTAGE SWING SET
Default value=0x00</t>
    <phoneticPr fontId="6"/>
  </si>
  <si>
    <t>Link Training LANE1 Set (DPCD 104h): Source will set this register
Check PRE-EMPHASIS, VOLTAGE SWING level during Link Training.
Bit5:      MAX_PRE-EMPHASIS_REACHED
Bit[4:3]: PRE-EMPHASIS_SET
Bit2:      MAX_SWING_REACHED
Bit[1:0]: VOLTAGE SWING SET
Default value=0x00</t>
    <phoneticPr fontId="6"/>
  </si>
  <si>
    <t>Link Training LANE2 Set (DPCD 105h): Source will set this register
Check PRE-EMPHASIS, VOLTAGE SWING level during Link Training.
Bit5:      MAX_PRE-EMPHASIS_REACHED
Bit[4:3]: PRE-EMPHASIS_SET
Bit2:      MAX_SWING_REACHED
Bit[1:0]: VOLTAGE SWING SET
Default value=0x00</t>
    <phoneticPr fontId="6"/>
  </si>
  <si>
    <t>Link Training LANE3 Set (DPCD 106h): Source will set this register
Check PRE-EMPHASIS, VOLTAGE SWING level during Link Training.
Bit5:      MAX_PRE-EMPHASIS_REACHED
Bit[4:3]: PRE-EMPHASIS_SET
Bit2:      MAX_SWING_REACHED
Bit[1:0]: VOLTAGE SWING SET
Default value=0x00</t>
    <phoneticPr fontId="6"/>
  </si>
  <si>
    <t>Check Link Training Status lane0,1 by Sink (DPCD 202h)</t>
    <phoneticPr fontId="6"/>
  </si>
  <si>
    <t>Check Link Training Status lane2,3 by Sink (DPCD 203h)</t>
    <phoneticPr fontId="6"/>
  </si>
  <si>
    <t>Check Link Training Status lane align by Sink (DPCD 204h)</t>
    <phoneticPr fontId="6"/>
  </si>
  <si>
    <t>Link Training Status Check (Status by Sink)</t>
    <phoneticPr fontId="6"/>
  </si>
  <si>
    <t>Enhanced Frame Check (Set by Source)</t>
    <phoneticPr fontId="6"/>
  </si>
  <si>
    <t>Link Training Level setting (Set by Source)</t>
    <phoneticPr fontId="6"/>
  </si>
  <si>
    <t>8206</t>
    <phoneticPr fontId="6"/>
  </si>
  <si>
    <t>ADJUST_REQUEST_LANE0_1</t>
    <phoneticPr fontId="6"/>
  </si>
  <si>
    <t>Link Training LANE0_1 Adjusted Level by Sink (DPCD 206h)
Bit[7:6]: LANE1 PRE-EMPHASIS Level
Bit[5:4]: LANE1 VOLTAGE_SWING Level
Bit[3:2]: LANE0 PRE-EMPHASIS Level
Bit[1:0]: LANE0 VOLTAGE_SWING Level</t>
    <phoneticPr fontId="6"/>
  </si>
  <si>
    <t>ADJUST_REQUEST_LANE2_3</t>
    <phoneticPr fontId="6"/>
  </si>
  <si>
    <t>8207</t>
    <phoneticPr fontId="6"/>
  </si>
  <si>
    <t>Link Training LANE2_3 Adjusted Level by Sink (DPCD 207h)
Bit[7:6]: LANE3 PRE-EMPHASIS Level
Bit[5:4]: LANE3 VOLTAGE_SWING Level
Bit[3:2]: LANE2 PRE-EMPHASIS Level
Bit[1:0]: LANE2 VOLTAGE_SWING Level</t>
    <phoneticPr fontId="6"/>
  </si>
  <si>
    <t>Add 0x8100,0x8103,0x8104,0x8105,0x8106,0x8206,0x8207</t>
    <phoneticPr fontId="6"/>
  </si>
  <si>
    <t>Tv10</t>
    <phoneticPr fontId="6"/>
  </si>
  <si>
    <t>Tv11</t>
    <phoneticPr fontId="6"/>
  </si>
  <si>
    <t>v06</t>
    <phoneticPr fontId="6"/>
  </si>
  <si>
    <t>Add 26MHz to C37</t>
    <phoneticPr fontId="6"/>
  </si>
  <si>
    <t>v09</t>
    <phoneticPr fontId="6"/>
  </si>
  <si>
    <t>Change U17 condition</t>
    <phoneticPr fontId="6"/>
  </si>
  <si>
    <t>Add setting for 26MHz REFCLK</t>
    <phoneticPr fontId="6"/>
  </si>
  <si>
    <t>Setting for 26MHz REFCLK</t>
    <phoneticPr fontId="6"/>
  </si>
  <si>
    <t>ExtCLKSel</t>
    <phoneticPr fontId="6"/>
  </si>
  <si>
    <t>0000</t>
    <phoneticPr fontId="6"/>
  </si>
  <si>
    <t>41</t>
    <phoneticPr fontId="6"/>
  </si>
  <si>
    <t>DPREFPLLCTRL_1</t>
    <phoneticPr fontId="6"/>
  </si>
  <si>
    <t>DPREFPLLCTRL_2</t>
    <phoneticPr fontId="6"/>
  </si>
  <si>
    <t>0008</t>
    <phoneticPr fontId="6"/>
  </si>
  <si>
    <t>0302</t>
    <phoneticPr fontId="6"/>
  </si>
  <si>
    <t>000C</t>
    <phoneticPr fontId="6"/>
  </si>
  <si>
    <t>0C02301D</t>
    <phoneticPr fontId="6"/>
  </si>
  <si>
    <t>Internal PCLK Setting for Non Preset or REFCLK=26MHz</t>
    <phoneticPr fontId="6"/>
  </si>
  <si>
    <t>DSI Clock setting for Non Preset or REFCLK=26MHz</t>
    <phoneticPr fontId="6"/>
  </si>
  <si>
    <t>FULLTRANTIME0</t>
    <phoneticPr fontId="6"/>
  </si>
  <si>
    <t>B401</t>
    <phoneticPr fontId="6"/>
  </si>
  <si>
    <t>B402</t>
    <phoneticPr fontId="6"/>
  </si>
  <si>
    <t>B403</t>
    <phoneticPr fontId="6"/>
  </si>
  <si>
    <t>FULLTRANTIME1</t>
    <phoneticPr fontId="6"/>
  </si>
  <si>
    <t>FULLTRANTIME2</t>
    <phoneticPr fontId="6"/>
  </si>
  <si>
    <t>FASTTRNTIME0</t>
    <phoneticPr fontId="6"/>
  </si>
  <si>
    <t>FASTTRNTIME1</t>
    <phoneticPr fontId="6"/>
  </si>
  <si>
    <t>FASTTRNTIME2</t>
    <phoneticPr fontId="6"/>
  </si>
  <si>
    <t>B404</t>
    <phoneticPr fontId="6"/>
  </si>
  <si>
    <t>B405</t>
    <phoneticPr fontId="6"/>
  </si>
  <si>
    <t>B406</t>
    <phoneticPr fontId="6"/>
  </si>
  <si>
    <t>B409</t>
    <phoneticPr fontId="6"/>
  </si>
  <si>
    <t>B40A</t>
    <phoneticPr fontId="6"/>
  </si>
  <si>
    <t>B40B</t>
    <phoneticPr fontId="6"/>
  </si>
  <si>
    <t>AL_LOCKTIME_CTRL0</t>
    <phoneticPr fontId="6"/>
  </si>
  <si>
    <t>AL_LOCKTIME_CTRL1</t>
    <phoneticPr fontId="6"/>
  </si>
  <si>
    <t>AL_LOCKTIME_CTRL2</t>
    <phoneticPr fontId="6"/>
  </si>
  <si>
    <t>AL_OFFDLY_CTRL0</t>
    <phoneticPr fontId="6"/>
  </si>
  <si>
    <t>AL_OFFDLY_CTRL1</t>
    <phoneticPr fontId="6"/>
  </si>
  <si>
    <t>AL_OFFDLY_CTRL2</t>
    <phoneticPr fontId="6"/>
  </si>
  <si>
    <t>B420</t>
    <phoneticPr fontId="6"/>
  </si>
  <si>
    <t>B421</t>
    <phoneticPr fontId="6"/>
  </si>
  <si>
    <t>B422</t>
    <phoneticPr fontId="6"/>
  </si>
  <si>
    <t>B423</t>
    <phoneticPr fontId="6"/>
  </si>
  <si>
    <t>B424</t>
    <phoneticPr fontId="6"/>
  </si>
  <si>
    <t>B425</t>
    <phoneticPr fontId="6"/>
  </si>
  <si>
    <t>AL_OFFDLY_CTRL3</t>
    <phoneticPr fontId="6"/>
  </si>
  <si>
    <t>AL_OFFDLY_CTRL4</t>
    <phoneticPr fontId="6"/>
  </si>
  <si>
    <t>AL_OFFDLY_CTRL5</t>
    <phoneticPr fontId="6"/>
  </si>
  <si>
    <t>B426</t>
    <phoneticPr fontId="6"/>
  </si>
  <si>
    <t>B427</t>
    <phoneticPr fontId="6"/>
  </si>
  <si>
    <t>AL_OFFDLY_CTRL6</t>
    <phoneticPr fontId="6"/>
  </si>
  <si>
    <t>AL_OFFDLY_CTRL7</t>
    <phoneticPr fontId="6"/>
  </si>
  <si>
    <t>AL_SLEEPDLY_CTRL0</t>
    <phoneticPr fontId="6"/>
  </si>
  <si>
    <t>AL_SLEEPDLY_CTRL1</t>
    <phoneticPr fontId="6"/>
  </si>
  <si>
    <t>AL_SLEEPDLY_CTRL2</t>
    <phoneticPr fontId="6"/>
  </si>
  <si>
    <t>AL_SLEEPDLY_CTRL3</t>
    <phoneticPr fontId="6"/>
  </si>
  <si>
    <t>AL_SLEEPDLY_CTRL4</t>
    <phoneticPr fontId="6"/>
  </si>
  <si>
    <t>AL_SLEEPDLY_CTRL5</t>
    <phoneticPr fontId="6"/>
  </si>
  <si>
    <t>AL_SLEEPDLY_CTRL6</t>
    <phoneticPr fontId="6"/>
  </si>
  <si>
    <t>AL_SLEEPDLY_CTRL7</t>
    <phoneticPr fontId="6"/>
  </si>
  <si>
    <t>B428</t>
    <phoneticPr fontId="6"/>
  </si>
  <si>
    <t>B429</t>
    <phoneticPr fontId="6"/>
  </si>
  <si>
    <t>B42A</t>
    <phoneticPr fontId="6"/>
  </si>
  <si>
    <t>B42B</t>
    <phoneticPr fontId="6"/>
  </si>
  <si>
    <t>B42C</t>
    <phoneticPr fontId="6"/>
  </si>
  <si>
    <t>B42D</t>
    <phoneticPr fontId="6"/>
  </si>
  <si>
    <t>B42E</t>
    <phoneticPr fontId="6"/>
  </si>
  <si>
    <t>B42F</t>
    <phoneticPr fontId="6"/>
  </si>
  <si>
    <t>A0</t>
    <phoneticPr fontId="6"/>
  </si>
  <si>
    <t>F7</t>
    <phoneticPr fontId="6"/>
  </si>
  <si>
    <t>03</t>
    <phoneticPr fontId="6"/>
  </si>
  <si>
    <t>90</t>
    <phoneticPr fontId="6"/>
  </si>
  <si>
    <t>65</t>
    <phoneticPr fontId="6"/>
  </si>
  <si>
    <t>00</t>
    <phoneticPr fontId="6"/>
  </si>
  <si>
    <t>0D</t>
    <phoneticPr fontId="6"/>
  </si>
  <si>
    <t>08</t>
    <phoneticPr fontId="6"/>
  </si>
  <si>
    <t>02</t>
    <phoneticPr fontId="6"/>
  </si>
  <si>
    <t>14</t>
    <phoneticPr fontId="6"/>
  </si>
  <si>
    <t>05</t>
    <phoneticPr fontId="6"/>
  </si>
  <si>
    <t>28</t>
    <phoneticPr fontId="6"/>
  </si>
  <si>
    <t>0A</t>
    <phoneticPr fontId="6"/>
  </si>
  <si>
    <t>3C</t>
    <phoneticPr fontId="6"/>
  </si>
  <si>
    <t>0F</t>
    <phoneticPr fontId="6"/>
  </si>
  <si>
    <t>50</t>
    <phoneticPr fontId="6"/>
  </si>
  <si>
    <t>78</t>
    <phoneticPr fontId="6"/>
  </si>
  <si>
    <t>1E</t>
    <phoneticPr fontId="6"/>
  </si>
  <si>
    <t>Set_LINE_INIT_COUNT</t>
    <phoneticPr fontId="6"/>
  </si>
  <si>
    <t>DSI Transition Time Setting for 26MHz REFCLK</t>
    <phoneticPr fontId="6"/>
  </si>
  <si>
    <t>00000A28</t>
    <phoneticPr fontId="6"/>
  </si>
  <si>
    <t>Set_DSI_HSTXVREGCNT</t>
    <phoneticPr fontId="6"/>
  </si>
  <si>
    <t>0000001A</t>
    <phoneticPr fontId="6"/>
  </si>
  <si>
    <t>DSI_PLL_LOCKCNT</t>
    <phoneticPr fontId="6"/>
  </si>
  <si>
    <t>41A8</t>
    <phoneticPr fontId="6"/>
  </si>
  <si>
    <t>00006590</t>
    <phoneticPr fontId="6"/>
  </si>
  <si>
    <t>v06</t>
    <phoneticPr fontId="6"/>
  </si>
  <si>
    <t>Change U17,S17 condition</t>
    <phoneticPr fontId="6"/>
  </si>
  <si>
    <t>v02</t>
    <phoneticPr fontId="6"/>
  </si>
  <si>
    <t>Change U17 condition</t>
    <phoneticPr fontId="6"/>
  </si>
  <si>
    <t>Modifty formula of BB317~BZ317.</t>
    <phoneticPr fontId="6"/>
  </si>
  <si>
    <t>Real PCLK speed (MHz)</t>
    <phoneticPr fontId="15"/>
  </si>
  <si>
    <t>Change formula of BC4~BC19</t>
    <phoneticPr fontId="6"/>
  </si>
  <si>
    <t>Change formlula of D39</t>
    <phoneticPr fontId="6"/>
  </si>
  <si>
    <t>PCLK for Preset</t>
    <phoneticPr fontId="15"/>
  </si>
  <si>
    <t>PCLK for non preset</t>
    <phoneticPr fontId="15"/>
  </si>
  <si>
    <t>Internal PCLK Sel(MHz) -&gt;</t>
    <phoneticPr fontId="15"/>
  </si>
  <si>
    <t>Internal PCLK(Real)(MHz) -&gt;</t>
    <phoneticPr fontId="15"/>
  </si>
  <si>
    <t>PCLK Ofst</t>
    <phoneticPr fontId="15"/>
  </si>
  <si>
    <t>Change C24</t>
    <phoneticPr fontId="6"/>
  </si>
  <si>
    <t>Change C26 judgement formula.</t>
    <phoneticPr fontId="6"/>
  </si>
  <si>
    <t>Change formula of T136</t>
    <phoneticPr fontId="6"/>
  </si>
  <si>
    <t>Add ERROR comment to B9</t>
    <phoneticPr fontId="6"/>
  </si>
  <si>
    <t>Change J132</t>
    <phoneticPr fontId="6"/>
  </si>
  <si>
    <t>Modifty formula of BB301</t>
    <phoneticPr fontId="6"/>
  </si>
  <si>
    <t>Modifty formula of BC268,CM268,DW268</t>
    <phoneticPr fontId="6"/>
  </si>
  <si>
    <t>Modifty formula of BC258,CM258,DW258</t>
    <phoneticPr fontId="6"/>
  </si>
  <si>
    <t>Change formula of D260~D265</t>
    <phoneticPr fontId="6"/>
  </si>
  <si>
    <t>Modify formula of D72, E72.</t>
    <phoneticPr fontId="6"/>
  </si>
  <si>
    <t>Add conditional background color to E71</t>
    <phoneticPr fontId="6"/>
  </si>
  <si>
    <t>Setting when REFCLK is not 27MHz</t>
    <phoneticPr fontId="6"/>
  </si>
  <si>
    <t>Tv12</t>
    <phoneticPr fontId="6"/>
  </si>
  <si>
    <t>v07</t>
    <phoneticPr fontId="6"/>
  </si>
  <si>
    <t>Add 0xB632 setting</t>
    <phoneticPr fontId="6"/>
  </si>
  <si>
    <t>Change 0x1014 setting</t>
    <phoneticPr fontId="6"/>
  </si>
  <si>
    <t>B009</t>
    <phoneticPr fontId="6"/>
  </si>
  <si>
    <t>SET CG_VIDPLL_CTRL5</t>
    <phoneticPr fontId="6"/>
  </si>
  <si>
    <t>Tv13</t>
    <phoneticPr fontId="6"/>
  </si>
  <si>
    <t>v08</t>
    <phoneticPr fontId="6"/>
  </si>
  <si>
    <t>Modify address of "SET CG_VIDPLL_CTRL5" register</t>
  </si>
  <si>
    <t>Modify address of "SET CG_VIDPLL_CTRL5" register</t>
    <phoneticPr fontId="6"/>
  </si>
  <si>
    <t>v10</t>
    <phoneticPr fontId="6"/>
  </si>
  <si>
    <t>Preset PCLK</t>
    <phoneticPr fontId="15"/>
  </si>
  <si>
    <t>No.</t>
    <phoneticPr fontId="15"/>
  </si>
  <si>
    <t>MATCH</t>
    <phoneticPr fontId="15"/>
  </si>
  <si>
    <t>Tv14</t>
    <phoneticPr fontId="6"/>
  </si>
  <si>
    <t>v07</t>
    <phoneticPr fontId="6"/>
  </si>
  <si>
    <t>Change T132</t>
    <phoneticPr fontId="6"/>
  </si>
  <si>
    <t>Add BO1~BR19</t>
    <phoneticPr fontId="6"/>
  </si>
  <si>
    <t>v11</t>
    <phoneticPr fontId="6"/>
  </si>
  <si>
    <t>Continuous</t>
  </si>
  <si>
    <t>Add HsClkMode to C47,B318~T319</t>
    <phoneticPr fontId="6"/>
  </si>
  <si>
    <t>Move GPIO setting for LCD Reset</t>
    <phoneticPr fontId="6"/>
  </si>
  <si>
    <t>4050</t>
    <phoneticPr fontId="15"/>
  </si>
  <si>
    <t>DSI_FUNC_MODE</t>
  </si>
  <si>
    <t>WR32</t>
    <phoneticPr fontId="6"/>
  </si>
  <si>
    <t>IOB_CTRL2</t>
    <phoneticPr fontId="6"/>
  </si>
  <si>
    <t>0804</t>
    <phoneticPr fontId="6"/>
  </si>
  <si>
    <t>GPIO Configuration</t>
    <phoneticPr fontId="6"/>
  </si>
  <si>
    <t>GPIOC</t>
    <phoneticPr fontId="6"/>
  </si>
  <si>
    <t>0080</t>
    <phoneticPr fontId="6"/>
  </si>
  <si>
    <t>GPIOO</t>
    <phoneticPr fontId="6"/>
  </si>
  <si>
    <t>0084</t>
    <phoneticPr fontId="6"/>
  </si>
  <si>
    <t>GPIO output data. GPIO0 "H"</t>
    <phoneticPr fontId="6"/>
  </si>
  <si>
    <t>00000000</t>
    <phoneticPr fontId="6"/>
  </si>
  <si>
    <t>GPIO output data. GPIO0 "L"</t>
    <phoneticPr fontId="6"/>
  </si>
  <si>
    <t>delay</t>
    <phoneticPr fontId="6"/>
  </si>
  <si>
    <t>Wait 50ms</t>
    <phoneticPr fontId="6"/>
  </si>
  <si>
    <t>Wait 100ms</t>
    <phoneticPr fontId="6"/>
  </si>
  <si>
    <t>Setting for 26MHz REFCLK</t>
    <phoneticPr fontId="6"/>
  </si>
  <si>
    <t>Internal PCLK Setting for Non Preset or REFCLK=26MHz</t>
    <phoneticPr fontId="6"/>
  </si>
  <si>
    <t>DSI Clock setting for Non Preset or REFCLK=26MHz</t>
    <phoneticPr fontId="6"/>
  </si>
  <si>
    <t>DSI Start</t>
    <phoneticPr fontId="6"/>
  </si>
  <si>
    <t>DSI Hs Clock Mode</t>
    <phoneticPr fontId="6"/>
  </si>
  <si>
    <t>v03</t>
    <phoneticPr fontId="6"/>
  </si>
  <si>
    <t>Add HsClkMode to Line106~107</t>
    <phoneticPr fontId="6"/>
  </si>
  <si>
    <t>v09</t>
    <phoneticPr fontId="6"/>
  </si>
  <si>
    <t>Manual</t>
  </si>
  <si>
    <t>DPRX_HTIM2</t>
    <phoneticPr fontId="6"/>
  </si>
  <si>
    <t>Add DPRX_HTIM2 setting (Line 50)</t>
    <phoneticPr fontId="6"/>
  </si>
  <si>
    <t>Change B43~B45</t>
    <phoneticPr fontId="6"/>
  </si>
  <si>
    <t>Set LP11 for Clock Lane</t>
    <phoneticPr fontId="39"/>
  </si>
  <si>
    <t>Add HsClkMode to Line70,87~88</t>
    <phoneticPr fontId="6"/>
  </si>
  <si>
    <t>Set LP11 for Clock Lane</t>
    <phoneticPr fontId="6"/>
  </si>
  <si>
    <t>Add HsClkMode to Line189,206~207</t>
    <phoneticPr fontId="6"/>
  </si>
  <si>
    <t>00000000</t>
    <phoneticPr fontId="6"/>
  </si>
  <si>
    <t>0000000F</t>
    <phoneticPr fontId="6"/>
  </si>
  <si>
    <t>0000000F</t>
    <phoneticPr fontId="6"/>
  </si>
  <si>
    <t>GPIO Direction Control. GPIO3~0 Output</t>
    <phoneticPr fontId="6"/>
  </si>
  <si>
    <t>REM</t>
    <phoneticPr fontId="6"/>
  </si>
  <si>
    <t>LCD Initialization</t>
    <phoneticPr fontId="6"/>
  </si>
  <si>
    <t>2560x1600 DSI 4lanex2link 60fps DP Input</t>
    <phoneticPr fontId="6"/>
  </si>
  <si>
    <t>I2C Master Speed(kHz)</t>
    <phoneticPr fontId="6"/>
  </si>
  <si>
    <t>B204</t>
    <phoneticPr fontId="6"/>
  </si>
  <si>
    <t>Tv15</t>
    <phoneticPr fontId="6"/>
  </si>
  <si>
    <t>v08</t>
    <phoneticPr fontId="6"/>
  </si>
  <si>
    <t>Add I2C master speed setting</t>
    <phoneticPr fontId="6"/>
  </si>
  <si>
    <t>v12</t>
    <phoneticPr fontId="6"/>
  </si>
  <si>
    <t>Modify 0xB204 setting</t>
    <phoneticPr fontId="6"/>
  </si>
  <si>
    <t>Tv16</t>
    <phoneticPr fontId="6"/>
  </si>
  <si>
    <t>v09</t>
    <phoneticPr fontId="6"/>
  </si>
  <si>
    <t>Change setting style of C15</t>
    <phoneticPr fontId="6"/>
  </si>
  <si>
    <t>8200</t>
    <phoneticPr fontId="6"/>
  </si>
  <si>
    <t>Sink Count</t>
    <phoneticPr fontId="6"/>
  </si>
  <si>
    <t>Sink Count Setting</t>
    <phoneticPr fontId="6"/>
  </si>
  <si>
    <t>v13</t>
    <phoneticPr fontId="6"/>
  </si>
  <si>
    <t>Add Sink Count Setting (0x8200)</t>
    <phoneticPr fontId="6"/>
  </si>
  <si>
    <t>Tv17</t>
    <phoneticPr fontId="6"/>
  </si>
  <si>
    <t>WR8</t>
    <phoneticPr fontId="6"/>
  </si>
  <si>
    <t>B898</t>
    <phoneticPr fontId="6"/>
  </si>
  <si>
    <t>E0</t>
    <phoneticPr fontId="6"/>
  </si>
  <si>
    <t>EQ_OPT_WCNT1_FEQ</t>
    <phoneticPr fontId="6"/>
  </si>
  <si>
    <t>B899</t>
    <phoneticPr fontId="6"/>
  </si>
  <si>
    <t>2E</t>
    <phoneticPr fontId="6"/>
  </si>
  <si>
    <t>TRAINING_AUX_RD_INTERVAL</t>
    <phoneticPr fontId="6"/>
  </si>
  <si>
    <t>800E</t>
    <phoneticPr fontId="6"/>
  </si>
  <si>
    <t>00</t>
    <phoneticPr fontId="6"/>
  </si>
  <si>
    <t>PLL_DIV_CTRL0_1p62gbs_30mhz</t>
    <phoneticPr fontId="6"/>
  </si>
  <si>
    <t>B830</t>
    <phoneticPr fontId="6"/>
  </si>
  <si>
    <t>A4</t>
    <phoneticPr fontId="6"/>
  </si>
  <si>
    <t>PLL_DIV_CTRL1_1p62gbs_30mhz</t>
    <phoneticPr fontId="6"/>
  </si>
  <si>
    <t>B831</t>
    <phoneticPr fontId="6"/>
  </si>
  <si>
    <t>09</t>
    <phoneticPr fontId="6"/>
  </si>
  <si>
    <t>PLL_DIV_CTRL0_2p16gbs_30mhz</t>
    <phoneticPr fontId="6"/>
  </si>
  <si>
    <t>B835</t>
    <phoneticPr fontId="6"/>
  </si>
  <si>
    <t>PLL_DIV_CTRL1_2p16gbs_30mhz</t>
    <phoneticPr fontId="6"/>
  </si>
  <si>
    <t>B836</t>
    <phoneticPr fontId="6"/>
  </si>
  <si>
    <t>0C</t>
    <phoneticPr fontId="6"/>
  </si>
  <si>
    <t>PLL_DIV_CTRL0_2p70gbs_30mhz</t>
  </si>
  <si>
    <t>B83F</t>
    <phoneticPr fontId="6"/>
  </si>
  <si>
    <t>84</t>
    <phoneticPr fontId="6"/>
  </si>
  <si>
    <t>PLL_DIV_CTRL1_2p70gbs_30mhz</t>
  </si>
  <si>
    <t>B840</t>
    <phoneticPr fontId="6"/>
  </si>
  <si>
    <t>12</t>
    <phoneticPr fontId="6"/>
  </si>
  <si>
    <t>PLL_DIV_CTRL0_3p24gbs_30mhz</t>
  </si>
  <si>
    <t>B844</t>
    <phoneticPr fontId="6"/>
  </si>
  <si>
    <t>A0</t>
    <phoneticPr fontId="6"/>
  </si>
  <si>
    <t>PLL_DIV_CTRL1_3p24gbs_30mhz</t>
    <phoneticPr fontId="6"/>
  </si>
  <si>
    <t>B845</t>
    <phoneticPr fontId="6"/>
  </si>
  <si>
    <t>PLL_DIV_CTRL0_4p32gbs_30mhz</t>
    <phoneticPr fontId="6"/>
  </si>
  <si>
    <t>B849</t>
    <phoneticPr fontId="6"/>
  </si>
  <si>
    <t>PLL_DIV_CTRL1_4p32gbs_30mhz</t>
    <phoneticPr fontId="6"/>
  </si>
  <si>
    <t>B84A</t>
    <phoneticPr fontId="6"/>
  </si>
  <si>
    <t>PLL_DIV_CTRL0_5p40gbs_30mhz</t>
    <phoneticPr fontId="6"/>
  </si>
  <si>
    <t>B853</t>
    <phoneticPr fontId="6"/>
  </si>
  <si>
    <t>80</t>
    <phoneticPr fontId="6"/>
  </si>
  <si>
    <t>PLL_DIV_CTRL1_5p40gbs_30mhz</t>
    <phoneticPr fontId="6"/>
  </si>
  <si>
    <t>B854</t>
    <phoneticPr fontId="6"/>
  </si>
  <si>
    <t>OVERRIDE_DATA</t>
    <phoneticPr fontId="6"/>
  </si>
  <si>
    <t>BBC5</t>
    <phoneticPr fontId="6"/>
  </si>
  <si>
    <t>PLL_FDBK_DIV2_MATCH</t>
    <phoneticPr fontId="6"/>
  </si>
  <si>
    <t>BBCB</t>
    <phoneticPr fontId="6"/>
  </si>
  <si>
    <t>REFCLK_COUNT</t>
    <phoneticPr fontId="6"/>
  </si>
  <si>
    <t>BBC0</t>
    <phoneticPr fontId="6"/>
  </si>
  <si>
    <t>DD</t>
    <phoneticPr fontId="6"/>
  </si>
  <si>
    <t>FEEDBK_CLK_COUNT</t>
    <phoneticPr fontId="6"/>
  </si>
  <si>
    <t>BBC1</t>
    <phoneticPr fontId="6"/>
  </si>
  <si>
    <t>CD</t>
    <phoneticPr fontId="6"/>
  </si>
  <si>
    <t>COUNT_MSB</t>
    <phoneticPr fontId="6"/>
  </si>
  <si>
    <t>BBC2</t>
    <phoneticPr fontId="6"/>
  </si>
  <si>
    <t>70</t>
    <phoneticPr fontId="6"/>
  </si>
  <si>
    <t>04</t>
    <phoneticPr fontId="6"/>
  </si>
  <si>
    <t>A6</t>
    <phoneticPr fontId="6"/>
  </si>
  <si>
    <t>D3</t>
    <phoneticPr fontId="6"/>
  </si>
  <si>
    <t>6E</t>
    <phoneticPr fontId="6"/>
  </si>
  <si>
    <t>Change 0xB898,0xB899 value</t>
    <phoneticPr fontId="6"/>
  </si>
  <si>
    <t>Add 0xB830~0xBBC2 settings</t>
    <phoneticPr fontId="6"/>
  </si>
  <si>
    <t>WR32</t>
    <phoneticPr fontId="6"/>
  </si>
  <si>
    <t>WR32</t>
    <phoneticPr fontId="6"/>
  </si>
  <si>
    <t>Change VSYNC monitor setting.</t>
    <phoneticPr fontId="6"/>
  </si>
  <si>
    <t>v02</t>
    <phoneticPr fontId="6"/>
  </si>
  <si>
    <t>Reset LCD module by GPIO</t>
    <phoneticPr fontId="6"/>
  </si>
  <si>
    <t>GPIO output data. GPIO* "L"</t>
    <phoneticPr fontId="6"/>
  </si>
  <si>
    <r>
      <t xml:space="preserve">TC358860XBG </t>
    </r>
    <r>
      <rPr>
        <b/>
        <sz val="14"/>
        <color rgb="FFFF0000"/>
        <rFont val="Arial"/>
        <family val="2"/>
      </rPr>
      <t>eDP</t>
    </r>
    <r>
      <rPr>
        <b/>
        <sz val="14"/>
        <color indexed="8"/>
        <rFont val="Arial"/>
        <family val="2"/>
      </rPr>
      <t xml:space="preserve"> Input Enter SLEEP mode</t>
    </r>
    <phoneticPr fontId="6"/>
  </si>
  <si>
    <t>By Detecting DPCD 600h=02h by monitor signal (INT rising edge)</t>
    <phoneticPr fontId="39"/>
  </si>
  <si>
    <t>v02</t>
    <phoneticPr fontId="6"/>
  </si>
  <si>
    <t>Change trigger to start sequence.</t>
    <phoneticPr fontId="6"/>
  </si>
  <si>
    <t>Source_DPeDP_Startup</t>
    <phoneticPr fontId="6"/>
  </si>
  <si>
    <t>GPIO 1,3</t>
    <phoneticPr fontId="6"/>
  </si>
  <si>
    <t>GPIO 0,2</t>
    <phoneticPr fontId="6"/>
  </si>
  <si>
    <t>Change monitor signal selection 0x5010,0x5014. Add monitor signal information.</t>
    <phoneticPr fontId="6"/>
  </si>
  <si>
    <t>Before eDP source sets SLEEP mode through DPCD 600h. If this control is not available, Skip below yellow part.</t>
    <phoneticPr fontId="6"/>
  </si>
  <si>
    <t>By detecting DPCD 600h=01h by monitor signal (INT falling edge).</t>
    <phoneticPr fontId="6"/>
  </si>
  <si>
    <t>Change to follow "Source_DPeDP_Startup" monitor setting.</t>
    <phoneticPr fontId="6"/>
  </si>
  <si>
    <t>Sleep out mon</t>
    <phoneticPr fontId="39"/>
  </si>
  <si>
    <t>Sleep In mon</t>
    <phoneticPr fontId="39"/>
  </si>
  <si>
    <r>
      <t xml:space="preserve">TC358860XBG </t>
    </r>
    <r>
      <rPr>
        <b/>
        <sz val="14"/>
        <color rgb="FFFF0000"/>
        <rFont val="Arial"/>
        <family val="2"/>
      </rPr>
      <t>eDP</t>
    </r>
    <r>
      <rPr>
        <b/>
        <sz val="14"/>
        <color indexed="8"/>
        <rFont val="Arial"/>
        <family val="2"/>
      </rPr>
      <t xml:space="preserve"> Input Resume from SLEEP</t>
    </r>
    <phoneticPr fontId="6"/>
  </si>
  <si>
    <t>By detecting VSYNC monitor output (INT rising edge)</t>
    <phoneticPr fontId="6"/>
  </si>
  <si>
    <t>v04</t>
    <phoneticPr fontId="6"/>
  </si>
  <si>
    <t>Modify to fit to eDP input case.</t>
    <phoneticPr fontId="6"/>
  </si>
  <si>
    <t>Start Link Training</t>
    <phoneticPr fontId="6"/>
  </si>
  <si>
    <t>Go to "Source_DPeDP_Startup","Start Link Training".</t>
    <phoneticPr fontId="6"/>
  </si>
  <si>
    <t>By Detecting absense of VSYNC monitor signal (INT rising edge)</t>
    <phoneticPr fontId="39"/>
  </si>
  <si>
    <t>Restart</t>
    <phoneticPr fontId="6"/>
  </si>
  <si>
    <t>Source_DP_Suspend</t>
    <phoneticPr fontId="6"/>
  </si>
  <si>
    <t>VSYNC mon</t>
    <phoneticPr fontId="39"/>
  </si>
  <si>
    <r>
      <t xml:space="preserve">TC358860XBG </t>
    </r>
    <r>
      <rPr>
        <b/>
        <sz val="14"/>
        <color rgb="FFFF0000"/>
        <rFont val="Arial"/>
        <family val="2"/>
      </rPr>
      <t>DP</t>
    </r>
    <r>
      <rPr>
        <b/>
        <sz val="14"/>
        <color indexed="8"/>
        <rFont val="Arial"/>
        <family val="2"/>
      </rPr>
      <t xml:space="preserve"> Input Enter SLEEP mode</t>
    </r>
    <phoneticPr fontId="6"/>
  </si>
  <si>
    <t>v10</t>
    <phoneticPr fontId="6"/>
  </si>
  <si>
    <t>Modify C34</t>
    <phoneticPr fontId="6"/>
  </si>
  <si>
    <t>Tv18</t>
    <phoneticPr fontId="6"/>
  </si>
  <si>
    <t>v11</t>
    <phoneticPr fontId="6"/>
  </si>
  <si>
    <t>Modify G74 judgment.</t>
    <phoneticPr fontId="6"/>
  </si>
  <si>
    <t>GPIO1</t>
  </si>
  <si>
    <t>v03</t>
    <phoneticPr fontId="6"/>
  </si>
  <si>
    <t>Change PIC24 conversion for RD8,RD16,RD32</t>
    <phoneticPr fontId="6"/>
  </si>
  <si>
    <t>v10</t>
    <phoneticPr fontId="6"/>
  </si>
  <si>
    <t>Modify B43,B44,B45</t>
    <phoneticPr fontId="6"/>
  </si>
  <si>
    <t>Tv19</t>
    <phoneticPr fontId="6"/>
  </si>
  <si>
    <t>Tv20</t>
    <phoneticPr fontId="6"/>
  </si>
  <si>
    <t>v04</t>
    <phoneticPr fontId="6"/>
  </si>
  <si>
    <t>Change PIC24 converison for RD8,RD16,RD32</t>
    <phoneticPr fontId="6"/>
  </si>
  <si>
    <t>01</t>
    <phoneticPr fontId="6"/>
  </si>
  <si>
    <t>CHECK</t>
    <phoneticPr fontId="6"/>
  </si>
  <si>
    <t>v14</t>
    <phoneticPr fontId="6"/>
  </si>
  <si>
    <t>Add D204,E204</t>
    <phoneticPr fontId="6"/>
  </si>
  <si>
    <t>REM</t>
    <phoneticPr fontId="6"/>
  </si>
  <si>
    <t>1.8V</t>
  </si>
  <si>
    <t>Tv21</t>
    <phoneticPr fontId="6"/>
  </si>
  <si>
    <t>v12</t>
    <phoneticPr fontId="6"/>
  </si>
  <si>
    <t>Add PCLK setting (31MHz, 315MHz, 365MHz, 405MHz)</t>
    <phoneticPr fontId="6"/>
  </si>
  <si>
    <t>1~4096</t>
    <phoneticPr fontId="15"/>
  </si>
  <si>
    <t>Modify F74 judgment.</t>
    <phoneticPr fontId="6"/>
  </si>
  <si>
    <t>Tv22</t>
    <phoneticPr fontId="6"/>
  </si>
  <si>
    <t>v15</t>
    <phoneticPr fontId="6"/>
  </si>
  <si>
    <t>Modify formula of S17,U17,S37</t>
    <phoneticPr fontId="6"/>
  </si>
  <si>
    <t>Modify formula of B17-B20,B37-B40</t>
    <phoneticPr fontId="6"/>
  </si>
  <si>
    <t>v05</t>
    <phoneticPr fontId="6"/>
  </si>
  <si>
    <t>v05</t>
    <phoneticPr fontId="6"/>
  </si>
  <si>
    <t>Modify formula of B13-B16,B33-B36,B64-B67</t>
    <phoneticPr fontId="6"/>
  </si>
  <si>
    <t>Modify formula of S13,U13,S33</t>
    <phoneticPr fontId="6"/>
  </si>
  <si>
    <t>v02</t>
    <phoneticPr fontId="6"/>
  </si>
  <si>
    <t>Modify formula of B39-B42,B59-B62,B90-B93</t>
    <phoneticPr fontId="6"/>
  </si>
  <si>
    <t>Modify formula of S39,U39,S59</t>
    <phoneticPr fontId="6"/>
  </si>
  <si>
    <t>Modify formula of B17-B20,B37-B40,B43-B46</t>
    <phoneticPr fontId="6"/>
  </si>
  <si>
    <t>Modify formula of S17,U17,S37</t>
    <phoneticPr fontId="6"/>
  </si>
  <si>
    <t>PCLK for Original</t>
    <phoneticPr fontId="15"/>
  </si>
  <si>
    <t>(MHz)</t>
    <phoneticPr fontId="15"/>
  </si>
  <si>
    <t>Preset</t>
    <phoneticPr fontId="6"/>
  </si>
  <si>
    <t>Ideal PCLK</t>
    <phoneticPr fontId="15"/>
  </si>
  <si>
    <t>v13</t>
    <phoneticPr fontId="6"/>
  </si>
  <si>
    <t>Modify formula of Real PCLK frequency</t>
    <phoneticPr fontId="6"/>
  </si>
  <si>
    <t>Tv23</t>
    <phoneticPr fontId="6"/>
  </si>
  <si>
    <t>v05</t>
    <phoneticPr fontId="6"/>
  </si>
  <si>
    <t>Add Color Format checking</t>
    <phoneticPr fontId="6"/>
  </si>
  <si>
    <t>Color Format Check</t>
    <phoneticPr fontId="6"/>
  </si>
  <si>
    <t>Color Fmt</t>
    <phoneticPr fontId="39"/>
  </si>
  <si>
    <r>
      <t xml:space="preserve">Color Format related   </t>
    </r>
    <r>
      <rPr>
        <sz val="11"/>
        <color rgb="FFFF0000"/>
        <rFont val="Arial"/>
        <family val="2"/>
      </rPr>
      <t>This is OPTIONAL for eDP/DP source</t>
    </r>
    <phoneticPr fontId="39"/>
  </si>
  <si>
    <t>B238</t>
    <phoneticPr fontId="39"/>
  </si>
  <si>
    <t>MSA22,23</t>
    <phoneticPr fontId="39"/>
  </si>
  <si>
    <t>Bit Depth</t>
    <phoneticPr fontId="39"/>
  </si>
  <si>
    <t>ColFmt</t>
    <phoneticPr fontId="39"/>
  </si>
  <si>
    <t>Col Depth</t>
    <phoneticPr fontId="39"/>
  </si>
  <si>
    <t>0020</t>
    <phoneticPr fontId="39"/>
  </si>
  <si>
    <t>Overlap</t>
    <phoneticPr fontId="15"/>
  </si>
  <si>
    <t>Overlap Pixel</t>
    <phoneticPr fontId="15"/>
  </si>
  <si>
    <t>Dummy Pixel</t>
    <phoneticPr fontId="15"/>
  </si>
  <si>
    <t>Left Side</t>
    <phoneticPr fontId="15"/>
  </si>
  <si>
    <t>Right Side</t>
    <phoneticPr fontId="15"/>
  </si>
  <si>
    <t>Dummy Color</t>
    <phoneticPr fontId="15"/>
  </si>
  <si>
    <t>R</t>
    <phoneticPr fontId="15"/>
  </si>
  <si>
    <t>G</t>
    <phoneticPr fontId="15"/>
  </si>
  <si>
    <t>B</t>
    <phoneticPr fontId="15"/>
  </si>
  <si>
    <t>Dummy</t>
    <phoneticPr fontId="15"/>
  </si>
  <si>
    <t>Tv24</t>
    <phoneticPr fontId="6"/>
  </si>
  <si>
    <t>v14</t>
    <phoneticPr fontId="6"/>
  </si>
  <si>
    <t>Add Dummy and Overlap setting</t>
    <phoneticPr fontId="6"/>
  </si>
  <si>
    <t xml:space="preserve">v16 </t>
    <phoneticPr fontId="6"/>
  </si>
  <si>
    <t>OVERLAP/DUMMY PIXEL FOR LEFT</t>
  </si>
  <si>
    <t>OVERLAP/DUMMY PIXEL FOR LEFT</t>
    <phoneticPr fontId="6"/>
  </si>
  <si>
    <t>0104</t>
  </si>
  <si>
    <t>0104</t>
    <phoneticPr fontId="6"/>
  </si>
  <si>
    <t>OVERLAP/DUMMY PIXEL FOR RIGHT</t>
  </si>
  <si>
    <t>OVERLAP/DUMMY PIXEL FOR RIGHT</t>
    <phoneticPr fontId="6"/>
  </si>
  <si>
    <t>DUMMY COLOR PIXEL</t>
  </si>
  <si>
    <t>DUMMY COLOR PIXEL</t>
    <phoneticPr fontId="6"/>
  </si>
  <si>
    <t>013C</t>
  </si>
  <si>
    <t>013C</t>
    <phoneticPr fontId="6"/>
  </si>
  <si>
    <t>0118</t>
  </si>
  <si>
    <t>0118</t>
    <phoneticPr fontId="6"/>
  </si>
  <si>
    <t>v12</t>
    <phoneticPr fontId="6"/>
  </si>
  <si>
    <t>ADD B51-53,C51-53,D51-53</t>
    <phoneticPr fontId="6"/>
  </si>
  <si>
    <t>ADD B169-171,C169-171,D169-171</t>
    <phoneticPr fontId="6"/>
  </si>
  <si>
    <t>Enable</t>
    <phoneticPr fontId="15"/>
  </si>
  <si>
    <t>L-OVL</t>
    <phoneticPr fontId="15"/>
  </si>
  <si>
    <t>R-OVL</t>
    <phoneticPr fontId="15"/>
  </si>
  <si>
    <t>L-DMY</t>
    <phoneticPr fontId="15"/>
  </si>
  <si>
    <t>R-DMY</t>
    <phoneticPr fontId="15"/>
  </si>
  <si>
    <t>L-Total</t>
    <phoneticPr fontId="15"/>
  </si>
  <si>
    <t>R-Total</t>
    <phoneticPr fontId="15"/>
  </si>
  <si>
    <t>Tv25</t>
    <phoneticPr fontId="6"/>
  </si>
  <si>
    <t>v15</t>
    <phoneticPr fontId="6"/>
  </si>
  <si>
    <t>WR32</t>
    <phoneticPr fontId="6"/>
  </si>
  <si>
    <t xml:space="preserve">v17 </t>
    <phoneticPr fontId="6"/>
  </si>
  <si>
    <t>Modify formula of BR1</t>
    <phoneticPr fontId="6"/>
  </si>
  <si>
    <t>Modify formula of THS-PREPARE+ZERO(BB314-BB314)</t>
    <phoneticPr fontId="6"/>
  </si>
  <si>
    <t>WR32</t>
    <phoneticPr fontId="39"/>
  </si>
  <si>
    <r>
      <t>Modify formula of</t>
    </r>
    <r>
      <rPr>
        <sz val="11"/>
        <color theme="1"/>
        <rFont val="ＭＳ Ｐゴシック"/>
        <family val="3"/>
        <charset val="128"/>
      </rPr>
      <t>　</t>
    </r>
    <r>
      <rPr>
        <sz val="11"/>
        <color theme="1"/>
        <rFont val="Arial"/>
        <family val="2"/>
      </rPr>
      <t>B63</t>
    </r>
    <phoneticPr fontId="6"/>
  </si>
  <si>
    <t>ColorBar(H)</t>
  </si>
  <si>
    <t>Target PCLK</t>
    <phoneticPr fontId="15"/>
  </si>
  <si>
    <t>Tv26</t>
    <phoneticPr fontId="6"/>
  </si>
  <si>
    <t>v16</t>
    <phoneticPr fontId="6"/>
  </si>
  <si>
    <t>M20,N20,BA38 are modified. BB38 is added.</t>
    <phoneticPr fontId="6"/>
  </si>
  <si>
    <t>Modify PCLK for Color Bar mode</t>
    <phoneticPr fontId="6"/>
  </si>
  <si>
    <t>Tv27</t>
    <phoneticPr fontId="6"/>
  </si>
  <si>
    <t>v17</t>
    <phoneticPr fontId="6"/>
  </si>
  <si>
    <t>TCLK-PREPARE(ns)</t>
    <phoneticPr fontId="15"/>
  </si>
  <si>
    <t>TLPX</t>
    <phoneticPr fontId="15"/>
  </si>
  <si>
    <t>add DSI speed (1050Mbps, 1100Mbps, 1150Mbps, 1200Mbps)</t>
    <phoneticPr fontId="6"/>
  </si>
  <si>
    <t>Modify 31MHz Pclk PLL setting (CM265)</t>
    <phoneticPr fontId="6"/>
  </si>
  <si>
    <t>Modify fomula of TWAKEUP (Line333)</t>
    <phoneticPr fontId="6"/>
  </si>
  <si>
    <t>v18</t>
    <phoneticPr fontId="6"/>
  </si>
  <si>
    <t>Modify formula of B213</t>
    <phoneticPr fontId="6"/>
  </si>
  <si>
    <t>Modify formula of B212</t>
    <phoneticPr fontId="6"/>
  </si>
  <si>
    <t>Modify formula of B64</t>
    <phoneticPr fontId="6"/>
  </si>
  <si>
    <t>v14</t>
    <phoneticPr fontId="6"/>
  </si>
  <si>
    <t>Modify fomula of LBW of MIPI PLL (Line270)</t>
    <phoneticPr fontId="6"/>
  </si>
  <si>
    <t>ICPOUT00</t>
    <phoneticPr fontId="15"/>
  </si>
  <si>
    <t>ICPOUT01</t>
    <phoneticPr fontId="15"/>
  </si>
  <si>
    <t>ICPOUT10</t>
    <phoneticPr fontId="15"/>
  </si>
  <si>
    <t>ICPOUT11</t>
    <phoneticPr fontId="15"/>
  </si>
  <si>
    <t>ICP</t>
    <phoneticPr fontId="15"/>
  </si>
  <si>
    <t>LF-Resistance</t>
    <phoneticPr fontId="15"/>
  </si>
  <si>
    <t>KVCO</t>
    <phoneticPr fontId="15"/>
  </si>
  <si>
    <t>Kpll</t>
    <phoneticPr fontId="15"/>
  </si>
  <si>
    <t>Ratio</t>
    <phoneticPr fontId="15"/>
  </si>
  <si>
    <t>ωn</t>
    <phoneticPr fontId="15"/>
  </si>
  <si>
    <t>ζ</t>
    <phoneticPr fontId="15"/>
  </si>
  <si>
    <t>Ratio Judge</t>
    <phoneticPr fontId="15"/>
  </si>
  <si>
    <t>ζ Judge</t>
    <phoneticPr fontId="15"/>
  </si>
  <si>
    <t>Modify fomula of BCP of MIPI PLL (Line280)</t>
    <phoneticPr fontId="6"/>
  </si>
  <si>
    <t>TX-TA-GO</t>
    <phoneticPr fontId="15"/>
  </si>
  <si>
    <r>
      <t>Modify formula of TX-TA-GO</t>
    </r>
    <r>
      <rPr>
        <sz val="11"/>
        <color theme="1"/>
        <rFont val="ＭＳ Ｐゴシック"/>
        <family val="3"/>
        <charset val="128"/>
      </rPr>
      <t>　</t>
    </r>
    <r>
      <rPr>
        <sz val="11"/>
        <color theme="1"/>
        <rFont val="Arial"/>
        <family val="2"/>
      </rPr>
      <t>(Line320)</t>
    </r>
    <phoneticPr fontId="6"/>
  </si>
  <si>
    <t>Tv28</t>
    <phoneticPr fontId="6"/>
  </si>
  <si>
    <t>v18</t>
    <phoneticPr fontId="6"/>
  </si>
  <si>
    <t>Modify formula of C38</t>
    <phoneticPr fontId="6"/>
  </si>
  <si>
    <t>Real Timing</t>
    <phoneticPr fontId="15"/>
  </si>
  <si>
    <t xml:space="preserve">TCLK-POST_min(ns) </t>
    <phoneticPr fontId="15"/>
  </si>
  <si>
    <t>RX-TA-SURE_max(ns)</t>
    <phoneticPr fontId="15"/>
  </si>
  <si>
    <t xml:space="preserve">TCLK-POST_max(ns) </t>
    <phoneticPr fontId="15"/>
  </si>
  <si>
    <t>v19</t>
    <phoneticPr fontId="6"/>
  </si>
  <si>
    <t>Modify formula of B214</t>
    <phoneticPr fontId="6"/>
  </si>
  <si>
    <t>v15</t>
    <phoneticPr fontId="6"/>
  </si>
  <si>
    <t>Modify formula of B65</t>
    <phoneticPr fontId="6"/>
  </si>
  <si>
    <t>TCLK-PRE_min(ns)</t>
    <phoneticPr fontId="15"/>
  </si>
  <si>
    <t>TCLK-PRE_max(ns)</t>
    <phoneticPr fontId="15"/>
  </si>
  <si>
    <t>TCLK-PREPARE+ZERO_min(ns)</t>
    <phoneticPr fontId="15"/>
  </si>
  <si>
    <t>Modify formula of B210</t>
    <phoneticPr fontId="6"/>
  </si>
  <si>
    <t>Modify formula of B61</t>
    <phoneticPr fontId="6"/>
  </si>
  <si>
    <t>TCLK-TRAIL_min(ns)</t>
    <phoneticPr fontId="15"/>
  </si>
  <si>
    <t>TLPX Judge</t>
    <phoneticPr fontId="15"/>
  </si>
  <si>
    <t>TCLK-PREPARE Judge</t>
    <phoneticPr fontId="15"/>
  </si>
  <si>
    <t>TCLK-PRE Judge</t>
    <phoneticPr fontId="15"/>
  </si>
  <si>
    <t>Modify MIPI DSI-Tx timing</t>
    <phoneticPr fontId="6"/>
  </si>
  <si>
    <t xml:space="preserve"> - TCLK-POST setting value and formula</t>
    <phoneticPr fontId="6"/>
  </si>
  <si>
    <t xml:space="preserve"> - TCLK-PRE setting value and formula</t>
    <phoneticPr fontId="6"/>
  </si>
  <si>
    <t xml:space="preserve"> - TCLK-PREPARE formula</t>
    <phoneticPr fontId="6"/>
  </si>
  <si>
    <t xml:space="preserve"> - TCLK-PREPARE+ZERO setting value and formula</t>
    <phoneticPr fontId="6"/>
  </si>
  <si>
    <t xml:space="preserve"> - TCLK-TRAIL setting value and formula</t>
    <phoneticPr fontId="6"/>
  </si>
  <si>
    <t xml:space="preserve"> - TCLK-EXIT setting value and formula</t>
    <phoneticPr fontId="6"/>
  </si>
  <si>
    <t>TCLK-PREPARE+ZERO_max(ns)</t>
    <phoneticPr fontId="15"/>
  </si>
  <si>
    <t>TCLK-PREPARE+ZERO Judge</t>
    <phoneticPr fontId="15"/>
  </si>
  <si>
    <t>TCLK-TRAIL_max(ns)</t>
    <phoneticPr fontId="15"/>
  </si>
  <si>
    <t>TCLK-TRAIL Judge</t>
    <phoneticPr fontId="15"/>
  </si>
  <si>
    <t>TCLK-EXIT Judge</t>
    <phoneticPr fontId="15"/>
  </si>
  <si>
    <t>THS-PREPARE(ns)</t>
    <phoneticPr fontId="15"/>
  </si>
  <si>
    <t>THS-PREPARE Judge</t>
    <phoneticPr fontId="15"/>
  </si>
  <si>
    <t xml:space="preserve"> - THS-PREPARE setting value and formula</t>
    <phoneticPr fontId="6"/>
  </si>
  <si>
    <t>THS-PREPARE+ZERO(ns)</t>
    <phoneticPr fontId="15"/>
  </si>
  <si>
    <t>THS-PREPARE+ZERO Judge</t>
    <phoneticPr fontId="15"/>
  </si>
  <si>
    <t xml:space="preserve"> - THS-PREPARE+ZERO formula</t>
    <phoneticPr fontId="6"/>
  </si>
  <si>
    <t>TWAKEUP Judge</t>
    <phoneticPr fontId="15"/>
  </si>
  <si>
    <t xml:space="preserve"> - TWAKEUP setting value</t>
    <phoneticPr fontId="6"/>
  </si>
  <si>
    <t>TCLK-POST Judge</t>
    <phoneticPr fontId="15"/>
  </si>
  <si>
    <t>THS-TRAIL Judge</t>
    <phoneticPr fontId="15"/>
  </si>
  <si>
    <t xml:space="preserve"> - THS-TRAIL formula</t>
    <phoneticPr fontId="6"/>
  </si>
  <si>
    <t>THS-EXIT Judge</t>
    <phoneticPr fontId="15"/>
  </si>
  <si>
    <t>RX-TA-SURE_min(ns)</t>
    <phoneticPr fontId="15"/>
  </si>
  <si>
    <t>RX-TA-SURE Judge</t>
    <phoneticPr fontId="15"/>
  </si>
  <si>
    <t>TX-TA-GO(ns)</t>
    <phoneticPr fontId="15"/>
  </si>
  <si>
    <t>TX-TA-GO Judge</t>
    <phoneticPr fontId="15"/>
  </si>
  <si>
    <t xml:space="preserve"> - Add Judge formula</t>
    <phoneticPr fontId="6"/>
  </si>
  <si>
    <t>Modify formula of B124, B125</t>
    <phoneticPr fontId="6"/>
  </si>
  <si>
    <t>Tv29</t>
    <phoneticPr fontId="6"/>
  </si>
  <si>
    <t>v19</t>
    <phoneticPr fontId="6"/>
  </si>
  <si>
    <t>Modify D72,E72 formula</t>
    <phoneticPr fontId="6"/>
  </si>
  <si>
    <t>8000</t>
    <phoneticPr fontId="6"/>
  </si>
  <si>
    <t>DPCD Rev</t>
    <phoneticPr fontId="6"/>
  </si>
  <si>
    <t>v20</t>
    <phoneticPr fontId="6"/>
  </si>
  <si>
    <t>v20</t>
    <phoneticPr fontId="6"/>
  </si>
  <si>
    <t>Add setting of 0x8000</t>
    <phoneticPr fontId="6"/>
  </si>
  <si>
    <t>8700</t>
    <phoneticPr fontId="6"/>
  </si>
  <si>
    <t>Modify setting of DPCD 700h</t>
    <phoneticPr fontId="6"/>
  </si>
  <si>
    <t>Hs Clock Mode during 1st LCD setting</t>
    <phoneticPr fontId="15"/>
  </si>
  <si>
    <t>Set DSI clock to continuous mode</t>
    <phoneticPr fontId="6"/>
  </si>
  <si>
    <t>00000020</t>
    <phoneticPr fontId="6"/>
  </si>
  <si>
    <t>Modify DSI clock mode. During video transmission, always continuous mode.</t>
    <phoneticPr fontId="6"/>
  </si>
  <si>
    <t>Change to LP mode for 1st LCD setting part.</t>
    <phoneticPr fontId="6"/>
  </si>
  <si>
    <t>v16</t>
    <phoneticPr fontId="6"/>
  </si>
  <si>
    <t>v16</t>
    <phoneticPr fontId="6"/>
  </si>
  <si>
    <t>Tv30</t>
    <phoneticPr fontId="6"/>
  </si>
  <si>
    <t>v20</t>
    <phoneticPr fontId="6"/>
  </si>
  <si>
    <t>Modify 0x100C&lt;17:0&gt; setting. T136.</t>
    <phoneticPr fontId="6"/>
  </si>
  <si>
    <t>v21</t>
    <phoneticPr fontId="6"/>
  </si>
  <si>
    <t>Tv31</t>
    <phoneticPr fontId="6"/>
  </si>
  <si>
    <t>Modify 0x100C&lt;17:0&gt; setting to suit for "Color Bar" case. T136.</t>
    <phoneticPr fontId="6"/>
  </si>
  <si>
    <t>v22</t>
    <phoneticPr fontId="15"/>
  </si>
  <si>
    <t>Tv32</t>
    <phoneticPr fontId="6"/>
  </si>
  <si>
    <t>v22</t>
    <phoneticPr fontId="6"/>
  </si>
  <si>
    <t>Modify C26. Modify BC20.</t>
    <phoneticPr fontId="6"/>
  </si>
  <si>
    <t>Modify D72,E72.</t>
    <phoneticPr fontId="6"/>
  </si>
  <si>
    <t>Original</t>
  </si>
  <si>
    <t>L half=&gt;TX0  R half=&gt;TX1</t>
  </si>
  <si>
    <t>DP</t>
  </si>
  <si>
    <t>unsigned char rdatac;</t>
  </si>
  <si>
    <t>unsigned long rdatal;</t>
  </si>
  <si>
    <t>// IO Voltahge Setting</t>
  </si>
  <si>
    <t>i2c1_edp2dsi_write32(0x0800,0x00000001); // IOB_CTRL1</t>
  </si>
  <si>
    <t>// Boot Settings</t>
  </si>
  <si>
    <t>i2c1_edp2dsi_write32(0x1000,0x00006978); // BootWaitCount</t>
  </si>
  <si>
    <t>i2c1_edp2dsi_write32(0x1004,0x00040902); // Boot Set0</t>
  </si>
  <si>
    <t>i2c1_edp2dsi_write32(0x1010,0x01040020); // Boot Set3</t>
  </si>
  <si>
    <t>i2c1_edp2dsi_write32(0x1014,0x00000001); // Boot Ctrl</t>
  </si>
  <si>
    <t>Waitx1ms(1);</t>
  </si>
  <si>
    <t>// Internal PCLK Setting for Non Preset or REFCLK=26MHz</t>
  </si>
  <si>
    <t>i2c1_edp2dsi_write8(0xB005,0x0A); // SET CG_VIDPLL_CTRL1</t>
  </si>
  <si>
    <t>i2c1_edp2dsi_write8(0xB006,0x03); // SET CG_VIDPLL_CTRL2</t>
  </si>
  <si>
    <t>i2c1_edp2dsi_write8(0xB007,0x16); // SET CG_VIDPLL_CTRL3</t>
  </si>
  <si>
    <t>i2c1_edp2dsi_write8(0xB008,0x00); // SET CG_VIDPLL_CTRL4</t>
  </si>
  <si>
    <t>i2c1_edp2dsi_write8(0xB009,0x21); // SET CG_VIDPLL_CTRL5</t>
  </si>
  <si>
    <t>i2c1_edp2dsi_write8(0xB00A,0x07); // SET CG_VIDPLL_CTRL6</t>
  </si>
  <si>
    <t>// DSI Clock setting for Non Preset or REFCLK=26MHz</t>
  </si>
  <si>
    <t>i2c1_edp2dsi_write32(0x41B0,0x00002624); // MIPI_PLL_CNF</t>
  </si>
  <si>
    <t>i2c1_edp2dsi_write32(0x41BC,0x00000A01); // MIPI_PLL_PARA</t>
  </si>
  <si>
    <t>i2c1_edp2dsi_write32(0x41C0,0x00000030); // MIPI_PLL_FIX</t>
  </si>
  <si>
    <t>i2c1_edp2dsi_write32(0x1014,0x00000003); // Boot Ctrl</t>
  </si>
  <si>
    <t>// Additional Setting for eDP</t>
  </si>
  <si>
    <t>i2c1_edp2dsi_write8(0x8200,0x01); // Sink Count</t>
  </si>
  <si>
    <t>i2c1_edp2dsi_write8(0x8003,0x41); // Max Downspread</t>
  </si>
  <si>
    <t>i2c1_edp2dsi_write8(0xB400,0x0D); // AL Mode Control Link</t>
  </si>
  <si>
    <t>// DPRX CAD Register Setting</t>
  </si>
  <si>
    <t>i2c1_edp2dsi_write8(0xB88E,0xFF); // Set CR_OPT_WCNT0</t>
  </si>
  <si>
    <t>i2c1_edp2dsi_write8(0xB88F,0xFF); // Set CR_OPT_WCNT1</t>
  </si>
  <si>
    <t>i2c1_edp2dsi_write8(0xB89A,0xFF); // Set CR_OPT_WCNT2</t>
  </si>
  <si>
    <t>i2c1_edp2dsi_write8(0xB89B,0xFF); // Set CR_OPT_WCNT3</t>
  </si>
  <si>
    <t>i2c1_edp2dsi_write8(0xB800,0x0E); // Set CDR_PHASE_LP_EN</t>
  </si>
  <si>
    <t>i2c1_edp2dsi_write8(0xBB26,0x02); // RX_VREG_VALUE</t>
  </si>
  <si>
    <t>i2c1_edp2dsi_write8(0xBB01,0x20); // RX_VREG_ENABLE</t>
  </si>
  <si>
    <t>i2c1_edp2dsi_write8(0xB8C0,0xF1); // RX_CDR_LUT1</t>
  </si>
  <si>
    <t>i2c1_edp2dsi_write8(0xB8C1,0xF1); // RX_CDR_LUT2</t>
  </si>
  <si>
    <t>i2c1_edp2dsi_write8(0xB8C2,0xF0); // RX_CDR_LUT3</t>
  </si>
  <si>
    <t>i2c1_edp2dsi_write8(0xB8C3,0xF0); // RX_CDR_LUT4</t>
  </si>
  <si>
    <t>i2c1_edp2dsi_write8(0xB8C4,0xF0); // RX_CDR_LUT5</t>
  </si>
  <si>
    <t>i2c1_edp2dsi_write8(0xB8C5,0xF0); // RX_CDR_LUT6</t>
  </si>
  <si>
    <t>i2c1_edp2dsi_write8(0xB8C6,0xF0); // RX_CDR_LUT7</t>
  </si>
  <si>
    <t>i2c1_edp2dsi_write8(0xB8C7,0xF0); // RX_CDR_LUT8</t>
  </si>
  <si>
    <t>i2c1_edp2dsi_write8(0xB80B,0x00); // PLL_CP1P1</t>
  </si>
  <si>
    <t>i2c1_edp2dsi_write8(0xB833,0x00); // PLL_CP1P2</t>
  </si>
  <si>
    <t>i2c1_edp2dsi_write8(0xB85B,0x00); // PLL_CP1P3</t>
  </si>
  <si>
    <t>i2c1_edp2dsi_write8(0xB810,0x00); // PLL_CP2P1</t>
  </si>
  <si>
    <t>i2c1_edp2dsi_write8(0xB838,0x00); // PLL_CP2P2</t>
  </si>
  <si>
    <t>i2c1_edp2dsi_write8(0xB860,0x00); // PLL_CP2P3</t>
  </si>
  <si>
    <t>i2c1_edp2dsi_write8(0xB815,0x00); // PLL_CP2P4</t>
  </si>
  <si>
    <t>i2c1_edp2dsi_write8(0xB83D,0x00); // PLL_CP2P5</t>
  </si>
  <si>
    <t>i2c1_edp2dsi_write8(0xB865,0x00); // PLL_CP2P6</t>
  </si>
  <si>
    <t>i2c1_edp2dsi_write8(0xB81A,0x00); // PLL_CP2P7</t>
  </si>
  <si>
    <t>i2c1_edp2dsi_write8(0xB842,0x00); // PLL_CP2P8</t>
  </si>
  <si>
    <t>i2c1_edp2dsi_write8(0xB86A,0x00); // PLL_CP2P9</t>
  </si>
  <si>
    <t>i2c1_edp2dsi_write8(0xB81F,0x00); // PLL_CP3P1</t>
  </si>
  <si>
    <t>i2c1_edp2dsi_write8(0xB847,0x00); // PLL_CP3P2</t>
  </si>
  <si>
    <t>i2c1_edp2dsi_write8(0xB86F,0x00); // PLL_CP3P3</t>
  </si>
  <si>
    <t>i2c1_edp2dsi_write8(0xB824,0x00); // PLL_CP4P1</t>
  </si>
  <si>
    <t>i2c1_edp2dsi_write8(0xB84C,0x00); // PLL_CP4P2</t>
  </si>
  <si>
    <t>i2c1_edp2dsi_write8(0xB874,0x00); // PLL_CP4P3</t>
  </si>
  <si>
    <t>i2c1_edp2dsi_write8(0xB829,0x00); // PLL_CP4P4</t>
  </si>
  <si>
    <t>i2c1_edp2dsi_write8(0xB851,0x00); // PLL_CP4P5</t>
  </si>
  <si>
    <t>i2c1_edp2dsi_write8(0xB879,0x00); // PLL_CP4P6</t>
  </si>
  <si>
    <t>i2c1_edp2dsi_write8(0xB82E,0x00); // PLL_CP5P7</t>
  </si>
  <si>
    <t>i2c1_edp2dsi_write8(0xB856,0x00); // PLL_CP5P2</t>
  </si>
  <si>
    <t>i2c1_edp2dsi_write8(0xB87E,0x00); // PLL_CP5P3</t>
  </si>
  <si>
    <t>i2c1_edp2dsi_write8(0xBB90,0x10); // ctle_em_data_rate_control_0[7:0]</t>
  </si>
  <si>
    <t>i2c1_edp2dsi_write8(0xBB91,0x0F); // ctle_em_data_rate_control_1[7:0]</t>
  </si>
  <si>
    <t>i2c1_edp2dsi_write8(0xBB92,0xF6); // ctle_em_data_rate_control_2[7:0]</t>
  </si>
  <si>
    <t>i2c1_edp2dsi_write8(0xBB93,0x10); // ctle_em_data_rate_control_3[7:0]</t>
  </si>
  <si>
    <t>i2c1_edp2dsi_write8(0xBB94,0x0F); // ctle_em_data_rate_control_4[7:0]</t>
  </si>
  <si>
    <t>i2c1_edp2dsi_write8(0xBB95,0xF6); // ctle_em_data_rate_control_5[7:0]</t>
  </si>
  <si>
    <t>i2c1_edp2dsi_write8(0xBB96,0x10); // ctle_em_data_rate_control_6[7:0]</t>
  </si>
  <si>
    <t>i2c1_edp2dsi_write8(0xBB97,0x0F); // ctle_em_data_rate_control_7[7:0]</t>
  </si>
  <si>
    <t>i2c1_edp2dsi_write8(0xBB98,0xF6); // ctle_em_data_rate_control_8[7:0]</t>
  </si>
  <si>
    <t>i2c1_edp2dsi_write8(0xBB99,0x10); // ctle_em_data_rate_control_A[7:0]</t>
  </si>
  <si>
    <t>i2c1_edp2dsi_write8(0xBB9A,0x0F); // ctle_em_data_rate_control_B[7:0]</t>
  </si>
  <si>
    <t>i2c1_edp2dsi_write8(0xBB9B,0xF6); // ctle_em_data_rate_control_0[7:0]</t>
  </si>
  <si>
    <t>i2c1_edp2dsi_write8(0xB88A,0x03); // CR_OPT_CTRL</t>
  </si>
  <si>
    <t>i2c1_edp2dsi_write8(0xB896,0x03); // EQ_OPT_CTRL</t>
  </si>
  <si>
    <t>i2c1_edp2dsi_write8(0xBBD1,0x07); // ctle_em_contro_1</t>
  </si>
  <si>
    <t>i2c1_edp2dsi_write8(0xBBB0,0x07); // eye_configuration_0</t>
  </si>
  <si>
    <t>i2c1_edp2dsi_write8(0xB88B,0x04); // CR_OPT_MIN_EYE_VALID</t>
  </si>
  <si>
    <t>i2c1_edp2dsi_write8(0xB88C,0x45); // CR_OPT_WCNT0_EYE</t>
  </si>
  <si>
    <t>i2c1_edp2dsi_write8(0xB88D,0x05); // CT_OPT_WCNT1_EYE</t>
  </si>
  <si>
    <t>i2c1_edp2dsi_write8(0xB897,0x04); // EQ_OPT_MIN_EYE_VALID</t>
  </si>
  <si>
    <t>i2c1_edp2dsi_write8(0xB898,0xE0); // EQ_OPT_WCNT0_FEQ</t>
  </si>
  <si>
    <t>i2c1_edp2dsi_write8(0xB899,0x2E); // EQ_OPT_WCNT1_FEQ</t>
  </si>
  <si>
    <t>i2c1_edp2dsi_write8(0x800E,0x00); // TRAINING_AUX_RD_INTERVAL</t>
  </si>
  <si>
    <t>i2c1_edp2dsi_write32(0x1014,0x00000007); // Boot Ctrl</t>
  </si>
  <si>
    <t>// Video Size Related Setting for Non Preset</t>
  </si>
  <si>
    <t>// eDP Settings for Link Training</t>
  </si>
  <si>
    <t>i2c1_edp2dsi_write8(0xB608,0x0B); // Set AUXTXHSEN</t>
  </si>
  <si>
    <t>i2c1_edp2dsi_write8(0xB800,0x1E); // Set CDR_PHASE_LP_EN</t>
  </si>
  <si>
    <t>i2c1_edp2dsi_write8(0x8700,0x00); // DPCD 0700h</t>
  </si>
  <si>
    <t>// For DP EDID Read</t>
  </si>
  <si>
    <t xml:space="preserve">i2c1_edp2dsi_write8(0xB201,0x30); // </t>
  </si>
  <si>
    <t xml:space="preserve">i2c1_edp2dsi_write16(0xB202,0x0000); // </t>
  </si>
  <si>
    <t xml:space="preserve">i2c1_edp2dsi_write32(0xB204,0x00000004); // </t>
  </si>
  <si>
    <t>// VSYNC monitor output setting for DP connection</t>
  </si>
  <si>
    <t>i2c1_edp2dsi_write32(0x5010,0x016A0000); // Monitor Signal Selection</t>
  </si>
  <si>
    <t>i2c1_edp2dsi_write32(0x008C,0x00000040); // GPIOOUTMODE</t>
  </si>
  <si>
    <t>i2c1_edp2dsi_write32(0x0080,0x00000002); // GPIOC</t>
  </si>
  <si>
    <t>// I2C direction control for DP connection</t>
  </si>
  <si>
    <t>i2c1_edp2dsi_write32(0x00B0,0x00000001); // I2CMD_SL</t>
  </si>
  <si>
    <t>// Start Link Training</t>
  </si>
  <si>
    <t>// By detecting VSYNC monitor output (INT rising edge)</t>
  </si>
  <si>
    <t>// Check if VSYNC is detected on monitor signal</t>
  </si>
  <si>
    <t>i2c1_edp2dsi_write32(0x00B0,0x00000000); // I2CMD_SL</t>
  </si>
  <si>
    <t>// After Link Training finishes</t>
  </si>
  <si>
    <t>// Check Link Training Status</t>
  </si>
  <si>
    <t>// DSI Transition Time Setting for Non Preset</t>
  </si>
  <si>
    <t>i2c1_edp2dsi_write32(0x4154,0x00000006); // PPI_DPHY_LPTXTIMECNT</t>
  </si>
  <si>
    <t>i2c1_edp2dsi_write32(0x4158,0x00140003); // PPI_DPHY_TCLK_HEADERCNT</t>
  </si>
  <si>
    <t>i2c1_edp2dsi_write32(0x415C,0x00060002); // PPI_DPHY_TCLK_TRAILCNT</t>
  </si>
  <si>
    <t>i2c1_edp2dsi_write32(0x4160,0x000A0003); // PPI_DPHY_THS_HEADERCNT</t>
  </si>
  <si>
    <t>i2c1_edp2dsi_write32(0x4164,0x00002710); // PPI_DPHY_TWAKEUPCNT</t>
  </si>
  <si>
    <t>i2c1_edp2dsi_write32(0x4168,0x0000000A); // PPI_DPHY_TCLK_POSTCNT</t>
  </si>
  <si>
    <t>i2c1_edp2dsi_write32(0x416C,0x00070005); // PPI_DPHY_THSTRAILCNT</t>
  </si>
  <si>
    <t>i2c1_edp2dsi_write32(0x4178,0x00060006); // PPI_DSI_BTA_COUNT</t>
  </si>
  <si>
    <t>// DSI Start</t>
  </si>
  <si>
    <t>i2c1_edp2dsi_write32(0x407C,0x00000081); // DSI_DSITX_MODE</t>
  </si>
  <si>
    <t>i2c1_edp2dsi_write32(0x4050,0x00000000); // DSI_FUNC_MODE</t>
  </si>
  <si>
    <t>i2c1_edp2dsi_write32(0x401C,0x00000001); // DSI_DSITX_START</t>
  </si>
  <si>
    <t>Waitx1us(100);</t>
  </si>
  <si>
    <t>// GPIO setting for LCD control.  (Depends on LCD specification and System configuration)</t>
  </si>
  <si>
    <t>i2c1_edp2dsi_write32(0x0804,0x00000000); // IOB_CTRL2</t>
  </si>
  <si>
    <t>i2c1_edp2dsi_write32(0x0080,0x0000000F); // GPIOC</t>
  </si>
  <si>
    <t>i2c1_edp2dsi_write32(0x0084,0x0000000F); // GPIOO</t>
  </si>
  <si>
    <t>i2c1_edp2dsi_write32(0x0084,0x00000000); // GPIOO</t>
  </si>
  <si>
    <t>Waitx1ms(50);</t>
  </si>
  <si>
    <t>// DSI Hs Clock Mode</t>
  </si>
  <si>
    <t>i2c1_edp2dsi_write32(0x4050,0x00000020); // DSI_FUNC_MODE</t>
  </si>
  <si>
    <t>Waitx1ms(100);</t>
  </si>
  <si>
    <t>// Command Transmission Before Video Start. (Depeds on LCD specification)</t>
  </si>
  <si>
    <t>// LCD Initialization</t>
  </si>
  <si>
    <t>i2c1_edp2dsi_write32(0x2A10,0x80040010); // DSI0_CQMODE</t>
  </si>
  <si>
    <t>i2c1_edp2dsi_write32(0x3A10,0x80040010); // DSI1_CQMODE</t>
  </si>
  <si>
    <t>i2c1_edp2dsi_write32(0x2A04,0x00000001); // DSI0_VideoSTART</t>
  </si>
  <si>
    <t>i2c1_edp2dsi_write32(0x3A04,0x00000001); // DSI1_VideoSTART</t>
  </si>
  <si>
    <t>// Check if eDP video is coming</t>
  </si>
  <si>
    <t>i2c1_edp2dsi_write32(0x0154,0x00000001); // Set_DPVideoEn</t>
  </si>
  <si>
    <t>// Command Transmission After Video Start. (Depends on LCD specification)</t>
  </si>
  <si>
    <t>while(((rdatac=i2c1_edp2dsi_read8(0x8204)) &amp; 0x01)!=0x01){;} // Check if 0x8204 is expected value.</t>
  </si>
  <si>
    <t>i2c1_edp2dsi_write8(0x8001,0x14); // Max Link Rate</t>
  </si>
  <si>
    <t>i2c1_edp2dsi_write32(0x1008,0x027D0006); // Boot Set1</t>
  </si>
  <si>
    <t>i2c1_edp2dsi_write32(0x100C,0x0300023D); // Boot Set2</t>
  </si>
  <si>
    <t>while((rdatal=i2c1_edp2dsi_read32(0x1018))!=0x00000002){;} // Check if 0x1018&lt;bit2:0&gt; is expected value</t>
    <phoneticPr fontId="6"/>
  </si>
  <si>
    <t>while((rdatal=i2c1_edp2dsi_read32(0x1018))!=0x00000006){;} // Check if 0x1018&lt;bit2:0&gt; is expected value</t>
    <phoneticPr fontId="6"/>
  </si>
  <si>
    <t>while((rdatal=i2c1_edp2dsi_read32(0x1018))!=0x00000007){;} // Check if 0x1018&lt;bit2:0&gt; is expected value</t>
    <phoneticPr fontId="6"/>
  </si>
  <si>
    <t>i2c1_edp2dsi_write32(0x0110,0x0000021C); // HTIM2_LEFT</t>
  </si>
  <si>
    <t>i2c1_edp2dsi_write32(0x0124,0x0000021C); // HTIM2_RIGHT</t>
  </si>
  <si>
    <t>i2c1_edp2dsi_write32(0x0148,0x00000438); // DPRX_HTIM2</t>
  </si>
  <si>
    <t>i2c1_edp2dsi_write32(0x2920,0x3E0B0654); // DSI0_PIC_SYN_PKT_A</t>
  </si>
  <si>
    <t>i2c1_edp2dsi_write32(0x3920,0x3E0B0654); // DSI1_PIC_SYN_PKT_A</t>
  </si>
  <si>
    <t>while((rdatac=i2c1_edp2dsi_read8(0xB631))!=0x01){;} // Check if 0xB631&lt;bit1:0&gt;=01b.</t>
    <phoneticPr fontId="6"/>
  </si>
  <si>
    <t>i2c1_edp2dsi_write8(0x8002,0x02); // Max Lane Count</t>
  </si>
  <si>
    <t>while((rdatac=i2c1_edp2dsi_read8(0x8202))!=0x77){;} // Check if 0x8203 is expected value.</t>
    <phoneticPr fontId="6"/>
  </si>
  <si>
    <t>while((rdatal=i2c1_edp2dsi_read32(0x4060))!=0x00000003){;} // Check if 0x2060/4060&lt;bit1:0&gt;=11b.</t>
    <phoneticPr fontId="6"/>
  </si>
  <si>
    <t>//unsigned int rdatai;</t>
    <phoneticPr fontId="6"/>
  </si>
</sst>
</file>

<file path=xl/styles.xml><?xml version="1.0" encoding="utf-8"?>
<styleSheet xmlns="http://schemas.openxmlformats.org/spreadsheetml/2006/main">
  <numFmts count="6">
    <numFmt numFmtId="176" formatCode="0.00_ "/>
    <numFmt numFmtId="177" formatCode="0.00_);[Red]\(0.00\)"/>
    <numFmt numFmtId="178" formatCode="0.000_ "/>
    <numFmt numFmtId="179" formatCode="0.000_);[Red]\(0.000\)"/>
    <numFmt numFmtId="180" formatCode="0_ "/>
    <numFmt numFmtId="181" formatCode="0.0_ "/>
  </numFmts>
  <fonts count="59">
    <font>
      <sz val="11"/>
      <color theme="1"/>
      <name val="宋体"/>
      <family val="3"/>
      <charset val="128"/>
      <scheme val="minor"/>
    </font>
    <font>
      <sz val="11"/>
      <color indexed="8"/>
      <name val="Arial"/>
      <family val="2"/>
    </font>
    <font>
      <b/>
      <sz val="11"/>
      <color indexed="8"/>
      <name val="Arial"/>
      <family val="2"/>
    </font>
    <font>
      <b/>
      <sz val="11"/>
      <name val="Arial"/>
      <family val="2"/>
    </font>
    <font>
      <sz val="11"/>
      <name val="Arial"/>
      <family val="2"/>
    </font>
    <font>
      <b/>
      <sz val="12"/>
      <name val="Arial"/>
      <family val="2"/>
    </font>
    <font>
      <sz val="6"/>
      <name val="ＭＳ Ｐゴシック"/>
      <family val="3"/>
      <charset val="128"/>
    </font>
    <font>
      <b/>
      <sz val="11"/>
      <color indexed="10"/>
      <name val="Arial"/>
      <family val="2"/>
    </font>
    <font>
      <sz val="11"/>
      <color indexed="9"/>
      <name val="Arial"/>
      <family val="2"/>
    </font>
    <font>
      <sz val="10"/>
      <color indexed="9"/>
      <name val="Arial"/>
      <family val="2"/>
    </font>
    <font>
      <b/>
      <sz val="11"/>
      <color indexed="9"/>
      <name val="Arial"/>
      <family val="2"/>
    </font>
    <font>
      <b/>
      <sz val="14"/>
      <color indexed="8"/>
      <name val="Arial"/>
      <family val="2"/>
    </font>
    <font>
      <sz val="14"/>
      <color indexed="8"/>
      <name val="Arial"/>
      <family val="2"/>
    </font>
    <font>
      <sz val="11"/>
      <name val="ＭＳ Ｐゴシック"/>
      <family val="3"/>
      <charset val="128"/>
    </font>
    <font>
      <b/>
      <sz val="14"/>
      <color indexed="10"/>
      <name val="Arial"/>
      <family val="2"/>
    </font>
    <font>
      <sz val="6"/>
      <name val="ＭＳ Ｐゴシック"/>
      <family val="3"/>
      <charset val="128"/>
    </font>
    <font>
      <sz val="10"/>
      <name val="Arial"/>
      <family val="2"/>
    </font>
    <font>
      <sz val="8"/>
      <name val="Arial"/>
      <family val="2"/>
    </font>
    <font>
      <sz val="11"/>
      <name val="Arial Narrow"/>
      <family val="2"/>
    </font>
    <font>
      <sz val="9"/>
      <color indexed="81"/>
      <name val="ＭＳ Ｐゴシック"/>
      <family val="3"/>
      <charset val="128"/>
    </font>
    <font>
      <sz val="9"/>
      <color indexed="81"/>
      <name val="Arial"/>
      <family val="2"/>
    </font>
    <font>
      <sz val="11"/>
      <color theme="0"/>
      <name val="宋体"/>
      <family val="3"/>
      <charset val="128"/>
      <scheme val="minor"/>
    </font>
    <font>
      <sz val="11"/>
      <color theme="1"/>
      <name val="Arial"/>
      <family val="2"/>
    </font>
    <font>
      <b/>
      <sz val="11"/>
      <color theme="0"/>
      <name val="Arial"/>
      <family val="2"/>
    </font>
    <font>
      <b/>
      <sz val="11"/>
      <color rgb="FFFF0000"/>
      <name val="Arial"/>
      <family val="2"/>
    </font>
    <font>
      <sz val="11"/>
      <color rgb="FFFF0000"/>
      <name val="Arial"/>
      <family val="2"/>
    </font>
    <font>
      <sz val="11"/>
      <color theme="0"/>
      <name val="Arial"/>
      <family val="2"/>
    </font>
    <font>
      <sz val="11"/>
      <color theme="1"/>
      <name val="Arial Narrow"/>
      <family val="2"/>
    </font>
    <font>
      <sz val="14"/>
      <color theme="1"/>
      <name val="Arial"/>
      <family val="2"/>
    </font>
    <font>
      <sz val="10"/>
      <color theme="0"/>
      <name val="Arial"/>
      <family val="2"/>
    </font>
    <font>
      <b/>
      <sz val="11"/>
      <color theme="1"/>
      <name val="Arial"/>
      <family val="2"/>
    </font>
    <font>
      <b/>
      <sz val="14"/>
      <color rgb="FFFF0000"/>
      <name val="Arial"/>
      <family val="2"/>
    </font>
    <font>
      <b/>
      <sz val="11"/>
      <color rgb="FFF5CFF0"/>
      <name val="Arial"/>
      <family val="2"/>
    </font>
    <font>
      <sz val="18"/>
      <color theme="0"/>
      <name val="Arial"/>
      <family val="2"/>
    </font>
    <font>
      <sz val="14"/>
      <color theme="0"/>
      <name val="Arial"/>
      <family val="2"/>
    </font>
    <font>
      <sz val="11"/>
      <color theme="7" tint="-0.249977111117893"/>
      <name val="宋体"/>
      <family val="3"/>
      <charset val="128"/>
      <scheme val="minor"/>
    </font>
    <font>
      <b/>
      <sz val="12"/>
      <color theme="0"/>
      <name val="Arial"/>
      <family val="2"/>
    </font>
    <font>
      <b/>
      <sz val="14"/>
      <color theme="0"/>
      <name val="Arial"/>
      <family val="2"/>
    </font>
    <font>
      <b/>
      <sz val="10"/>
      <color rgb="FF0000FF"/>
      <name val="Arial"/>
      <family val="2"/>
    </font>
    <font>
      <sz val="6"/>
      <name val="宋体"/>
      <family val="3"/>
      <charset val="128"/>
      <scheme val="minor"/>
    </font>
    <font>
      <sz val="11"/>
      <color rgb="FFFF0000"/>
      <name val="宋体"/>
      <family val="3"/>
      <charset val="128"/>
      <scheme val="minor"/>
    </font>
    <font>
      <sz val="10"/>
      <color rgb="FFFF0000"/>
      <name val="Arial"/>
      <family val="2"/>
    </font>
    <font>
      <sz val="11"/>
      <color rgb="FFFF0000"/>
      <name val="ＭＳ Ｐゴシック"/>
      <family val="3"/>
      <charset val="128"/>
    </font>
    <font>
      <sz val="6"/>
      <name val="宋体"/>
      <family val="2"/>
      <charset val="128"/>
      <scheme val="minor"/>
    </font>
    <font>
      <b/>
      <sz val="10"/>
      <name val="Arial"/>
      <family val="2"/>
    </font>
    <font>
      <sz val="11"/>
      <name val="宋体"/>
      <family val="3"/>
      <charset val="128"/>
      <scheme val="minor"/>
    </font>
    <font>
      <sz val="9"/>
      <name val="Arial"/>
      <family val="2"/>
    </font>
    <font>
      <sz val="9"/>
      <color theme="1"/>
      <name val="Arial"/>
      <family val="2"/>
    </font>
    <font>
      <sz val="11"/>
      <color theme="1"/>
      <name val="Arial Unicode MS"/>
      <family val="3"/>
      <charset val="128"/>
    </font>
    <font>
      <sz val="12"/>
      <color indexed="8"/>
      <name val="Arial"/>
      <family val="2"/>
    </font>
    <font>
      <b/>
      <sz val="12"/>
      <color theme="1"/>
      <name val="Arial"/>
      <family val="2"/>
    </font>
    <font>
      <b/>
      <sz val="11"/>
      <color rgb="FF00B050"/>
      <name val="Arial"/>
      <family val="2"/>
    </font>
    <font>
      <b/>
      <sz val="11"/>
      <color rgb="FF00B0F0"/>
      <name val="Arial"/>
      <family val="2"/>
    </font>
    <font>
      <b/>
      <sz val="11"/>
      <color rgb="FF66FF33"/>
      <name val="Arial"/>
      <family val="2"/>
    </font>
    <font>
      <sz val="11"/>
      <color theme="1"/>
      <name val="ＭＳ Ｐゴシック"/>
      <family val="3"/>
      <charset val="128"/>
    </font>
    <font>
      <sz val="11"/>
      <color rgb="FF0099FF"/>
      <name val="Arial"/>
      <family val="2"/>
    </font>
    <font>
      <b/>
      <sz val="11"/>
      <color indexed="81"/>
      <name val="ＭＳ Ｐゴシック"/>
      <family val="3"/>
      <charset val="128"/>
    </font>
    <font>
      <sz val="11"/>
      <color indexed="81"/>
      <name val="ＭＳ Ｐゴシック"/>
      <family val="3"/>
      <charset val="128"/>
    </font>
    <font>
      <b/>
      <sz val="11"/>
      <color indexed="10"/>
      <name val="ＭＳ Ｐゴシック"/>
      <family val="3"/>
      <charset val="128"/>
    </font>
  </fonts>
  <fills count="39">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0"/>
        <bgColor indexed="64"/>
      </patternFill>
    </fill>
    <fill>
      <patternFill patternType="solid">
        <fgColor indexed="8"/>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CECFF"/>
        <bgColor indexed="64"/>
      </patternFill>
    </fill>
    <fill>
      <patternFill patternType="solid">
        <fgColor rgb="FF0000FF"/>
        <bgColor indexed="64"/>
      </patternFill>
    </fill>
    <fill>
      <patternFill patternType="solid">
        <fgColor rgb="FF003FBC"/>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C000"/>
        <bgColor indexed="64"/>
      </patternFill>
    </fill>
    <fill>
      <patternFill patternType="solid">
        <fgColor theme="3" tint="0.59999389629810485"/>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FF00"/>
        <bgColor indexed="64"/>
      </patternFill>
    </fill>
    <fill>
      <patternFill patternType="solid">
        <fgColor theme="6" tint="0.59999389629810485"/>
        <bgColor indexed="64"/>
      </patternFill>
    </fill>
    <fill>
      <patternFill patternType="solid">
        <fgColor theme="0"/>
        <bgColor indexed="64"/>
      </patternFill>
    </fill>
    <fill>
      <patternFill patternType="solid">
        <fgColor rgb="FF0099FF"/>
        <bgColor indexed="64"/>
      </patternFill>
    </fill>
    <fill>
      <patternFill patternType="solid">
        <fgColor theme="7" tint="0.79998168889431442"/>
        <bgColor indexed="64"/>
      </patternFill>
    </fill>
    <fill>
      <patternFill patternType="solid">
        <fgColor rgb="FFFFCCFF"/>
        <bgColor indexed="64"/>
      </patternFill>
    </fill>
    <fill>
      <patternFill patternType="solid">
        <fgColor rgb="FF9933FF"/>
        <bgColor indexed="64"/>
      </patternFill>
    </fill>
    <fill>
      <patternFill patternType="solid">
        <fgColor rgb="FFCC00CC"/>
        <bgColor indexed="64"/>
      </patternFill>
    </fill>
    <fill>
      <patternFill patternType="solid">
        <fgColor rgb="FF660066"/>
        <bgColor indexed="64"/>
      </patternFill>
    </fill>
    <fill>
      <patternFill patternType="solid">
        <fgColor theme="7" tint="-0.24994659260841701"/>
        <bgColor indexed="64"/>
      </patternFill>
    </fill>
    <fill>
      <patternFill patternType="solid">
        <fgColor rgb="FFDAEEF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lignment vertical="center"/>
    </xf>
  </cellStyleXfs>
  <cellXfs count="546">
    <xf numFmtId="0" fontId="0" fillId="0" borderId="0" xfId="0"/>
    <xf numFmtId="0" fontId="1" fillId="0" borderId="0" xfId="0" applyFont="1" applyFill="1" applyBorder="1" applyAlignment="1">
      <alignment vertical="center"/>
    </xf>
    <xf numFmtId="0" fontId="1" fillId="0" borderId="0" xfId="0" applyFont="1" applyFill="1" applyBorder="1"/>
    <xf numFmtId="0" fontId="1" fillId="0" borderId="0" xfId="0" applyFont="1"/>
    <xf numFmtId="0" fontId="2" fillId="0" borderId="0" xfId="0" applyFont="1"/>
    <xf numFmtId="0" fontId="1" fillId="0" borderId="1" xfId="0" applyFont="1" applyBorder="1"/>
    <xf numFmtId="0" fontId="3" fillId="2" borderId="2" xfId="0" applyFont="1" applyFill="1" applyBorder="1" applyAlignment="1" applyProtection="1">
      <alignment horizontal="center" vertical="center"/>
      <protection locked="0"/>
    </xf>
    <xf numFmtId="0" fontId="1" fillId="0" borderId="0" xfId="0" applyFont="1" applyAlignment="1">
      <alignment horizontal="left" indent="2"/>
    </xf>
    <xf numFmtId="0" fontId="1" fillId="0" borderId="1" xfId="0" applyFont="1" applyFill="1" applyBorder="1"/>
    <xf numFmtId="0" fontId="7" fillId="0" borderId="0" xfId="0" applyFont="1"/>
    <xf numFmtId="2" fontId="1" fillId="0" borderId="0" xfId="0" applyNumberFormat="1" applyFont="1" applyFill="1" applyBorder="1" applyAlignment="1">
      <alignment vertical="center"/>
    </xf>
    <xf numFmtId="0" fontId="11" fillId="0" borderId="0" xfId="0" applyFont="1"/>
    <xf numFmtId="0" fontId="3" fillId="2" borderId="1" xfId="0" applyFont="1" applyFill="1" applyBorder="1" applyAlignment="1" applyProtection="1">
      <alignment horizontal="center" vertical="center"/>
      <protection locked="0"/>
    </xf>
    <xf numFmtId="0" fontId="1" fillId="0" borderId="1" xfId="0" quotePrefix="1" applyFont="1" applyFill="1" applyBorder="1" applyAlignment="1">
      <alignment horizontal="center" vertical="center"/>
    </xf>
    <xf numFmtId="0" fontId="1" fillId="0" borderId="1" xfId="0" quotePrefix="1" applyFont="1" applyBorder="1" applyAlignment="1">
      <alignment horizontal="center" vertical="center"/>
    </xf>
    <xf numFmtId="0" fontId="1" fillId="0" borderId="0" xfId="0" applyFont="1" applyProtection="1"/>
    <xf numFmtId="0" fontId="1" fillId="0" borderId="1" xfId="0" applyFont="1" applyBorder="1" applyAlignment="1">
      <alignment horizontal="center"/>
    </xf>
    <xf numFmtId="0" fontId="7" fillId="0" borderId="0" xfId="0" applyFont="1" applyFill="1" applyBorder="1" applyAlignment="1">
      <alignment vertical="center"/>
    </xf>
    <xf numFmtId="0" fontId="1" fillId="0" borderId="0" xfId="0" applyFont="1" applyProtection="1">
      <protection locked="0"/>
    </xf>
    <xf numFmtId="0" fontId="14" fillId="0" borderId="0" xfId="1" applyFont="1">
      <alignment vertical="center"/>
    </xf>
    <xf numFmtId="0" fontId="7" fillId="0" borderId="1" xfId="1" applyFont="1" applyBorder="1" applyAlignment="1">
      <alignment horizontal="center" vertical="center"/>
    </xf>
    <xf numFmtId="0" fontId="7" fillId="0" borderId="2" xfId="1" applyFont="1" applyBorder="1" applyAlignment="1">
      <alignment horizontal="center" vertical="center"/>
    </xf>
    <xf numFmtId="0" fontId="16" fillId="2" borderId="1" xfId="1" applyFont="1" applyFill="1" applyBorder="1" applyAlignment="1" applyProtection="1">
      <alignment horizontal="center" vertical="center"/>
      <protection locked="0"/>
    </xf>
    <xf numFmtId="0" fontId="4" fillId="0" borderId="0" xfId="1" applyFont="1" applyAlignment="1">
      <alignment horizontal="center" vertical="center"/>
    </xf>
    <xf numFmtId="0" fontId="8" fillId="0" borderId="0" xfId="1" applyFont="1">
      <alignment vertical="center"/>
    </xf>
    <xf numFmtId="0" fontId="8" fillId="0" borderId="0" xfId="1" applyFont="1" applyAlignment="1">
      <alignment horizontal="center" vertical="center"/>
    </xf>
    <xf numFmtId="0" fontId="4" fillId="0" borderId="0" xfId="1" applyFont="1">
      <alignment vertical="center"/>
    </xf>
    <xf numFmtId="0" fontId="7" fillId="3" borderId="1" xfId="1" applyFont="1" applyFill="1" applyBorder="1" applyAlignment="1">
      <alignment horizontal="center" vertical="center"/>
    </xf>
    <xf numFmtId="0" fontId="3" fillId="0" borderId="3" xfId="1" applyFont="1" applyBorder="1" applyAlignment="1">
      <alignment horizontal="center" vertical="center"/>
    </xf>
    <xf numFmtId="0" fontId="7" fillId="0" borderId="4" xfId="1" applyFont="1" applyBorder="1" applyAlignment="1">
      <alignment horizontal="center" vertical="center"/>
    </xf>
    <xf numFmtId="0" fontId="3" fillId="0" borderId="5" xfId="1" applyFont="1" applyBorder="1" applyAlignment="1">
      <alignment horizontal="center" vertical="center"/>
    </xf>
    <xf numFmtId="0" fontId="7" fillId="0" borderId="6" xfId="1" applyFont="1" applyBorder="1" applyAlignment="1">
      <alignment horizontal="center" vertical="center"/>
    </xf>
    <xf numFmtId="0" fontId="10" fillId="6" borderId="3" xfId="0" applyFont="1" applyFill="1" applyBorder="1" applyAlignment="1">
      <alignment horizontal="center" vertical="center"/>
    </xf>
    <xf numFmtId="0" fontId="8" fillId="6" borderId="2" xfId="0" applyFont="1" applyFill="1" applyBorder="1" applyAlignment="1">
      <alignment horizontal="center" vertical="center"/>
    </xf>
    <xf numFmtId="0" fontId="22" fillId="0" borderId="0" xfId="0" applyFont="1"/>
    <xf numFmtId="0" fontId="4" fillId="0" borderId="1" xfId="1" applyFont="1" applyBorder="1">
      <alignment vertical="center"/>
    </xf>
    <xf numFmtId="0" fontId="22" fillId="0" borderId="1" xfId="0" applyFont="1" applyBorder="1"/>
    <xf numFmtId="0" fontId="23" fillId="7" borderId="3" xfId="0" applyFont="1" applyFill="1" applyBorder="1" applyAlignment="1">
      <alignment horizontal="center"/>
    </xf>
    <xf numFmtId="0" fontId="8" fillId="8" borderId="1" xfId="1" applyFont="1" applyFill="1" applyBorder="1">
      <alignment vertical="center"/>
    </xf>
    <xf numFmtId="0" fontId="4" fillId="9" borderId="1" xfId="1" applyFont="1" applyFill="1" applyBorder="1">
      <alignment vertical="center"/>
    </xf>
    <xf numFmtId="0" fontId="8" fillId="8" borderId="2" xfId="1" applyFont="1" applyFill="1" applyBorder="1">
      <alignment vertical="center"/>
    </xf>
    <xf numFmtId="0" fontId="4" fillId="0" borderId="1" xfId="1" applyFont="1" applyBorder="1" applyAlignment="1">
      <alignment horizontal="center" vertical="center"/>
    </xf>
    <xf numFmtId="0" fontId="3" fillId="2" borderId="1" xfId="1" applyFont="1" applyFill="1" applyBorder="1" applyProtection="1">
      <alignment vertical="center"/>
      <protection locked="0"/>
    </xf>
    <xf numFmtId="14" fontId="4" fillId="0" borderId="1" xfId="1" quotePrefix="1" applyNumberFormat="1" applyFont="1" applyBorder="1">
      <alignment vertical="center"/>
    </xf>
    <xf numFmtId="0" fontId="4" fillId="0" borderId="1" xfId="1" applyFont="1" applyFill="1" applyBorder="1" applyAlignment="1">
      <alignment horizontal="center" vertical="center"/>
    </xf>
    <xf numFmtId="0" fontId="4" fillId="0" borderId="7" xfId="1" applyFont="1" applyFill="1" applyBorder="1">
      <alignment vertical="center"/>
    </xf>
    <xf numFmtId="0" fontId="4" fillId="0" borderId="0" xfId="1" applyFont="1" applyFill="1" applyBorder="1">
      <alignment vertical="center"/>
    </xf>
    <xf numFmtId="0" fontId="4" fillId="0" borderId="2" xfId="1" applyFont="1" applyBorder="1">
      <alignment vertical="center"/>
    </xf>
    <xf numFmtId="0" fontId="3" fillId="2" borderId="1" xfId="1" applyFont="1" applyFill="1" applyBorder="1" applyAlignment="1" applyProtection="1">
      <alignment horizontal="center" vertical="center"/>
      <protection locked="0"/>
    </xf>
    <xf numFmtId="0" fontId="8" fillId="8" borderId="8" xfId="1" applyFont="1" applyFill="1" applyBorder="1">
      <alignment vertical="center"/>
    </xf>
    <xf numFmtId="0" fontId="8" fillId="8" borderId="5" xfId="1" applyFont="1" applyFill="1" applyBorder="1">
      <alignment vertical="center"/>
    </xf>
    <xf numFmtId="0" fontId="4" fillId="0" borderId="3" xfId="1" applyFont="1" applyBorder="1">
      <alignment vertical="center"/>
    </xf>
    <xf numFmtId="0" fontId="4" fillId="0" borderId="4" xfId="1" applyFont="1" applyBorder="1">
      <alignment vertical="center"/>
    </xf>
    <xf numFmtId="0" fontId="8" fillId="8" borderId="6" xfId="1" applyFont="1" applyFill="1" applyBorder="1" applyAlignment="1">
      <alignment vertical="center" wrapText="1"/>
    </xf>
    <xf numFmtId="0" fontId="3" fillId="2" borderId="2" xfId="1" applyFont="1" applyFill="1" applyBorder="1" applyProtection="1">
      <alignment vertical="center"/>
      <protection locked="0"/>
    </xf>
    <xf numFmtId="0" fontId="4" fillId="0" borderId="9" xfId="1" applyFont="1" applyBorder="1">
      <alignment vertical="center"/>
    </xf>
    <xf numFmtId="176" fontId="4" fillId="0" borderId="1" xfId="1" applyNumberFormat="1" applyFont="1" applyBorder="1" applyAlignment="1">
      <alignment horizontal="center" vertical="center"/>
    </xf>
    <xf numFmtId="0" fontId="8" fillId="8" borderId="3" xfId="1" applyFont="1" applyFill="1" applyBorder="1">
      <alignment vertical="center"/>
    </xf>
    <xf numFmtId="0" fontId="8" fillId="8" borderId="2" xfId="1" applyFont="1" applyFill="1" applyBorder="1" applyAlignment="1">
      <alignment vertical="center" wrapText="1"/>
    </xf>
    <xf numFmtId="0" fontId="4" fillId="9" borderId="8" xfId="1" applyFont="1" applyFill="1" applyBorder="1">
      <alignment vertical="center"/>
    </xf>
    <xf numFmtId="0" fontId="3" fillId="9" borderId="1" xfId="1" applyFont="1" applyFill="1" applyBorder="1" applyAlignment="1" applyProtection="1">
      <alignment horizontal="center" vertical="center"/>
    </xf>
    <xf numFmtId="0" fontId="3" fillId="9" borderId="1" xfId="1" applyFont="1" applyFill="1" applyBorder="1" applyAlignment="1">
      <alignment horizontal="center" vertical="center"/>
    </xf>
    <xf numFmtId="0" fontId="4" fillId="9" borderId="1" xfId="1" applyFont="1" applyFill="1" applyBorder="1" applyAlignment="1">
      <alignment horizontal="center" vertical="center"/>
    </xf>
    <xf numFmtId="0" fontId="4" fillId="10" borderId="1" xfId="1" applyFont="1" applyFill="1" applyBorder="1" applyAlignment="1">
      <alignment horizontal="center" vertical="center"/>
    </xf>
    <xf numFmtId="0" fontId="4" fillId="10" borderId="1" xfId="1" applyFont="1" applyFill="1" applyBorder="1">
      <alignment vertical="center"/>
    </xf>
    <xf numFmtId="0" fontId="3" fillId="0" borderId="0" xfId="1" applyFont="1">
      <alignment vertical="center"/>
    </xf>
    <xf numFmtId="0" fontId="4" fillId="0" borderId="1" xfId="1" quotePrefix="1" applyFont="1" applyBorder="1" applyAlignment="1">
      <alignment horizontal="right" vertical="center"/>
    </xf>
    <xf numFmtId="0" fontId="10" fillId="6" borderId="10" xfId="0" applyFont="1" applyFill="1" applyBorder="1" applyAlignment="1">
      <alignment horizontal="center" vertical="center"/>
    </xf>
    <xf numFmtId="0" fontId="8" fillId="6" borderId="11" xfId="0" applyFont="1" applyFill="1" applyBorder="1" applyAlignment="1">
      <alignment horizontal="center" vertical="center"/>
    </xf>
    <xf numFmtId="0" fontId="24" fillId="0" borderId="1" xfId="1" applyFont="1" applyBorder="1" applyAlignment="1">
      <alignment horizontal="center" vertical="center"/>
    </xf>
    <xf numFmtId="0" fontId="5" fillId="0" borderId="0" xfId="1" applyFont="1">
      <alignment vertical="center"/>
    </xf>
    <xf numFmtId="0" fontId="4" fillId="0" borderId="10" xfId="1" applyFont="1" applyBorder="1">
      <alignment vertical="center"/>
    </xf>
    <xf numFmtId="0" fontId="25" fillId="0" borderId="12" xfId="1" applyFont="1" applyBorder="1">
      <alignment vertical="center"/>
    </xf>
    <xf numFmtId="0" fontId="4" fillId="0" borderId="0" xfId="1" applyFont="1" applyBorder="1">
      <alignment vertical="center"/>
    </xf>
    <xf numFmtId="0" fontId="4" fillId="0" borderId="13" xfId="1" applyFont="1" applyBorder="1">
      <alignment vertical="center"/>
    </xf>
    <xf numFmtId="0" fontId="4" fillId="0" borderId="11" xfId="1" applyFont="1" applyBorder="1">
      <alignment vertical="center"/>
    </xf>
    <xf numFmtId="0" fontId="5" fillId="0" borderId="5" xfId="1" applyFont="1" applyBorder="1">
      <alignment vertical="center"/>
    </xf>
    <xf numFmtId="0" fontId="8" fillId="8" borderId="1" xfId="1" applyFont="1" applyFill="1" applyBorder="1" applyAlignment="1">
      <alignment horizontal="right" vertical="center"/>
    </xf>
    <xf numFmtId="0" fontId="4" fillId="11" borderId="1" xfId="1" applyFont="1" applyFill="1" applyBorder="1" applyAlignment="1">
      <alignment horizontal="right" vertical="center"/>
    </xf>
    <xf numFmtId="0" fontId="26" fillId="0" borderId="0" xfId="1" applyFont="1">
      <alignment vertical="center"/>
    </xf>
    <xf numFmtId="0" fontId="1" fillId="12" borderId="1" xfId="0" applyFont="1" applyFill="1" applyBorder="1" applyAlignment="1">
      <alignment horizontal="center"/>
    </xf>
    <xf numFmtId="0" fontId="1" fillId="12" borderId="1" xfId="0" applyFont="1" applyFill="1" applyBorder="1"/>
    <xf numFmtId="0" fontId="1" fillId="12" borderId="1" xfId="0" applyFont="1" applyFill="1" applyBorder="1" applyAlignment="1">
      <alignment horizontal="left"/>
    </xf>
    <xf numFmtId="0" fontId="4" fillId="0" borderId="1" xfId="0" quotePrefix="1" applyFont="1" applyFill="1" applyBorder="1" applyAlignment="1">
      <alignment horizontal="center"/>
    </xf>
    <xf numFmtId="0" fontId="2" fillId="13" borderId="2" xfId="0" applyFont="1" applyFill="1" applyBorder="1" applyAlignment="1">
      <alignment horizontal="center" vertical="center"/>
    </xf>
    <xf numFmtId="0" fontId="2" fillId="13" borderId="2" xfId="0" applyFont="1" applyFill="1" applyBorder="1" applyAlignment="1">
      <alignment horizontal="center"/>
    </xf>
    <xf numFmtId="0" fontId="27" fillId="14" borderId="14" xfId="0" applyFont="1" applyFill="1" applyBorder="1"/>
    <xf numFmtId="0" fontId="1" fillId="14" borderId="15" xfId="0" applyFont="1" applyFill="1" applyBorder="1"/>
    <xf numFmtId="0" fontId="28" fillId="14" borderId="7" xfId="0" applyFont="1" applyFill="1" applyBorder="1"/>
    <xf numFmtId="0" fontId="1" fillId="9" borderId="1" xfId="0" applyFont="1" applyFill="1" applyBorder="1" applyAlignment="1">
      <alignment horizontal="center"/>
    </xf>
    <xf numFmtId="0" fontId="22" fillId="0" borderId="1" xfId="0" applyFont="1" applyBorder="1" applyAlignment="1">
      <alignment horizontal="center"/>
    </xf>
    <xf numFmtId="0" fontId="26" fillId="7" borderId="1" xfId="0" applyFont="1" applyFill="1" applyBorder="1" applyAlignment="1">
      <alignment horizontal="center"/>
    </xf>
    <xf numFmtId="0" fontId="22" fillId="12" borderId="1" xfId="0" applyFont="1" applyFill="1" applyBorder="1"/>
    <xf numFmtId="0" fontId="4" fillId="9" borderId="1" xfId="0" quotePrefix="1" applyFont="1" applyFill="1" applyBorder="1" applyAlignment="1">
      <alignment horizontal="center"/>
    </xf>
    <xf numFmtId="178" fontId="4" fillId="9" borderId="1" xfId="1" applyNumberFormat="1" applyFont="1" applyFill="1" applyBorder="1" applyAlignment="1">
      <alignment horizontal="center" vertical="center"/>
    </xf>
    <xf numFmtId="0" fontId="4" fillId="0" borderId="0" xfId="0" applyFont="1"/>
    <xf numFmtId="0" fontId="4" fillId="0" borderId="0" xfId="0" applyFont="1" applyFill="1" applyBorder="1" applyAlignment="1">
      <alignment vertical="center"/>
    </xf>
    <xf numFmtId="0" fontId="18" fillId="14" borderId="14" xfId="0" applyFont="1" applyFill="1" applyBorder="1"/>
    <xf numFmtId="0" fontId="3" fillId="13" borderId="2" xfId="0" applyFont="1" applyFill="1" applyBorder="1" applyAlignment="1">
      <alignment horizontal="center" vertical="center"/>
    </xf>
    <xf numFmtId="0" fontId="4" fillId="12" borderId="1" xfId="0" applyFont="1" applyFill="1" applyBorder="1"/>
    <xf numFmtId="0" fontId="4" fillId="9" borderId="1" xfId="0" applyFont="1" applyFill="1" applyBorder="1" applyAlignment="1">
      <alignment horizontal="center"/>
    </xf>
    <xf numFmtId="0" fontId="4" fillId="12" borderId="1" xfId="0" applyFont="1" applyFill="1" applyBorder="1" applyAlignment="1">
      <alignment horizontal="center"/>
    </xf>
    <xf numFmtId="0" fontId="4" fillId="0" borderId="1" xfId="0" applyFont="1" applyBorder="1" applyAlignment="1">
      <alignment horizontal="center"/>
    </xf>
    <xf numFmtId="0" fontId="24" fillId="0" borderId="1" xfId="0" applyFont="1" applyBorder="1" applyAlignment="1">
      <alignment horizontal="center"/>
    </xf>
    <xf numFmtId="0" fontId="22" fillId="14" borderId="1" xfId="0" applyFont="1" applyFill="1" applyBorder="1" applyAlignment="1">
      <alignment horizontal="center"/>
    </xf>
    <xf numFmtId="0" fontId="2" fillId="15" borderId="1" xfId="0" applyFont="1" applyFill="1" applyBorder="1" applyAlignment="1">
      <alignment horizontal="center"/>
    </xf>
    <xf numFmtId="0" fontId="21" fillId="0" borderId="0" xfId="0" applyFont="1"/>
    <xf numFmtId="0" fontId="26" fillId="0" borderId="0" xfId="0" applyFont="1"/>
    <xf numFmtId="0" fontId="10" fillId="5" borderId="0" xfId="0" applyFont="1" applyFill="1" applyAlignment="1">
      <alignment horizontal="center"/>
    </xf>
    <xf numFmtId="0" fontId="8" fillId="4" borderId="1" xfId="0" applyFont="1" applyFill="1" applyBorder="1" applyAlignment="1">
      <alignment horizontal="center"/>
    </xf>
    <xf numFmtId="0" fontId="4" fillId="18" borderId="1" xfId="0" applyFont="1" applyFill="1" applyBorder="1" applyAlignment="1">
      <alignment horizontal="center"/>
    </xf>
    <xf numFmtId="0" fontId="8" fillId="19" borderId="1" xfId="0" applyFont="1" applyFill="1" applyBorder="1" applyAlignment="1">
      <alignment horizontal="center"/>
    </xf>
    <xf numFmtId="0" fontId="3" fillId="17" borderId="1" xfId="1" applyFont="1" applyFill="1" applyBorder="1" applyAlignment="1" applyProtection="1">
      <alignment horizontal="center" vertical="center"/>
      <protection locked="0"/>
    </xf>
    <xf numFmtId="0" fontId="4" fillId="0" borderId="0" xfId="1" applyFont="1" applyProtection="1">
      <alignment vertical="center"/>
      <protection locked="0"/>
    </xf>
    <xf numFmtId="0" fontId="31" fillId="0" borderId="0" xfId="0" applyFont="1"/>
    <xf numFmtId="0" fontId="3" fillId="15" borderId="1" xfId="1" applyFont="1" applyFill="1" applyBorder="1" applyAlignment="1">
      <alignment horizontal="center" vertical="center"/>
    </xf>
    <xf numFmtId="0" fontId="1" fillId="0" borderId="0" xfId="0" applyNumberFormat="1" applyFont="1" applyAlignment="1">
      <alignment horizontal="right"/>
    </xf>
    <xf numFmtId="0" fontId="1" fillId="0" borderId="0" xfId="0" quotePrefix="1" applyNumberFormat="1" applyFont="1" applyAlignment="1">
      <alignment horizontal="right" vertical="top"/>
    </xf>
    <xf numFmtId="0" fontId="1" fillId="0" borderId="0" xfId="0" applyFont="1" applyAlignment="1">
      <alignment vertical="top"/>
    </xf>
    <xf numFmtId="0" fontId="1" fillId="0" borderId="0" xfId="0" applyNumberFormat="1" applyFont="1" applyAlignment="1">
      <alignment horizontal="left" vertical="top"/>
    </xf>
    <xf numFmtId="14" fontId="1" fillId="0" borderId="0" xfId="0" quotePrefix="1" applyNumberFormat="1" applyFont="1" applyAlignment="1">
      <alignment horizontal="right" vertical="top"/>
    </xf>
    <xf numFmtId="14" fontId="1" fillId="0" borderId="0" xfId="0" quotePrefix="1" applyNumberFormat="1" applyFont="1" applyAlignment="1">
      <alignment horizontal="left" vertical="top"/>
    </xf>
    <xf numFmtId="0" fontId="1" fillId="0" borderId="0" xfId="0" quotePrefix="1" applyFont="1" applyAlignment="1">
      <alignment vertical="top"/>
    </xf>
    <xf numFmtId="0" fontId="1" fillId="0" borderId="0" xfId="0" applyNumberFormat="1" applyFont="1" applyAlignment="1">
      <alignment horizontal="right" vertical="top"/>
    </xf>
    <xf numFmtId="0" fontId="1" fillId="0" borderId="0" xfId="0" applyFont="1" applyAlignment="1">
      <alignment vertical="top" wrapText="1"/>
    </xf>
    <xf numFmtId="0" fontId="1" fillId="0" borderId="0" xfId="0" quotePrefix="1" applyNumberFormat="1" applyFont="1" applyAlignment="1">
      <alignment horizontal="left" vertical="top"/>
    </xf>
    <xf numFmtId="0" fontId="1" fillId="0" borderId="0" xfId="0" applyNumberFormat="1" applyFont="1" applyAlignment="1">
      <alignment vertical="center"/>
    </xf>
    <xf numFmtId="0" fontId="1" fillId="0" borderId="0" xfId="0" applyNumberFormat="1" applyFont="1" applyAlignment="1">
      <alignment horizontal="left" vertical="center"/>
    </xf>
    <xf numFmtId="0" fontId="12" fillId="0" borderId="0" xfId="0" applyFont="1" applyAlignment="1">
      <alignment horizontal="right"/>
    </xf>
    <xf numFmtId="0" fontId="25" fillId="0" borderId="0" xfId="0" applyFont="1"/>
    <xf numFmtId="0" fontId="1" fillId="0" borderId="0" xfId="0" applyNumberFormat="1" applyFont="1" applyAlignment="1">
      <alignment horizontal="center"/>
    </xf>
    <xf numFmtId="0" fontId="3" fillId="9" borderId="1" xfId="0" applyFont="1" applyFill="1" applyBorder="1" applyAlignment="1" applyProtection="1">
      <alignment horizontal="center"/>
    </xf>
    <xf numFmtId="0" fontId="26" fillId="0" borderId="0" xfId="1" applyFont="1" applyAlignment="1">
      <alignment horizontal="left" vertical="center"/>
    </xf>
    <xf numFmtId="0" fontId="23" fillId="8" borderId="8" xfId="1" applyFont="1" applyFill="1" applyBorder="1" applyAlignment="1">
      <alignment horizontal="center" vertical="center"/>
    </xf>
    <xf numFmtId="0" fontId="23" fillId="8" borderId="2" xfId="1" applyFont="1" applyFill="1" applyBorder="1" applyAlignment="1">
      <alignment horizontal="center" vertical="center"/>
    </xf>
    <xf numFmtId="0" fontId="22" fillId="0" borderId="1" xfId="0" applyFont="1" applyFill="1" applyBorder="1"/>
    <xf numFmtId="0" fontId="3" fillId="0" borderId="0" xfId="0" applyFont="1" applyFill="1" applyBorder="1" applyAlignment="1" applyProtection="1">
      <alignment horizontal="center"/>
    </xf>
    <xf numFmtId="178" fontId="4" fillId="0" borderId="0" xfId="1" applyNumberFormat="1" applyFont="1" applyFill="1" applyBorder="1" applyAlignment="1">
      <alignment vertical="center"/>
    </xf>
    <xf numFmtId="0" fontId="0" fillId="0" borderId="1" xfId="0" applyBorder="1"/>
    <xf numFmtId="176" fontId="3" fillId="9" borderId="1" xfId="0" applyNumberFormat="1" applyFont="1" applyFill="1" applyBorder="1" applyAlignment="1" applyProtection="1">
      <alignment horizontal="center"/>
    </xf>
    <xf numFmtId="176" fontId="4" fillId="9" borderId="1" xfId="1" applyNumberFormat="1" applyFont="1" applyFill="1" applyBorder="1" applyAlignment="1">
      <alignment horizontal="center" vertical="center"/>
    </xf>
    <xf numFmtId="0" fontId="23" fillId="8" borderId="1" xfId="0" applyFont="1" applyFill="1" applyBorder="1" applyAlignment="1">
      <alignment horizontal="center"/>
    </xf>
    <xf numFmtId="0" fontId="3" fillId="2" borderId="2" xfId="0" applyFont="1" applyFill="1" applyBorder="1" applyAlignment="1" applyProtection="1">
      <alignment horizontal="center"/>
      <protection locked="0"/>
    </xf>
    <xf numFmtId="0" fontId="23" fillId="7" borderId="5" xfId="0" applyFont="1" applyFill="1" applyBorder="1" applyAlignment="1">
      <alignment horizontal="center"/>
    </xf>
    <xf numFmtId="0" fontId="4" fillId="0" borderId="1" xfId="0" applyFont="1" applyFill="1" applyBorder="1" applyAlignment="1" applyProtection="1">
      <alignment horizontal="center"/>
    </xf>
    <xf numFmtId="0" fontId="16" fillId="10" borderId="1" xfId="1" applyFont="1" applyFill="1" applyBorder="1" applyAlignment="1">
      <alignment horizontal="center" vertical="center"/>
    </xf>
    <xf numFmtId="177" fontId="32" fillId="20" borderId="15" xfId="1" applyNumberFormat="1" applyFont="1" applyFill="1" applyBorder="1" applyAlignment="1">
      <alignment horizontal="center" vertical="center"/>
    </xf>
    <xf numFmtId="177" fontId="4" fillId="0" borderId="1" xfId="1" applyNumberFormat="1" applyFont="1" applyBorder="1" applyAlignment="1">
      <alignment horizontal="center" vertical="center"/>
    </xf>
    <xf numFmtId="0" fontId="22" fillId="10" borderId="5" xfId="0" applyFont="1" applyFill="1" applyBorder="1"/>
    <xf numFmtId="0" fontId="0" fillId="10" borderId="4" xfId="0" applyFill="1" applyBorder="1"/>
    <xf numFmtId="0" fontId="0" fillId="10" borderId="10" xfId="0" applyFill="1" applyBorder="1"/>
    <xf numFmtId="0" fontId="0" fillId="10" borderId="12" xfId="0" applyFill="1" applyBorder="1"/>
    <xf numFmtId="0" fontId="0" fillId="10" borderId="0" xfId="0" applyFill="1" applyBorder="1"/>
    <xf numFmtId="0" fontId="0" fillId="10" borderId="13" xfId="0" applyFill="1" applyBorder="1"/>
    <xf numFmtId="0" fontId="4" fillId="10" borderId="6" xfId="1" applyFont="1" applyFill="1" applyBorder="1">
      <alignment vertical="center"/>
    </xf>
    <xf numFmtId="0" fontId="4" fillId="10" borderId="9" xfId="1" applyFont="1" applyFill="1" applyBorder="1">
      <alignment vertical="center"/>
    </xf>
    <xf numFmtId="0" fontId="4" fillId="10" borderId="11" xfId="1" applyFont="1" applyFill="1" applyBorder="1">
      <alignment vertical="center"/>
    </xf>
    <xf numFmtId="177" fontId="32" fillId="21" borderId="15" xfId="1" applyNumberFormat="1" applyFont="1" applyFill="1" applyBorder="1" applyAlignment="1">
      <alignment horizontal="center" vertical="center"/>
    </xf>
    <xf numFmtId="0" fontId="8" fillId="8" borderId="8" xfId="1" applyFont="1" applyFill="1" applyBorder="1" applyAlignment="1">
      <alignment vertical="center" wrapText="1"/>
    </xf>
    <xf numFmtId="0" fontId="8" fillId="8" borderId="3" xfId="1" applyFont="1" applyFill="1" applyBorder="1" applyAlignment="1">
      <alignment vertical="center" wrapText="1"/>
    </xf>
    <xf numFmtId="0" fontId="23" fillId="22" borderId="1" xfId="1" applyFont="1" applyFill="1" applyBorder="1">
      <alignment vertical="center"/>
    </xf>
    <xf numFmtId="178" fontId="4" fillId="9" borderId="2" xfId="0" applyNumberFormat="1" applyFont="1" applyFill="1" applyBorder="1" applyAlignment="1" applyProtection="1">
      <alignment horizontal="center"/>
    </xf>
    <xf numFmtId="0" fontId="4" fillId="9" borderId="11" xfId="1" applyFont="1" applyFill="1" applyBorder="1">
      <alignment vertical="center"/>
    </xf>
    <xf numFmtId="0" fontId="1" fillId="0" borderId="1" xfId="0" applyFont="1" applyFill="1" applyBorder="1" applyAlignment="1">
      <alignment horizontal="center"/>
    </xf>
    <xf numFmtId="179" fontId="4" fillId="9" borderId="2" xfId="1" applyNumberFormat="1" applyFont="1" applyFill="1" applyBorder="1" applyAlignment="1">
      <alignment horizontal="center" vertical="center"/>
    </xf>
    <xf numFmtId="0" fontId="23" fillId="8" borderId="12" xfId="1" applyFont="1" applyFill="1" applyBorder="1" applyAlignment="1">
      <alignment horizontal="center" vertical="center"/>
    </xf>
    <xf numFmtId="0" fontId="23" fillId="8" borderId="6" xfId="1" applyFont="1" applyFill="1" applyBorder="1" applyAlignment="1">
      <alignment horizontal="center" vertical="center"/>
    </xf>
    <xf numFmtId="0" fontId="1" fillId="23" borderId="1" xfId="0" applyFont="1" applyFill="1" applyBorder="1" applyAlignment="1" applyProtection="1">
      <alignment horizontal="center"/>
      <protection locked="0"/>
    </xf>
    <xf numFmtId="0" fontId="1" fillId="23" borderId="1" xfId="0" applyFont="1" applyFill="1" applyBorder="1" applyProtection="1">
      <protection locked="0"/>
    </xf>
    <xf numFmtId="0" fontId="1" fillId="23" borderId="1" xfId="0" quotePrefix="1" applyFont="1" applyFill="1" applyBorder="1" applyAlignment="1" applyProtection="1">
      <alignment horizontal="center" vertical="center"/>
      <protection locked="0"/>
    </xf>
    <xf numFmtId="0" fontId="4" fillId="23" borderId="1" xfId="0" quotePrefix="1" applyFont="1" applyFill="1" applyBorder="1" applyAlignment="1" applyProtection="1">
      <alignment horizontal="center"/>
      <protection locked="0"/>
    </xf>
    <xf numFmtId="0" fontId="22" fillId="23" borderId="1" xfId="0" applyFont="1" applyFill="1" applyBorder="1" applyProtection="1">
      <protection locked="0"/>
    </xf>
    <xf numFmtId="0" fontId="26" fillId="23" borderId="1" xfId="0" applyFont="1" applyFill="1" applyBorder="1" applyAlignment="1" applyProtection="1">
      <alignment horizontal="center"/>
      <protection locked="0"/>
    </xf>
    <xf numFmtId="0" fontId="26" fillId="23" borderId="1" xfId="0" applyFont="1" applyFill="1" applyBorder="1" applyAlignment="1" applyProtection="1">
      <alignment horizontal="left" vertical="center"/>
      <protection locked="0"/>
    </xf>
    <xf numFmtId="0" fontId="1" fillId="23" borderId="1" xfId="0" applyFont="1" applyFill="1" applyBorder="1" applyAlignment="1" applyProtection="1">
      <alignment horizontal="center" vertical="center"/>
      <protection locked="0"/>
    </xf>
    <xf numFmtId="0" fontId="4" fillId="23" borderId="1" xfId="0" applyFont="1" applyFill="1" applyBorder="1" applyAlignment="1" applyProtection="1">
      <alignment horizontal="center" vertical="center"/>
      <protection locked="0"/>
    </xf>
    <xf numFmtId="0" fontId="3" fillId="17" borderId="2" xfId="1" applyFont="1" applyFill="1" applyBorder="1" applyProtection="1">
      <alignment vertical="center"/>
      <protection locked="0"/>
    </xf>
    <xf numFmtId="0" fontId="3" fillId="0" borderId="0" xfId="0" applyFont="1" applyFill="1" applyBorder="1" applyAlignment="1" applyProtection="1">
      <alignment horizontal="center" vertical="center"/>
      <protection locked="0"/>
    </xf>
    <xf numFmtId="0" fontId="26" fillId="0" borderId="0" xfId="1" applyFont="1" applyFill="1" applyBorder="1">
      <alignment vertical="center"/>
    </xf>
    <xf numFmtId="176" fontId="4" fillId="9" borderId="1" xfId="1" applyNumberFormat="1" applyFont="1" applyFill="1" applyBorder="1" applyAlignment="1">
      <alignment horizontal="right" vertical="center"/>
    </xf>
    <xf numFmtId="0" fontId="4" fillId="0" borderId="0" xfId="1" applyFont="1" applyBorder="1" applyAlignment="1">
      <alignment horizontal="center" vertical="center"/>
    </xf>
    <xf numFmtId="0" fontId="3" fillId="9" borderId="1" xfId="1" applyFont="1" applyFill="1" applyBorder="1">
      <alignment vertical="center"/>
    </xf>
    <xf numFmtId="0" fontId="23" fillId="8" borderId="1" xfId="0" applyFont="1" applyFill="1" applyBorder="1" applyAlignment="1">
      <alignment horizontal="center" wrapText="1"/>
    </xf>
    <xf numFmtId="0" fontId="23" fillId="8" borderId="1" xfId="1" applyFont="1" applyFill="1" applyBorder="1" applyAlignment="1">
      <alignment horizontal="center" vertical="center" wrapText="1"/>
    </xf>
    <xf numFmtId="0" fontId="23" fillId="8" borderId="1" xfId="1" applyFont="1" applyFill="1" applyBorder="1" applyAlignment="1">
      <alignment horizontal="center" vertical="center"/>
    </xf>
    <xf numFmtId="0" fontId="4" fillId="0" borderId="0" xfId="1" quotePrefix="1" applyFont="1" applyBorder="1" applyAlignment="1">
      <alignment horizontal="right" vertical="center"/>
    </xf>
    <xf numFmtId="0" fontId="4" fillId="0" borderId="0" xfId="1" applyFont="1" applyFill="1" applyBorder="1" applyAlignment="1">
      <alignment horizontal="right" vertical="center"/>
    </xf>
    <xf numFmtId="0" fontId="4" fillId="0" borderId="0" xfId="0" applyFont="1" applyFill="1" applyBorder="1" applyAlignment="1" applyProtection="1">
      <alignment horizontal="center"/>
    </xf>
    <xf numFmtId="0" fontId="29" fillId="7" borderId="1" xfId="0" applyFont="1" applyFill="1" applyBorder="1" applyAlignment="1" applyProtection="1">
      <alignment horizontal="center"/>
    </xf>
    <xf numFmtId="0" fontId="29" fillId="7" borderId="15" xfId="0" applyFont="1" applyFill="1" applyBorder="1" applyAlignment="1" applyProtection="1">
      <alignment horizontal="center"/>
    </xf>
    <xf numFmtId="0" fontId="24" fillId="0" borderId="1" xfId="0" applyFont="1" applyFill="1" applyBorder="1" applyAlignment="1" applyProtection="1">
      <alignment horizontal="center"/>
    </xf>
    <xf numFmtId="0" fontId="29" fillId="7" borderId="14" xfId="0" applyFont="1" applyFill="1" applyBorder="1" applyAlignment="1" applyProtection="1">
      <alignment horizontal="center"/>
    </xf>
    <xf numFmtId="0" fontId="29" fillId="7" borderId="7" xfId="0" applyFont="1" applyFill="1" applyBorder="1" applyAlignment="1" applyProtection="1">
      <alignment horizontal="center"/>
    </xf>
    <xf numFmtId="0" fontId="4" fillId="24" borderId="1" xfId="1" applyFont="1" applyFill="1" applyBorder="1" applyAlignment="1" applyProtection="1">
      <alignment horizontal="center" vertical="center"/>
      <protection locked="0"/>
    </xf>
    <xf numFmtId="0" fontId="4" fillId="24" borderId="7" xfId="1" applyFont="1" applyFill="1" applyBorder="1" applyAlignment="1" applyProtection="1">
      <alignment horizontal="center" vertical="center"/>
      <protection locked="0"/>
    </xf>
    <xf numFmtId="0" fontId="4" fillId="11" borderId="1" xfId="1" quotePrefix="1" applyFont="1" applyFill="1" applyBorder="1" applyAlignment="1">
      <alignment horizontal="right" vertical="center"/>
    </xf>
    <xf numFmtId="0" fontId="0" fillId="8" borderId="0" xfId="0" applyFill="1"/>
    <xf numFmtId="0" fontId="4" fillId="8" borderId="0" xfId="1" applyFont="1" applyFill="1">
      <alignment vertical="center"/>
    </xf>
    <xf numFmtId="0" fontId="0" fillId="0" borderId="0" xfId="0" applyFill="1"/>
    <xf numFmtId="0" fontId="33" fillId="8" borderId="0" xfId="1" applyFont="1" applyFill="1" applyAlignment="1">
      <alignment horizontal="center" vertical="center"/>
    </xf>
    <xf numFmtId="0" fontId="34" fillId="8" borderId="0" xfId="1" applyFont="1" applyFill="1" applyAlignment="1">
      <alignment horizontal="center" vertical="center"/>
    </xf>
    <xf numFmtId="0" fontId="21" fillId="0" borderId="0" xfId="0" applyFont="1" applyFill="1"/>
    <xf numFmtId="180" fontId="3" fillId="9" borderId="1" xfId="1" applyNumberFormat="1" applyFont="1" applyFill="1" applyBorder="1" applyAlignment="1">
      <alignment horizontal="center" vertical="center"/>
    </xf>
    <xf numFmtId="0" fontId="2" fillId="0" borderId="0" xfId="0" applyNumberFormat="1" applyFont="1" applyAlignment="1">
      <alignment horizontal="left"/>
    </xf>
    <xf numFmtId="0" fontId="35" fillId="8" borderId="0" xfId="0" applyFont="1" applyFill="1"/>
    <xf numFmtId="0" fontId="29" fillId="7" borderId="8" xfId="0" applyFont="1" applyFill="1" applyBorder="1" applyAlignment="1" applyProtection="1">
      <alignment horizontal="center"/>
    </xf>
    <xf numFmtId="0" fontId="29" fillId="7" borderId="2" xfId="0" applyFont="1" applyFill="1" applyBorder="1" applyAlignment="1" applyProtection="1">
      <alignment horizontal="center"/>
    </xf>
    <xf numFmtId="0" fontId="4" fillId="0" borderId="1" xfId="0" applyFont="1" applyFill="1" applyBorder="1" applyAlignment="1">
      <alignment horizontal="center"/>
    </xf>
    <xf numFmtId="176" fontId="4" fillId="0" borderId="1" xfId="1" applyNumberFormat="1" applyFont="1" applyFill="1" applyBorder="1" applyAlignment="1">
      <alignment horizontal="center" vertical="center"/>
    </xf>
    <xf numFmtId="0" fontId="3" fillId="0" borderId="1" xfId="1" applyFont="1" applyFill="1" applyBorder="1" applyAlignment="1" applyProtection="1">
      <alignment horizontal="center" vertical="center"/>
    </xf>
    <xf numFmtId="0" fontId="26" fillId="0" borderId="0" xfId="1" applyFont="1" applyAlignment="1">
      <alignment horizontal="center" vertical="center"/>
    </xf>
    <xf numFmtId="0" fontId="26" fillId="0" borderId="0" xfId="1" applyFont="1" applyAlignment="1">
      <alignment horizontal="right" vertical="center"/>
    </xf>
    <xf numFmtId="0" fontId="8" fillId="8" borderId="7" xfId="1" applyFont="1" applyFill="1" applyBorder="1">
      <alignment vertical="center"/>
    </xf>
    <xf numFmtId="181" fontId="3" fillId="9" borderId="1" xfId="1" applyNumberFormat="1" applyFont="1" applyFill="1" applyBorder="1" applyAlignment="1">
      <alignment horizontal="center" vertical="center"/>
    </xf>
    <xf numFmtId="180" fontId="4" fillId="9" borderId="6" xfId="1" applyNumberFormat="1" applyFont="1" applyFill="1" applyBorder="1">
      <alignment vertical="center"/>
    </xf>
    <xf numFmtId="0" fontId="4" fillId="9" borderId="13" xfId="1" applyFont="1" applyFill="1" applyBorder="1">
      <alignment vertical="center"/>
    </xf>
    <xf numFmtId="0" fontId="4" fillId="0" borderId="8" xfId="1" applyFont="1" applyBorder="1">
      <alignment vertical="center"/>
    </xf>
    <xf numFmtId="0" fontId="7" fillId="0" borderId="8" xfId="1" applyFont="1" applyBorder="1" applyAlignment="1">
      <alignment horizontal="center" vertical="center"/>
    </xf>
    <xf numFmtId="0" fontId="8" fillId="8" borderId="4" xfId="1" applyFont="1" applyFill="1" applyBorder="1">
      <alignment vertical="center"/>
    </xf>
    <xf numFmtId="0" fontId="4" fillId="8" borderId="14" xfId="1" applyFont="1" applyFill="1" applyBorder="1">
      <alignment vertical="center"/>
    </xf>
    <xf numFmtId="0" fontId="8" fillId="8" borderId="10" xfId="1" applyFont="1" applyFill="1" applyBorder="1">
      <alignment vertical="center"/>
    </xf>
    <xf numFmtId="0" fontId="4" fillId="8" borderId="15" xfId="1" applyFont="1" applyFill="1" applyBorder="1">
      <alignment vertical="center"/>
    </xf>
    <xf numFmtId="0" fontId="40" fillId="0" borderId="0" xfId="0" applyFont="1"/>
    <xf numFmtId="0" fontId="1" fillId="0" borderId="0" xfId="0" quotePrefix="1" applyFont="1" applyAlignment="1">
      <alignment vertical="top" wrapText="1"/>
    </xf>
    <xf numFmtId="0" fontId="11" fillId="0" borderId="0" xfId="0" applyNumberFormat="1" applyFont="1" applyAlignment="1">
      <alignment horizontal="left"/>
    </xf>
    <xf numFmtId="0" fontId="12" fillId="0" borderId="0" xfId="0" applyNumberFormat="1" applyFont="1" applyAlignment="1">
      <alignment horizontal="center"/>
    </xf>
    <xf numFmtId="0" fontId="12" fillId="0" borderId="0" xfId="0" applyNumberFormat="1" applyFont="1" applyAlignment="1">
      <alignment horizontal="right"/>
    </xf>
    <xf numFmtId="0" fontId="12" fillId="0" borderId="0" xfId="0" applyFont="1"/>
    <xf numFmtId="0" fontId="25" fillId="0" borderId="0" xfId="1" applyFont="1">
      <alignment vertical="center"/>
    </xf>
    <xf numFmtId="0" fontId="25" fillId="0" borderId="0" xfId="1" applyFont="1" applyProtection="1">
      <alignment vertical="center"/>
    </xf>
    <xf numFmtId="0" fontId="30" fillId="17" borderId="1" xfId="0" applyFont="1" applyFill="1" applyBorder="1" applyAlignment="1" applyProtection="1">
      <alignment horizontal="center"/>
      <protection locked="0"/>
    </xf>
    <xf numFmtId="0" fontId="1" fillId="0" borderId="0" xfId="0" applyFont="1" applyAlignment="1">
      <alignment horizontal="center"/>
    </xf>
    <xf numFmtId="0" fontId="23" fillId="8" borderId="10" xfId="0" applyFont="1" applyFill="1" applyBorder="1" applyAlignment="1">
      <alignment horizontal="center" wrapText="1"/>
    </xf>
    <xf numFmtId="0" fontId="3" fillId="2" borderId="1" xfId="0" applyFont="1" applyFill="1" applyBorder="1" applyAlignment="1" applyProtection="1">
      <alignment horizontal="center" vertical="center"/>
      <protection locked="0"/>
    </xf>
    <xf numFmtId="0" fontId="25" fillId="0" borderId="1" xfId="0" applyFont="1" applyBorder="1" applyAlignment="1">
      <alignment horizontal="center"/>
    </xf>
    <xf numFmtId="0" fontId="25" fillId="0" borderId="1" xfId="0" applyFont="1" applyBorder="1"/>
    <xf numFmtId="0" fontId="25" fillId="0" borderId="1" xfId="0" quotePrefix="1" applyFont="1" applyBorder="1" applyAlignment="1">
      <alignment horizontal="center" vertical="center"/>
    </xf>
    <xf numFmtId="0" fontId="25" fillId="0" borderId="1" xfId="0" quotePrefix="1" applyFont="1" applyFill="1" applyBorder="1" applyAlignment="1">
      <alignment horizontal="center"/>
    </xf>
    <xf numFmtId="0" fontId="25" fillId="0" borderId="0" xfId="1" applyFont="1" applyAlignment="1">
      <alignment horizontal="right" vertical="center"/>
    </xf>
    <xf numFmtId="0" fontId="26" fillId="8" borderId="0" xfId="1" applyFont="1" applyFill="1">
      <alignment vertical="center"/>
    </xf>
    <xf numFmtId="0" fontId="4" fillId="8" borderId="1" xfId="1" applyFont="1" applyFill="1" applyBorder="1" applyAlignment="1">
      <alignment horizontal="center" vertical="center"/>
    </xf>
    <xf numFmtId="0" fontId="3" fillId="2" borderId="1" xfId="0" applyFont="1" applyFill="1" applyBorder="1" applyAlignment="1" applyProtection="1">
      <alignment horizontal="center" vertical="center"/>
      <protection locked="0"/>
    </xf>
    <xf numFmtId="0" fontId="4" fillId="0" borderId="1" xfId="1" applyFont="1" applyBorder="1" applyAlignment="1">
      <alignment horizontal="center" vertical="center"/>
    </xf>
    <xf numFmtId="0" fontId="3" fillId="2" borderId="1" xfId="0" applyFont="1" applyFill="1" applyBorder="1" applyAlignment="1" applyProtection="1">
      <alignment horizontal="center" vertical="center"/>
      <protection locked="0"/>
    </xf>
    <xf numFmtId="0" fontId="22" fillId="0" borderId="1" xfId="0" applyFont="1" applyBorder="1" applyAlignment="1">
      <alignment horizontal="center" vertical="center"/>
    </xf>
    <xf numFmtId="0" fontId="22" fillId="0" borderId="2" xfId="0" applyFont="1" applyBorder="1" applyAlignment="1">
      <alignment horizontal="center" vertical="center"/>
    </xf>
    <xf numFmtId="0" fontId="22" fillId="25" borderId="3" xfId="0" applyFont="1" applyFill="1" applyBorder="1" applyAlignment="1">
      <alignment vertical="center"/>
    </xf>
    <xf numFmtId="0" fontId="22" fillId="25" borderId="3" xfId="0" applyFont="1" applyFill="1" applyBorder="1" applyAlignment="1">
      <alignment horizontal="center" vertical="center"/>
    </xf>
    <xf numFmtId="0" fontId="22" fillId="25" borderId="2" xfId="0" applyFont="1" applyFill="1" applyBorder="1" applyAlignment="1">
      <alignment horizontal="right" vertical="center"/>
    </xf>
    <xf numFmtId="0" fontId="22" fillId="25" borderId="2" xfId="0" applyFont="1" applyFill="1" applyBorder="1" applyAlignment="1">
      <alignment horizontal="center" vertical="center"/>
    </xf>
    <xf numFmtId="0" fontId="22" fillId="25" borderId="2" xfId="0" applyFont="1" applyFill="1" applyBorder="1" applyAlignment="1">
      <alignment vertical="center"/>
    </xf>
    <xf numFmtId="0" fontId="22" fillId="25" borderId="1" xfId="0" applyFont="1" applyFill="1" applyBorder="1" applyAlignment="1">
      <alignment vertical="center"/>
    </xf>
    <xf numFmtId="0" fontId="22" fillId="0" borderId="2" xfId="0" quotePrefix="1" applyFont="1" applyBorder="1" applyAlignment="1">
      <alignment horizontal="center" vertical="center"/>
    </xf>
    <xf numFmtId="0" fontId="22" fillId="0" borderId="1" xfId="0" quotePrefix="1" applyFont="1" applyBorder="1" applyAlignment="1">
      <alignment horizontal="center" vertical="center"/>
    </xf>
    <xf numFmtId="0" fontId="4" fillId="0" borderId="0" xfId="1" applyFont="1" applyAlignment="1">
      <alignment horizontal="right" vertical="center"/>
    </xf>
    <xf numFmtId="0" fontId="10" fillId="6" borderId="0" xfId="0" applyFont="1" applyFill="1" applyBorder="1" applyAlignment="1">
      <alignment horizontal="center" vertical="center"/>
    </xf>
    <xf numFmtId="0" fontId="25" fillId="9" borderId="0" xfId="0" applyFont="1" applyFill="1"/>
    <xf numFmtId="0" fontId="25" fillId="0" borderId="1" xfId="1" applyFont="1" applyBorder="1" applyAlignment="1">
      <alignment horizontal="right" vertical="center"/>
    </xf>
    <xf numFmtId="0" fontId="25" fillId="9" borderId="1" xfId="1" applyFont="1" applyFill="1" applyBorder="1" applyAlignment="1">
      <alignment horizontal="right" vertical="center"/>
    </xf>
    <xf numFmtId="0" fontId="25" fillId="9" borderId="1" xfId="0" applyFont="1" applyFill="1" applyBorder="1"/>
    <xf numFmtId="0" fontId="26" fillId="8" borderId="1" xfId="0" applyFont="1" applyFill="1" applyBorder="1" applyAlignment="1">
      <alignment horizontal="right"/>
    </xf>
    <xf numFmtId="0" fontId="21" fillId="8" borderId="1" xfId="0" applyFont="1" applyFill="1" applyBorder="1" applyAlignment="1">
      <alignment horizontal="right"/>
    </xf>
    <xf numFmtId="0" fontId="26" fillId="8" borderId="1" xfId="1" applyFont="1" applyFill="1" applyBorder="1" applyAlignment="1">
      <alignment horizontal="right" vertical="center"/>
    </xf>
    <xf numFmtId="0" fontId="25" fillId="0" borderId="0" xfId="0" applyFont="1" applyAlignment="1">
      <alignment horizontal="right"/>
    </xf>
    <xf numFmtId="0" fontId="29" fillId="7" borderId="11" xfId="0" applyFont="1" applyFill="1" applyBorder="1" applyAlignment="1" applyProtection="1">
      <alignment horizontal="center"/>
    </xf>
    <xf numFmtId="0" fontId="29" fillId="7" borderId="13" xfId="0" applyFont="1" applyFill="1" applyBorder="1" applyAlignment="1" applyProtection="1">
      <alignment horizontal="center"/>
    </xf>
    <xf numFmtId="0" fontId="22" fillId="0" borderId="0" xfId="0" applyFont="1" applyAlignment="1">
      <alignment horizontal="center"/>
    </xf>
    <xf numFmtId="0" fontId="22" fillId="9" borderId="1" xfId="0" applyFont="1" applyFill="1" applyBorder="1" applyAlignment="1" applyProtection="1">
      <alignment horizontal="center"/>
    </xf>
    <xf numFmtId="0" fontId="25" fillId="23" borderId="1" xfId="0" applyFont="1" applyFill="1" applyBorder="1" applyAlignment="1" applyProtection="1">
      <alignment horizontal="center"/>
      <protection locked="0"/>
    </xf>
    <xf numFmtId="0" fontId="25" fillId="23" borderId="1" xfId="0" applyFont="1" applyFill="1" applyBorder="1" applyProtection="1">
      <protection locked="0"/>
    </xf>
    <xf numFmtId="0" fontId="25" fillId="23" borderId="1" xfId="0" quotePrefix="1" applyFont="1" applyFill="1" applyBorder="1" applyAlignment="1" applyProtection="1">
      <alignment horizontal="center" vertical="center"/>
      <protection locked="0"/>
    </xf>
    <xf numFmtId="0" fontId="25" fillId="23" borderId="1" xfId="0" quotePrefix="1" applyFont="1" applyFill="1" applyBorder="1" applyAlignment="1" applyProtection="1">
      <alignment horizontal="center"/>
      <protection locked="0"/>
    </xf>
    <xf numFmtId="0" fontId="4" fillId="25" borderId="1" xfId="0" applyFont="1" applyFill="1" applyBorder="1" applyAlignment="1">
      <alignment horizontal="center"/>
    </xf>
    <xf numFmtId="0" fontId="23" fillId="8" borderId="2" xfId="0" applyFont="1" applyFill="1" applyBorder="1" applyAlignment="1">
      <alignment horizontal="center"/>
    </xf>
    <xf numFmtId="0" fontId="23" fillId="8" borderId="6" xfId="0" applyFont="1" applyFill="1" applyBorder="1" applyAlignment="1">
      <alignment horizontal="center"/>
    </xf>
    <xf numFmtId="180" fontId="24" fillId="9" borderId="1" xfId="0" applyNumberFormat="1" applyFont="1" applyFill="1" applyBorder="1" applyAlignment="1">
      <alignment horizontal="right"/>
    </xf>
    <xf numFmtId="180" fontId="4" fillId="9" borderId="1" xfId="1" applyNumberFormat="1" applyFont="1" applyFill="1" applyBorder="1">
      <alignment vertical="center"/>
    </xf>
    <xf numFmtId="176" fontId="24" fillId="9" borderId="1" xfId="0" applyNumberFormat="1" applyFont="1" applyFill="1" applyBorder="1" applyAlignment="1">
      <alignment horizontal="center"/>
    </xf>
    <xf numFmtId="0" fontId="4" fillId="26" borderId="1" xfId="0" applyFont="1" applyFill="1" applyBorder="1" applyAlignment="1">
      <alignment horizontal="center" vertical="center"/>
    </xf>
    <xf numFmtId="0" fontId="22" fillId="26" borderId="1" xfId="0" applyFont="1" applyFill="1" applyBorder="1"/>
    <xf numFmtId="0" fontId="23" fillId="26" borderId="1" xfId="0" applyFont="1" applyFill="1" applyBorder="1" applyAlignment="1">
      <alignment horizontal="center"/>
    </xf>
    <xf numFmtId="0" fontId="23" fillId="26" borderId="1" xfId="0" applyFont="1" applyFill="1" applyBorder="1" applyAlignment="1">
      <alignment horizontal="left" vertical="center"/>
    </xf>
    <xf numFmtId="0" fontId="23" fillId="26" borderId="1" xfId="0" applyFont="1" applyFill="1" applyBorder="1" applyAlignment="1">
      <alignment horizontal="center" vertical="center"/>
    </xf>
    <xf numFmtId="0" fontId="4" fillId="25" borderId="1" xfId="0" quotePrefix="1" applyFont="1" applyFill="1" applyBorder="1" applyAlignment="1">
      <alignment horizontal="center"/>
    </xf>
    <xf numFmtId="0" fontId="1" fillId="25" borderId="0" xfId="0" applyFont="1" applyFill="1"/>
    <xf numFmtId="0" fontId="1" fillId="9" borderId="1" xfId="0" quotePrefix="1" applyFont="1" applyFill="1" applyBorder="1" applyAlignment="1">
      <alignment horizontal="center" vertical="center"/>
    </xf>
    <xf numFmtId="0" fontId="4" fillId="13" borderId="1" xfId="0" quotePrefix="1" applyFont="1" applyFill="1" applyBorder="1" applyAlignment="1" applyProtection="1">
      <alignment horizontal="center"/>
      <protection locked="0"/>
    </xf>
    <xf numFmtId="0" fontId="16" fillId="9" borderId="1" xfId="0" applyFont="1" applyFill="1" applyBorder="1" applyAlignment="1" applyProtection="1">
      <alignment horizontal="center"/>
    </xf>
    <xf numFmtId="0" fontId="29" fillId="7" borderId="2" xfId="0" applyFont="1" applyFill="1" applyBorder="1" applyAlignment="1" applyProtection="1">
      <alignment horizontal="right"/>
    </xf>
    <xf numFmtId="0" fontId="41" fillId="0" borderId="1" xfId="0" applyFont="1" applyFill="1" applyBorder="1" applyAlignment="1" applyProtection="1">
      <alignment horizontal="center"/>
    </xf>
    <xf numFmtId="0" fontId="1" fillId="0" borderId="0" xfId="0" quotePrefix="1" applyFont="1"/>
    <xf numFmtId="0" fontId="1" fillId="0" borderId="0" xfId="0" quotePrefix="1" applyFont="1" applyAlignment="1">
      <alignment horizontal="center"/>
    </xf>
    <xf numFmtId="0" fontId="4" fillId="0" borderId="1" xfId="1" applyFont="1" applyBorder="1" applyAlignment="1">
      <alignment horizontal="center" vertical="center"/>
    </xf>
    <xf numFmtId="0" fontId="40" fillId="9" borderId="0" xfId="0" applyFont="1" applyFill="1"/>
    <xf numFmtId="0" fontId="4" fillId="27" borderId="1" xfId="0" applyFont="1" applyFill="1" applyBorder="1" applyAlignment="1">
      <alignment horizontal="center"/>
    </xf>
    <xf numFmtId="0" fontId="1" fillId="0" borderId="0" xfId="0" applyFont="1" applyAlignment="1"/>
    <xf numFmtId="0" fontId="45" fillId="0" borderId="0" xfId="0" applyFont="1"/>
    <xf numFmtId="0" fontId="23" fillId="7" borderId="2" xfId="0" applyFont="1" applyFill="1" applyBorder="1" applyAlignment="1">
      <alignment horizontal="right"/>
    </xf>
    <xf numFmtId="0" fontId="46" fillId="0" borderId="1" xfId="1" applyFont="1" applyBorder="1">
      <alignment vertical="center"/>
    </xf>
    <xf numFmtId="0" fontId="47" fillId="0" borderId="1" xfId="0" applyFont="1" applyBorder="1"/>
    <xf numFmtId="0" fontId="3" fillId="28" borderId="1" xfId="0" applyFont="1" applyFill="1" applyBorder="1" applyAlignment="1" applyProtection="1">
      <alignment horizontal="center"/>
    </xf>
    <xf numFmtId="0" fontId="23" fillId="16" borderId="1" xfId="0" applyFont="1" applyFill="1" applyBorder="1" applyAlignment="1" applyProtection="1">
      <alignment horizontal="center"/>
    </xf>
    <xf numFmtId="0" fontId="23" fillId="19" borderId="1" xfId="0" applyFont="1" applyFill="1" applyBorder="1" applyAlignment="1" applyProtection="1">
      <alignment horizontal="center"/>
    </xf>
    <xf numFmtId="0" fontId="22" fillId="0" borderId="0" xfId="1" applyFont="1">
      <alignment vertical="center"/>
    </xf>
    <xf numFmtId="0" fontId="3" fillId="17" borderId="1" xfId="0" applyFont="1" applyFill="1" applyBorder="1" applyAlignment="1" applyProtection="1">
      <alignment horizontal="center"/>
      <protection locked="0"/>
    </xf>
    <xf numFmtId="0" fontId="44" fillId="24" borderId="1" xfId="0" applyFont="1" applyFill="1" applyBorder="1" applyAlignment="1" applyProtection="1">
      <alignment horizontal="center"/>
      <protection locked="0"/>
    </xf>
    <xf numFmtId="0" fontId="22" fillId="29" borderId="1" xfId="0" applyFont="1" applyFill="1" applyBorder="1" applyAlignment="1" applyProtection="1">
      <alignment horizontal="center"/>
      <protection locked="0"/>
    </xf>
    <xf numFmtId="0" fontId="22" fillId="29" borderId="1" xfId="0" applyFont="1" applyFill="1" applyBorder="1" applyAlignment="1" applyProtection="1">
      <alignment horizontal="left" vertical="center"/>
      <protection locked="0"/>
    </xf>
    <xf numFmtId="0" fontId="22" fillId="29" borderId="1" xfId="0" quotePrefix="1" applyFont="1" applyFill="1" applyBorder="1" applyAlignment="1" applyProtection="1">
      <alignment horizontal="center" vertical="center"/>
      <protection locked="0"/>
    </xf>
    <xf numFmtId="0" fontId="22" fillId="29" borderId="1" xfId="0" applyFont="1" applyFill="1" applyBorder="1" applyProtection="1">
      <protection locked="0"/>
    </xf>
    <xf numFmtId="0" fontId="22" fillId="29" borderId="1" xfId="0" applyFont="1" applyFill="1" applyBorder="1" applyAlignment="1" applyProtection="1">
      <alignment horizontal="center" vertical="center"/>
      <protection locked="0"/>
    </xf>
    <xf numFmtId="0" fontId="1" fillId="9" borderId="1" xfId="0" quotePrefix="1" applyFont="1" applyFill="1" applyBorder="1" applyAlignment="1" applyProtection="1">
      <alignment horizontal="center" vertical="center"/>
      <protection locked="0"/>
    </xf>
    <xf numFmtId="0" fontId="3" fillId="0" borderId="0" xfId="0" applyFont="1" applyAlignment="1">
      <alignment horizontal="center"/>
    </xf>
    <xf numFmtId="0" fontId="4" fillId="25" borderId="1" xfId="1" applyFont="1" applyFill="1" applyBorder="1">
      <alignment vertical="center"/>
    </xf>
    <xf numFmtId="176" fontId="3" fillId="2" borderId="1" xfId="0" applyNumberFormat="1" applyFont="1" applyFill="1" applyBorder="1" applyAlignment="1" applyProtection="1">
      <alignment horizontal="center" vertical="center"/>
      <protection locked="0"/>
    </xf>
    <xf numFmtId="0" fontId="4" fillId="9" borderId="1" xfId="1" applyNumberFormat="1" applyFont="1" applyFill="1" applyBorder="1">
      <alignment vertical="center"/>
    </xf>
    <xf numFmtId="0" fontId="4" fillId="0" borderId="1" xfId="1" applyFont="1" applyBorder="1" applyAlignment="1">
      <alignment horizontal="center" vertical="center"/>
    </xf>
    <xf numFmtId="0" fontId="4" fillId="0" borderId="0" xfId="1" applyFont="1" applyFill="1">
      <alignment vertical="center"/>
    </xf>
    <xf numFmtId="0" fontId="4" fillId="0" borderId="1" xfId="1" applyFont="1" applyFill="1" applyBorder="1">
      <alignment vertical="center"/>
    </xf>
    <xf numFmtId="0" fontId="4" fillId="0" borderId="3" xfId="1" applyFont="1" applyFill="1" applyBorder="1">
      <alignment vertical="center"/>
    </xf>
    <xf numFmtId="0" fontId="22" fillId="0" borderId="0" xfId="0" applyFont="1" applyFill="1"/>
    <xf numFmtId="0" fontId="22" fillId="9" borderId="1" xfId="0" applyFont="1" applyFill="1" applyBorder="1"/>
    <xf numFmtId="0" fontId="25" fillId="9" borderId="0" xfId="1" applyFont="1" applyFill="1">
      <alignment vertical="center"/>
    </xf>
    <xf numFmtId="176" fontId="3" fillId="12" borderId="1" xfId="1" applyNumberFormat="1" applyFont="1" applyFill="1" applyBorder="1" applyAlignment="1">
      <alignment horizontal="center" vertical="center"/>
    </xf>
    <xf numFmtId="0" fontId="3" fillId="12" borderId="1" xfId="1" applyFont="1" applyFill="1" applyBorder="1">
      <alignment vertical="center"/>
    </xf>
    <xf numFmtId="0" fontId="24" fillId="12" borderId="1" xfId="1" applyFont="1" applyFill="1" applyBorder="1">
      <alignment vertical="center"/>
    </xf>
    <xf numFmtId="0" fontId="4" fillId="25" borderId="3" xfId="1" applyFont="1" applyFill="1" applyBorder="1">
      <alignment vertical="center"/>
    </xf>
    <xf numFmtId="0" fontId="3" fillId="25" borderId="1" xfId="1" applyFont="1" applyFill="1" applyBorder="1">
      <alignment vertical="center"/>
    </xf>
    <xf numFmtId="0" fontId="22" fillId="25" borderId="1" xfId="0" applyFont="1" applyFill="1" applyBorder="1"/>
    <xf numFmtId="0" fontId="24" fillId="12" borderId="1" xfId="1" applyFont="1" applyFill="1" applyBorder="1" applyAlignment="1">
      <alignment horizontal="center" vertical="center"/>
    </xf>
    <xf numFmtId="0" fontId="22" fillId="9" borderId="1" xfId="1" applyFont="1" applyFill="1" applyBorder="1">
      <alignment vertical="center"/>
    </xf>
    <xf numFmtId="0" fontId="25" fillId="0" borderId="0" xfId="1" applyFont="1" applyFill="1">
      <alignment vertical="center"/>
    </xf>
    <xf numFmtId="0" fontId="22" fillId="9" borderId="1" xfId="1" applyFont="1" applyFill="1" applyBorder="1" applyAlignment="1">
      <alignment horizontal="right" vertical="center"/>
    </xf>
    <xf numFmtId="0" fontId="1" fillId="0" borderId="1" xfId="0" applyFont="1" applyFill="1" applyBorder="1" applyAlignment="1">
      <alignment horizontal="left"/>
    </xf>
    <xf numFmtId="0" fontId="1" fillId="0" borderId="1" xfId="0" quotePrefix="1" applyFont="1" applyFill="1" applyBorder="1" applyAlignment="1">
      <alignment horizontal="center"/>
    </xf>
    <xf numFmtId="0" fontId="16" fillId="30" borderId="1" xfId="0" applyFont="1" applyFill="1" applyBorder="1" applyAlignment="1" applyProtection="1">
      <alignment horizontal="center"/>
    </xf>
    <xf numFmtId="0" fontId="23" fillId="7" borderId="0" xfId="0" applyFont="1" applyFill="1" applyBorder="1" applyAlignment="1">
      <alignment horizontal="center"/>
    </xf>
    <xf numFmtId="0" fontId="23" fillId="7" borderId="8" xfId="0" applyFont="1" applyFill="1" applyBorder="1" applyAlignment="1">
      <alignment horizontal="center"/>
    </xf>
    <xf numFmtId="0" fontId="23" fillId="7" borderId="12" xfId="0" applyFont="1" applyFill="1" applyBorder="1" applyAlignment="1">
      <alignment horizontal="center"/>
    </xf>
    <xf numFmtId="0" fontId="23" fillId="7" borderId="4" xfId="0" applyFont="1" applyFill="1" applyBorder="1" applyAlignment="1">
      <alignment horizontal="center"/>
    </xf>
    <xf numFmtId="0" fontId="23" fillId="7" borderId="9" xfId="0" applyFont="1" applyFill="1" applyBorder="1" applyAlignment="1">
      <alignment horizontal="center"/>
    </xf>
    <xf numFmtId="0" fontId="3" fillId="2" borderId="14" xfId="0" applyFont="1" applyFill="1" applyBorder="1" applyAlignment="1" applyProtection="1">
      <alignment horizontal="center"/>
      <protection locked="0"/>
    </xf>
    <xf numFmtId="0" fontId="0" fillId="7" borderId="10" xfId="0" applyFill="1" applyBorder="1"/>
    <xf numFmtId="0" fontId="10" fillId="7" borderId="13" xfId="0" applyFont="1" applyFill="1" applyBorder="1" applyAlignment="1">
      <alignment horizontal="center" vertical="center"/>
    </xf>
    <xf numFmtId="0" fontId="0" fillId="7" borderId="11" xfId="0" applyFill="1" applyBorder="1"/>
    <xf numFmtId="0" fontId="3" fillId="7" borderId="6" xfId="0" applyFont="1" applyFill="1" applyBorder="1" applyAlignment="1" applyProtection="1">
      <alignment horizontal="center"/>
    </xf>
    <xf numFmtId="0" fontId="3" fillId="7" borderId="2" xfId="0" applyFont="1" applyFill="1" applyBorder="1" applyAlignment="1" applyProtection="1">
      <alignment horizontal="center"/>
    </xf>
    <xf numFmtId="0" fontId="3" fillId="7" borderId="6" xfId="0" applyFont="1" applyFill="1" applyBorder="1" applyAlignment="1" applyProtection="1">
      <alignment horizontal="center" vertical="center"/>
    </xf>
    <xf numFmtId="0" fontId="3" fillId="7" borderId="2" xfId="0" applyFont="1" applyFill="1" applyBorder="1" applyAlignment="1" applyProtection="1">
      <alignment horizontal="center" vertical="center"/>
    </xf>
    <xf numFmtId="0" fontId="3" fillId="7" borderId="9" xfId="0" applyFont="1" applyFill="1" applyBorder="1" applyAlignment="1" applyProtection="1">
      <alignment horizontal="center"/>
    </xf>
    <xf numFmtId="0" fontId="37" fillId="7" borderId="3" xfId="0" applyFont="1" applyFill="1" applyBorder="1" applyAlignment="1">
      <alignment horizontal="center"/>
    </xf>
    <xf numFmtId="0" fontId="37" fillId="7" borderId="8" xfId="0" applyFont="1" applyFill="1" applyBorder="1" applyAlignment="1">
      <alignment horizontal="center"/>
    </xf>
    <xf numFmtId="0" fontId="23" fillId="31" borderId="2" xfId="0" applyFont="1" applyFill="1" applyBorder="1" applyAlignment="1">
      <alignment horizontal="right"/>
    </xf>
    <xf numFmtId="0" fontId="25" fillId="0" borderId="0" xfId="1" quotePrefix="1" applyFont="1" applyAlignment="1">
      <alignment horizontal="right" vertical="center"/>
    </xf>
    <xf numFmtId="0" fontId="25" fillId="9" borderId="1" xfId="0" applyFont="1" applyFill="1" applyBorder="1" applyAlignment="1">
      <alignment horizontal="center"/>
    </xf>
    <xf numFmtId="0" fontId="30" fillId="12" borderId="1" xfId="0" applyFont="1" applyFill="1" applyBorder="1" applyAlignment="1">
      <alignment horizontal="center"/>
    </xf>
    <xf numFmtId="0" fontId="25" fillId="0" borderId="1" xfId="1" applyFont="1" applyBorder="1" applyAlignment="1">
      <alignment horizontal="center" vertical="center"/>
    </xf>
    <xf numFmtId="0" fontId="25" fillId="25" borderId="1" xfId="1" applyFont="1" applyFill="1" applyBorder="1">
      <alignment vertical="center"/>
    </xf>
    <xf numFmtId="178" fontId="4" fillId="0" borderId="1" xfId="1" applyNumberFormat="1" applyFont="1" applyBorder="1" applyAlignment="1">
      <alignment horizontal="center" vertical="center"/>
    </xf>
    <xf numFmtId="0" fontId="25" fillId="0" borderId="7" xfId="0" applyFont="1" applyBorder="1"/>
    <xf numFmtId="0" fontId="25" fillId="0" borderId="14" xfId="0" applyFont="1" applyBorder="1"/>
    <xf numFmtId="0" fontId="25" fillId="0" borderId="15" xfId="0" applyFont="1" applyBorder="1"/>
    <xf numFmtId="0" fontId="25" fillId="9" borderId="7" xfId="0" applyFont="1" applyFill="1" applyBorder="1"/>
    <xf numFmtId="0" fontId="25" fillId="9" borderId="14" xfId="0" applyFont="1" applyFill="1" applyBorder="1"/>
    <xf numFmtId="0" fontId="25" fillId="9" borderId="15" xfId="0" applyFont="1" applyFill="1" applyBorder="1"/>
    <xf numFmtId="0" fontId="40" fillId="9" borderId="14" xfId="0" applyFont="1" applyFill="1" applyBorder="1"/>
    <xf numFmtId="0" fontId="40" fillId="9" borderId="15" xfId="0" applyFont="1" applyFill="1" applyBorder="1"/>
    <xf numFmtId="0" fontId="25" fillId="0" borderId="7" xfId="0" applyFont="1" applyBorder="1" applyAlignment="1">
      <alignment horizontal="right"/>
    </xf>
    <xf numFmtId="0" fontId="25" fillId="0" borderId="14" xfId="0" applyFont="1" applyBorder="1" applyAlignment="1">
      <alignment horizontal="right"/>
    </xf>
    <xf numFmtId="0" fontId="25" fillId="0" borderId="15" xfId="0" applyFont="1" applyBorder="1" applyAlignment="1">
      <alignment horizontal="right"/>
    </xf>
    <xf numFmtId="0" fontId="25" fillId="32" borderId="7" xfId="0" applyFont="1" applyFill="1" applyBorder="1" applyAlignment="1">
      <alignment horizontal="right"/>
    </xf>
    <xf numFmtId="0" fontId="25" fillId="32" borderId="14" xfId="0" applyFont="1" applyFill="1" applyBorder="1" applyAlignment="1">
      <alignment horizontal="right"/>
    </xf>
    <xf numFmtId="0" fontId="25" fillId="32" borderId="15" xfId="0" applyFont="1" applyFill="1" applyBorder="1" applyAlignment="1">
      <alignment horizontal="right"/>
    </xf>
    <xf numFmtId="0" fontId="8" fillId="8" borderId="1" xfId="1" applyFont="1" applyFill="1" applyBorder="1" applyAlignment="1">
      <alignment horizontal="center" vertical="center"/>
    </xf>
    <xf numFmtId="0" fontId="4" fillId="9" borderId="7" xfId="1" applyFont="1" applyFill="1" applyBorder="1" applyAlignment="1">
      <alignment horizontal="center" vertical="center"/>
    </xf>
    <xf numFmtId="0" fontId="26" fillId="8" borderId="1" xfId="0" applyFont="1" applyFill="1" applyBorder="1" applyAlignment="1">
      <alignment horizontal="center"/>
    </xf>
    <xf numFmtId="0" fontId="26" fillId="8" borderId="1" xfId="0" applyFont="1" applyFill="1" applyBorder="1" applyAlignment="1">
      <alignment horizontal="left"/>
    </xf>
    <xf numFmtId="0" fontId="26" fillId="8" borderId="1" xfId="0" applyFont="1" applyFill="1" applyBorder="1"/>
    <xf numFmtId="0" fontId="24" fillId="0" borderId="1" xfId="0" applyFont="1" applyFill="1" applyBorder="1" applyAlignment="1">
      <alignment horizontal="center" vertical="center"/>
    </xf>
    <xf numFmtId="0" fontId="25" fillId="0" borderId="1" xfId="0" applyFont="1" applyFill="1" applyBorder="1" applyAlignment="1">
      <alignment horizontal="left" vertical="center"/>
    </xf>
    <xf numFmtId="0" fontId="25" fillId="0" borderId="1" xfId="0" applyFont="1" applyFill="1" applyBorder="1"/>
    <xf numFmtId="0" fontId="1" fillId="10" borderId="1" xfId="0" applyFont="1" applyFill="1" applyBorder="1" applyAlignment="1">
      <alignment horizontal="center"/>
    </xf>
    <xf numFmtId="0" fontId="1" fillId="10" borderId="1" xfId="0" applyFont="1" applyFill="1" applyBorder="1" applyAlignment="1">
      <alignment horizontal="left"/>
    </xf>
    <xf numFmtId="0" fontId="1" fillId="10" borderId="1" xfId="0" quotePrefix="1" applyFont="1" applyFill="1" applyBorder="1" applyAlignment="1">
      <alignment horizontal="center"/>
    </xf>
    <xf numFmtId="0" fontId="4" fillId="10" borderId="1" xfId="0" quotePrefix="1" applyFont="1" applyFill="1" applyBorder="1" applyAlignment="1">
      <alignment horizontal="center"/>
    </xf>
    <xf numFmtId="0" fontId="22" fillId="10" borderId="1" xfId="0" applyFont="1" applyFill="1" applyBorder="1"/>
    <xf numFmtId="0" fontId="28" fillId="0" borderId="1" xfId="0" applyFont="1" applyFill="1" applyBorder="1"/>
    <xf numFmtId="0" fontId="1" fillId="0" borderId="14" xfId="0" applyFont="1" applyBorder="1"/>
    <xf numFmtId="0" fontId="1" fillId="9" borderId="1" xfId="0" quotePrefix="1" applyFont="1" applyFill="1" applyBorder="1" applyAlignment="1">
      <alignment horizontal="center"/>
    </xf>
    <xf numFmtId="176" fontId="4" fillId="0" borderId="1" xfId="1" applyNumberFormat="1" applyFont="1" applyFill="1" applyBorder="1">
      <alignment vertical="center"/>
    </xf>
    <xf numFmtId="0" fontId="4" fillId="23" borderId="1" xfId="0" applyFont="1" applyFill="1" applyBorder="1" applyAlignment="1" applyProtection="1">
      <alignment horizontal="center"/>
      <protection locked="0"/>
    </xf>
    <xf numFmtId="0" fontId="4" fillId="23" borderId="1" xfId="0" applyFont="1" applyFill="1" applyBorder="1" applyProtection="1">
      <protection locked="0"/>
    </xf>
    <xf numFmtId="0" fontId="16" fillId="0" borderId="1" xfId="0" applyFont="1" applyFill="1" applyBorder="1" applyAlignment="1" applyProtection="1">
      <alignment horizontal="center"/>
    </xf>
    <xf numFmtId="0" fontId="4" fillId="17" borderId="1" xfId="0" quotePrefix="1" applyFont="1" applyFill="1" applyBorder="1" applyAlignment="1" applyProtection="1">
      <alignment horizontal="center"/>
      <protection locked="0"/>
    </xf>
    <xf numFmtId="0" fontId="1" fillId="9" borderId="1" xfId="0" applyFont="1" applyFill="1" applyBorder="1"/>
    <xf numFmtId="0" fontId="4" fillId="0" borderId="1" xfId="1" applyFont="1" applyBorder="1" applyAlignment="1">
      <alignment horizontal="center" vertical="center"/>
    </xf>
    <xf numFmtId="0" fontId="22" fillId="0" borderId="1" xfId="0" applyFont="1" applyFill="1" applyBorder="1" applyAlignment="1">
      <alignment wrapText="1"/>
    </xf>
    <xf numFmtId="0" fontId="22" fillId="0" borderId="1" xfId="0" applyFont="1" applyBorder="1" applyAlignment="1">
      <alignment wrapText="1"/>
    </xf>
    <xf numFmtId="0" fontId="4" fillId="16" borderId="0" xfId="1" applyFont="1" applyFill="1">
      <alignment vertical="center"/>
    </xf>
    <xf numFmtId="2" fontId="22" fillId="9" borderId="2" xfId="0" applyNumberFormat="1" applyFont="1" applyFill="1" applyBorder="1" applyAlignment="1">
      <alignment horizontal="center" vertical="center"/>
    </xf>
    <xf numFmtId="0" fontId="48" fillId="9" borderId="1" xfId="0" applyFont="1" applyFill="1" applyBorder="1"/>
    <xf numFmtId="0" fontId="25" fillId="0" borderId="6" xfId="1" applyFont="1" applyBorder="1">
      <alignment vertical="center"/>
    </xf>
    <xf numFmtId="0" fontId="22" fillId="0" borderId="2" xfId="0" applyFont="1" applyFill="1" applyBorder="1" applyAlignment="1">
      <alignment vertical="center"/>
    </xf>
    <xf numFmtId="0" fontId="22" fillId="0" borderId="1" xfId="0" applyFont="1" applyFill="1" applyBorder="1" applyAlignment="1">
      <alignment vertical="center"/>
    </xf>
    <xf numFmtId="0" fontId="22" fillId="25" borderId="8" xfId="0" applyFont="1" applyFill="1" applyBorder="1" applyAlignment="1">
      <alignment horizontal="center" vertical="center"/>
    </xf>
    <xf numFmtId="0" fontId="22" fillId="25" borderId="8" xfId="0" applyFont="1" applyFill="1" applyBorder="1" applyAlignment="1">
      <alignment vertical="center"/>
    </xf>
    <xf numFmtId="0" fontId="4" fillId="0" borderId="1" xfId="1" applyFont="1" applyBorder="1" applyAlignment="1">
      <alignment horizontal="right" vertical="center"/>
    </xf>
    <xf numFmtId="0" fontId="29" fillId="7" borderId="0" xfId="0" applyFont="1" applyFill="1" applyBorder="1" applyAlignment="1" applyProtection="1">
      <alignment horizontal="center"/>
    </xf>
    <xf numFmtId="0" fontId="22" fillId="9" borderId="0" xfId="0" applyFont="1" applyFill="1" applyBorder="1" applyAlignment="1" applyProtection="1">
      <alignment horizontal="center"/>
    </xf>
    <xf numFmtId="0" fontId="4" fillId="24" borderId="0" xfId="1" applyFont="1" applyFill="1" applyBorder="1" applyAlignment="1" applyProtection="1">
      <alignment horizontal="center" vertical="center"/>
      <protection locked="0"/>
    </xf>
    <xf numFmtId="0" fontId="25" fillId="0" borderId="0" xfId="0" applyFont="1" applyBorder="1"/>
    <xf numFmtId="0" fontId="25" fillId="9" borderId="0" xfId="0" applyFont="1" applyFill="1" applyBorder="1"/>
    <xf numFmtId="0" fontId="1" fillId="0" borderId="0" xfId="0" applyFont="1" applyBorder="1"/>
    <xf numFmtId="0" fontId="4" fillId="23" borderId="1" xfId="0" quotePrefix="1" applyFont="1" applyFill="1" applyBorder="1" applyAlignment="1" applyProtection="1">
      <alignment horizontal="center" vertical="center"/>
      <protection locked="0"/>
    </xf>
    <xf numFmtId="0" fontId="10" fillId="6" borderId="1" xfId="0" applyFont="1" applyFill="1" applyBorder="1" applyAlignment="1">
      <alignment horizontal="center" vertical="center"/>
    </xf>
    <xf numFmtId="0" fontId="4" fillId="0" borderId="1" xfId="0" quotePrefix="1" applyFont="1" applyBorder="1" applyAlignment="1">
      <alignment horizontal="center" vertical="center"/>
    </xf>
    <xf numFmtId="0" fontId="36" fillId="16" borderId="1" xfId="0" applyFont="1" applyFill="1" applyBorder="1" applyAlignment="1">
      <alignment horizontal="center" vertical="center"/>
    </xf>
    <xf numFmtId="0" fontId="36" fillId="16" borderId="1" xfId="0" applyFont="1" applyFill="1" applyBorder="1" applyAlignment="1">
      <alignment vertical="center"/>
    </xf>
    <xf numFmtId="0" fontId="1" fillId="0" borderId="1" xfId="0" applyFont="1" applyBorder="1" applyAlignment="1">
      <alignment horizontal="center" vertical="center"/>
    </xf>
    <xf numFmtId="0" fontId="36" fillId="16" borderId="1" xfId="0" applyFont="1" applyFill="1" applyBorder="1" applyAlignment="1">
      <alignment horizontal="left" vertical="center"/>
    </xf>
    <xf numFmtId="0" fontId="49" fillId="16" borderId="1" xfId="0" applyFont="1" applyFill="1" applyBorder="1" applyAlignment="1">
      <alignment horizontal="center" vertical="center"/>
    </xf>
    <xf numFmtId="0" fontId="5" fillId="16" borderId="1" xfId="0" applyFont="1" applyFill="1" applyBorder="1" applyAlignment="1">
      <alignment horizontal="center" vertical="center"/>
    </xf>
    <xf numFmtId="0" fontId="50" fillId="16" borderId="1" xfId="0" applyFont="1" applyFill="1" applyBorder="1"/>
    <xf numFmtId="0" fontId="5" fillId="33" borderId="1" xfId="0" applyFont="1" applyFill="1" applyBorder="1" applyAlignment="1">
      <alignment horizontal="center" vertical="center"/>
    </xf>
    <xf numFmtId="0" fontId="5" fillId="33" borderId="1" xfId="0" applyFont="1" applyFill="1" applyBorder="1" applyAlignment="1">
      <alignment horizontal="left" vertical="center"/>
    </xf>
    <xf numFmtId="0" fontId="5" fillId="33" borderId="1" xfId="0" applyFont="1" applyFill="1" applyBorder="1" applyAlignment="1">
      <alignment vertical="center"/>
    </xf>
    <xf numFmtId="0" fontId="26" fillId="34" borderId="1" xfId="0" applyFont="1" applyFill="1" applyBorder="1" applyAlignment="1">
      <alignment horizontal="center"/>
    </xf>
    <xf numFmtId="0" fontId="26" fillId="35" borderId="1" xfId="0" applyFont="1" applyFill="1" applyBorder="1" applyAlignment="1">
      <alignment horizontal="center"/>
    </xf>
    <xf numFmtId="0" fontId="26" fillId="36" borderId="1" xfId="0" applyFont="1" applyFill="1" applyBorder="1" applyAlignment="1">
      <alignment horizontal="center"/>
    </xf>
    <xf numFmtId="0" fontId="25" fillId="0" borderId="0" xfId="0" applyFont="1" applyFill="1" applyBorder="1"/>
    <xf numFmtId="176" fontId="4" fillId="9" borderId="1" xfId="1" applyNumberFormat="1" applyFont="1" applyFill="1" applyBorder="1">
      <alignment vertical="center"/>
    </xf>
    <xf numFmtId="0" fontId="4" fillId="0" borderId="1" xfId="1" applyFont="1" applyBorder="1" applyAlignment="1">
      <alignment horizontal="center" vertical="center"/>
    </xf>
    <xf numFmtId="0" fontId="25" fillId="9" borderId="1" xfId="0" applyFont="1" applyFill="1" applyBorder="1" applyAlignment="1">
      <alignment horizontal="center"/>
    </xf>
    <xf numFmtId="0" fontId="22" fillId="0" borderId="0" xfId="0" applyFont="1" applyBorder="1" applyAlignment="1">
      <alignment horizontal="center" vertical="center"/>
    </xf>
    <xf numFmtId="0" fontId="25" fillId="9" borderId="1" xfId="0" applyFont="1" applyFill="1" applyBorder="1" applyAlignment="1">
      <alignment horizontal="center"/>
    </xf>
    <xf numFmtId="0" fontId="25" fillId="9" borderId="1" xfId="0" applyFont="1" applyFill="1" applyBorder="1" applyAlignment="1">
      <alignment horizontal="center" vertical="center"/>
    </xf>
    <xf numFmtId="0" fontId="25" fillId="0" borderId="1" xfId="0" applyFont="1" applyBorder="1" applyAlignment="1">
      <alignment horizontal="center" vertical="center"/>
    </xf>
    <xf numFmtId="0" fontId="30" fillId="0" borderId="0" xfId="0" applyFont="1" applyFill="1" applyBorder="1" applyAlignment="1" applyProtection="1">
      <alignment horizontal="center"/>
    </xf>
    <xf numFmtId="0" fontId="0" fillId="0" borderId="0" xfId="0" applyFont="1"/>
    <xf numFmtId="0" fontId="22" fillId="0" borderId="0" xfId="0" applyFont="1" applyFill="1" applyBorder="1"/>
    <xf numFmtId="0" fontId="23" fillId="37" borderId="1" xfId="0" applyFont="1" applyFill="1" applyBorder="1"/>
    <xf numFmtId="0" fontId="22" fillId="17" borderId="1" xfId="0" applyFont="1" applyFill="1" applyBorder="1"/>
    <xf numFmtId="0" fontId="24" fillId="8" borderId="1" xfId="0" applyFont="1" applyFill="1" applyBorder="1" applyAlignment="1">
      <alignment horizontal="center"/>
    </xf>
    <xf numFmtId="0" fontId="51" fillId="8" borderId="1" xfId="0" applyFont="1" applyFill="1" applyBorder="1" applyAlignment="1">
      <alignment horizontal="center"/>
    </xf>
    <xf numFmtId="0" fontId="30" fillId="8" borderId="1" xfId="0" applyFont="1" applyFill="1" applyBorder="1" applyAlignment="1">
      <alignment horizontal="center"/>
    </xf>
    <xf numFmtId="0" fontId="52" fillId="8" borderId="1" xfId="0" applyFont="1" applyFill="1" applyBorder="1" applyAlignment="1">
      <alignment horizontal="center"/>
    </xf>
    <xf numFmtId="0" fontId="22" fillId="0" borderId="12" xfId="0" applyFont="1" applyFill="1" applyBorder="1"/>
    <xf numFmtId="0" fontId="23" fillId="8" borderId="1" xfId="0" applyFont="1" applyFill="1" applyBorder="1" applyAlignment="1" applyProtection="1">
      <alignment horizontal="center"/>
    </xf>
    <xf numFmtId="0" fontId="4" fillId="0" borderId="0" xfId="1" quotePrefix="1" applyFont="1" applyFill="1" applyBorder="1" applyAlignment="1">
      <alignment horizontal="right" vertical="center"/>
    </xf>
    <xf numFmtId="0" fontId="53" fillId="8" borderId="3" xfId="0" applyFont="1" applyFill="1" applyBorder="1" applyAlignment="1">
      <alignment horizontal="center"/>
    </xf>
    <xf numFmtId="0" fontId="22" fillId="17" borderId="3" xfId="0" applyFont="1" applyFill="1" applyBorder="1"/>
    <xf numFmtId="0" fontId="22" fillId="17" borderId="2" xfId="0" applyFont="1" applyFill="1" applyBorder="1"/>
    <xf numFmtId="0" fontId="4" fillId="0" borderId="1" xfId="1" quotePrefix="1" applyFont="1" applyFill="1" applyBorder="1" applyAlignment="1">
      <alignment horizontal="right" vertical="center"/>
    </xf>
    <xf numFmtId="0" fontId="22" fillId="17" borderId="1" xfId="0" applyFont="1" applyFill="1" applyBorder="1" applyProtection="1">
      <protection locked="0"/>
    </xf>
    <xf numFmtId="0" fontId="23" fillId="8" borderId="1" xfId="1" applyFont="1" applyFill="1" applyBorder="1" applyAlignment="1">
      <alignment horizontal="center" vertical="center"/>
    </xf>
    <xf numFmtId="0" fontId="23" fillId="8" borderId="0" xfId="1" applyFont="1" applyFill="1" applyBorder="1" applyAlignment="1">
      <alignment horizontal="center" vertical="center"/>
    </xf>
    <xf numFmtId="0" fontId="23" fillId="8" borderId="0" xfId="1" applyFont="1" applyFill="1" applyAlignment="1">
      <alignment horizontal="center" vertical="center"/>
    </xf>
    <xf numFmtId="0" fontId="23" fillId="8" borderId="15" xfId="1" applyFont="1" applyFill="1" applyBorder="1" applyAlignment="1">
      <alignment horizontal="center" vertical="center"/>
    </xf>
    <xf numFmtId="0" fontId="30" fillId="0" borderId="0" xfId="1" applyFont="1" applyFill="1" applyBorder="1" applyAlignment="1">
      <alignment horizontal="center" vertical="center"/>
    </xf>
    <xf numFmtId="0" fontId="22" fillId="9" borderId="7" xfId="0" applyFont="1" applyFill="1" applyBorder="1"/>
    <xf numFmtId="0" fontId="25" fillId="0" borderId="1" xfId="1" applyFont="1" applyBorder="1">
      <alignment vertical="center"/>
    </xf>
    <xf numFmtId="0" fontId="4" fillId="0" borderId="1" xfId="1" applyFont="1" applyBorder="1" applyAlignment="1">
      <alignment horizontal="center" vertical="center"/>
    </xf>
    <xf numFmtId="0" fontId="4" fillId="38" borderId="1" xfId="1" applyFont="1" applyFill="1" applyBorder="1">
      <alignment vertical="center"/>
    </xf>
    <xf numFmtId="0" fontId="55" fillId="0" borderId="1" xfId="1" applyFont="1" applyBorder="1">
      <alignment vertical="center"/>
    </xf>
    <xf numFmtId="0" fontId="4" fillId="38" borderId="1" xfId="1" applyFont="1" applyFill="1" applyBorder="1" applyAlignment="1">
      <alignment horizontal="center" vertical="center"/>
    </xf>
    <xf numFmtId="0" fontId="22" fillId="38" borderId="1" xfId="0" applyFont="1" applyFill="1" applyBorder="1"/>
    <xf numFmtId="0" fontId="4" fillId="38" borderId="1" xfId="1" applyFont="1" applyFill="1" applyBorder="1" applyAlignment="1">
      <alignment vertical="center"/>
    </xf>
    <xf numFmtId="176" fontId="22" fillId="9" borderId="1" xfId="0" applyNumberFormat="1" applyFont="1" applyFill="1" applyBorder="1"/>
    <xf numFmtId="0" fontId="4" fillId="38" borderId="1" xfId="1" applyNumberFormat="1" applyFont="1" applyFill="1" applyBorder="1">
      <alignment vertical="center"/>
    </xf>
    <xf numFmtId="0" fontId="3" fillId="12" borderId="1" xfId="1" applyNumberFormat="1" applyFont="1" applyFill="1" applyBorder="1">
      <alignment vertical="center"/>
    </xf>
    <xf numFmtId="0" fontId="24" fillId="12" borderId="1" xfId="1" applyNumberFormat="1" applyFont="1" applyFill="1" applyBorder="1">
      <alignment vertical="center"/>
    </xf>
    <xf numFmtId="180" fontId="26" fillId="30" borderId="1" xfId="1" applyNumberFormat="1" applyFont="1" applyFill="1" applyBorder="1">
      <alignment vertical="center"/>
    </xf>
    <xf numFmtId="0" fontId="25" fillId="9" borderId="1" xfId="1" applyNumberFormat="1" applyFont="1" applyFill="1" applyBorder="1">
      <alignment vertical="center"/>
    </xf>
    <xf numFmtId="0" fontId="25" fillId="38" borderId="1" xfId="1" applyNumberFormat="1" applyFont="1" applyFill="1" applyBorder="1">
      <alignment vertical="center"/>
    </xf>
    <xf numFmtId="14" fontId="4" fillId="0" borderId="0" xfId="1" applyNumberFormat="1" applyFont="1">
      <alignment vertical="center"/>
    </xf>
    <xf numFmtId="0" fontId="13" fillId="0" borderId="0" xfId="1" applyFont="1">
      <alignment vertical="center"/>
    </xf>
    <xf numFmtId="0" fontId="25" fillId="24" borderId="1" xfId="1" applyFont="1" applyFill="1" applyBorder="1">
      <alignment vertical="center"/>
    </xf>
    <xf numFmtId="0" fontId="25" fillId="17" borderId="1" xfId="1" applyNumberFormat="1" applyFont="1" applyFill="1" applyBorder="1" applyAlignment="1">
      <alignment horizontal="center" vertical="center"/>
    </xf>
    <xf numFmtId="0" fontId="13" fillId="0" borderId="0" xfId="1" applyFont="1" applyAlignment="1">
      <alignment horizontal="right" vertical="center"/>
    </xf>
    <xf numFmtId="0" fontId="10" fillId="4" borderId="1" xfId="0" applyFont="1" applyFill="1" applyBorder="1" applyAlignment="1">
      <alignment horizontal="center"/>
    </xf>
    <xf numFmtId="0" fontId="3" fillId="18" borderId="1" xfId="0" applyFont="1" applyFill="1" applyBorder="1" applyAlignment="1">
      <alignment horizontal="center"/>
    </xf>
    <xf numFmtId="0" fontId="23" fillId="36" borderId="1" xfId="0" applyFont="1" applyFill="1" applyBorder="1" applyAlignment="1">
      <alignment horizontal="center"/>
    </xf>
    <xf numFmtId="0" fontId="10" fillId="19" borderId="1" xfId="0" applyFont="1" applyFill="1" applyBorder="1" applyAlignment="1">
      <alignment horizontal="center"/>
    </xf>
    <xf numFmtId="0" fontId="30" fillId="14" borderId="1" xfId="0" applyFont="1" applyFill="1" applyBorder="1" applyAlignment="1">
      <alignment horizontal="center"/>
    </xf>
    <xf numFmtId="0" fontId="23" fillId="35" borderId="1" xfId="0" applyFont="1" applyFill="1" applyBorder="1" applyAlignment="1">
      <alignment horizontal="center"/>
    </xf>
    <xf numFmtId="0" fontId="23" fillId="34" borderId="1" xfId="0" applyFont="1" applyFill="1" applyBorder="1" applyAlignment="1">
      <alignment horizontal="center"/>
    </xf>
    <xf numFmtId="0" fontId="1" fillId="0" borderId="0" xfId="0" applyNumberFormat="1"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22" fillId="0" borderId="0" xfId="0" applyFont="1" applyAlignment="1">
      <alignment horizontal="left" vertical="top" wrapText="1"/>
    </xf>
    <xf numFmtId="0" fontId="3" fillId="2" borderId="7" xfId="0" applyFont="1" applyFill="1" applyBorder="1" applyAlignment="1" applyProtection="1">
      <alignment horizontal="center" vertical="center"/>
      <protection locked="0"/>
    </xf>
    <xf numFmtId="0" fontId="3" fillId="2" borderId="15" xfId="0" applyFont="1" applyFill="1" applyBorder="1" applyAlignment="1" applyProtection="1">
      <alignment horizontal="center" vertical="center"/>
      <protection locked="0"/>
    </xf>
    <xf numFmtId="0" fontId="37" fillId="8" borderId="1" xfId="0" applyFont="1" applyFill="1" applyBorder="1" applyAlignment="1">
      <alignment horizontal="center"/>
    </xf>
    <xf numFmtId="0" fontId="26" fillId="30" borderId="5" xfId="1" applyFont="1" applyFill="1" applyBorder="1" applyAlignment="1">
      <alignment horizontal="right" vertical="center"/>
    </xf>
    <xf numFmtId="0" fontId="26" fillId="30" borderId="4" xfId="1" applyFont="1" applyFill="1" applyBorder="1" applyAlignment="1">
      <alignment horizontal="right" vertical="center"/>
    </xf>
    <xf numFmtId="0" fontId="26" fillId="30" borderId="10" xfId="1" applyFont="1" applyFill="1" applyBorder="1" applyAlignment="1">
      <alignment horizontal="right" vertical="center"/>
    </xf>
    <xf numFmtId="0" fontId="26" fillId="30" borderId="7" xfId="1" applyFont="1" applyFill="1" applyBorder="1" applyAlignment="1">
      <alignment horizontal="right" vertical="center"/>
    </xf>
    <xf numFmtId="0" fontId="26" fillId="30" borderId="14" xfId="1" applyFont="1" applyFill="1" applyBorder="1" applyAlignment="1">
      <alignment horizontal="right" vertical="center"/>
    </xf>
    <xf numFmtId="0" fontId="26" fillId="30" borderId="15" xfId="1" applyFont="1" applyFill="1" applyBorder="1" applyAlignment="1">
      <alignment horizontal="right" vertical="center"/>
    </xf>
    <xf numFmtId="0" fontId="8" fillId="8" borderId="5" xfId="1" applyFont="1" applyFill="1" applyBorder="1" applyAlignment="1">
      <alignment horizontal="right" vertical="center"/>
    </xf>
    <xf numFmtId="0" fontId="8" fillId="8" borderId="4" xfId="1" applyFont="1" applyFill="1" applyBorder="1" applyAlignment="1">
      <alignment horizontal="right" vertical="center"/>
    </xf>
    <xf numFmtId="0" fontId="8" fillId="8" borderId="10" xfId="1" applyFont="1" applyFill="1" applyBorder="1" applyAlignment="1">
      <alignment horizontal="right" vertical="center"/>
    </xf>
    <xf numFmtId="0" fontId="26" fillId="8" borderId="7" xfId="1" applyFont="1" applyFill="1" applyBorder="1" applyAlignment="1">
      <alignment horizontal="right" vertical="center"/>
    </xf>
    <xf numFmtId="0" fontId="26" fillId="8" borderId="14" xfId="1" applyFont="1" applyFill="1" applyBorder="1" applyAlignment="1">
      <alignment horizontal="right" vertical="center"/>
    </xf>
    <xf numFmtId="0" fontId="26" fillId="8" borderId="15" xfId="1" applyFont="1" applyFill="1" applyBorder="1" applyAlignment="1">
      <alignment horizontal="right" vertical="center"/>
    </xf>
    <xf numFmtId="0" fontId="8" fillId="8" borderId="7" xfId="1" applyFont="1" applyFill="1" applyBorder="1" applyAlignment="1">
      <alignment horizontal="left" vertical="center"/>
    </xf>
    <xf numFmtId="0" fontId="8" fillId="8" borderId="14" xfId="1" applyFont="1" applyFill="1" applyBorder="1" applyAlignment="1">
      <alignment horizontal="left" vertical="center"/>
    </xf>
    <xf numFmtId="0" fontId="8" fillId="8" borderId="15" xfId="1" applyFont="1" applyFill="1" applyBorder="1" applyAlignment="1">
      <alignment horizontal="left" vertical="center"/>
    </xf>
    <xf numFmtId="180" fontId="4" fillId="9" borderId="7" xfId="1" applyNumberFormat="1" applyFont="1" applyFill="1" applyBorder="1" applyAlignment="1">
      <alignment horizontal="right" vertical="center"/>
    </xf>
    <xf numFmtId="180" fontId="4" fillId="9" borderId="15" xfId="1" applyNumberFormat="1" applyFont="1" applyFill="1" applyBorder="1" applyAlignment="1">
      <alignment horizontal="right" vertical="center"/>
    </xf>
    <xf numFmtId="0" fontId="8" fillId="8" borderId="5" xfId="1" applyFont="1" applyFill="1" applyBorder="1" applyAlignment="1">
      <alignment horizontal="left" vertical="center"/>
    </xf>
    <xf numFmtId="0" fontId="8" fillId="8" borderId="10" xfId="1" applyFont="1" applyFill="1" applyBorder="1" applyAlignment="1">
      <alignment horizontal="left" vertical="center"/>
    </xf>
    <xf numFmtId="0" fontId="4" fillId="10" borderId="5" xfId="1" applyFont="1" applyFill="1" applyBorder="1" applyAlignment="1">
      <alignment horizontal="center" vertical="center"/>
    </xf>
    <xf numFmtId="0" fontId="4" fillId="10" borderId="4" xfId="1" applyFont="1" applyFill="1" applyBorder="1" applyAlignment="1">
      <alignment horizontal="center" vertical="center"/>
    </xf>
    <xf numFmtId="0" fontId="4" fillId="10" borderId="10" xfId="1" applyFont="1" applyFill="1" applyBorder="1" applyAlignment="1">
      <alignment horizontal="center" vertical="center"/>
    </xf>
    <xf numFmtId="0" fontId="4" fillId="10" borderId="6" xfId="1" applyFont="1" applyFill="1" applyBorder="1" applyAlignment="1">
      <alignment horizontal="center" vertical="center"/>
    </xf>
    <xf numFmtId="0" fontId="4" fillId="10" borderId="9" xfId="1" applyFont="1" applyFill="1" applyBorder="1" applyAlignment="1">
      <alignment horizontal="center" vertical="center"/>
    </xf>
    <xf numFmtId="0" fontId="4" fillId="10" borderId="11" xfId="1" applyFont="1" applyFill="1" applyBorder="1" applyAlignment="1">
      <alignment horizontal="center" vertical="center"/>
    </xf>
    <xf numFmtId="0" fontId="8" fillId="8" borderId="6" xfId="1" applyFont="1" applyFill="1" applyBorder="1" applyAlignment="1">
      <alignment horizontal="left" vertical="center" wrapText="1"/>
    </xf>
    <xf numFmtId="0" fontId="8" fillId="8" borderId="11" xfId="1" applyFont="1" applyFill="1" applyBorder="1" applyAlignment="1">
      <alignment horizontal="left" vertical="center" wrapText="1"/>
    </xf>
    <xf numFmtId="0" fontId="4" fillId="10" borderId="7" xfId="1" applyFont="1" applyFill="1" applyBorder="1" applyAlignment="1">
      <alignment horizontal="center" vertical="center"/>
    </xf>
    <xf numFmtId="0" fontId="4" fillId="10" borderId="14" xfId="1" applyFont="1" applyFill="1" applyBorder="1" applyAlignment="1">
      <alignment horizontal="center" vertical="center"/>
    </xf>
    <xf numFmtId="0" fontId="4" fillId="10" borderId="15" xfId="1" applyFont="1" applyFill="1" applyBorder="1" applyAlignment="1">
      <alignment horizontal="center" vertical="center"/>
    </xf>
    <xf numFmtId="0" fontId="3" fillId="2" borderId="3" xfId="1" applyFont="1" applyFill="1" applyBorder="1" applyAlignment="1" applyProtection="1">
      <alignment horizontal="right" vertical="center"/>
      <protection locked="0"/>
    </xf>
    <xf numFmtId="0" fontId="3" fillId="2" borderId="2" xfId="1" applyFont="1" applyFill="1" applyBorder="1" applyAlignment="1" applyProtection="1">
      <alignment horizontal="right" vertical="center"/>
      <protection locked="0"/>
    </xf>
    <xf numFmtId="0" fontId="4" fillId="0" borderId="1" xfId="1" applyFont="1" applyBorder="1" applyAlignment="1">
      <alignment horizontal="center" vertical="center"/>
    </xf>
    <xf numFmtId="0" fontId="37" fillId="7" borderId="3" xfId="1" applyFont="1" applyFill="1" applyBorder="1" applyAlignment="1">
      <alignment horizontal="center" vertical="center"/>
    </xf>
    <xf numFmtId="0" fontId="37" fillId="7" borderId="1" xfId="1" applyFont="1" applyFill="1" applyBorder="1" applyAlignment="1">
      <alignment horizontal="center" vertical="center"/>
    </xf>
    <xf numFmtId="0" fontId="23" fillId="6" borderId="14" xfId="1" applyFont="1" applyFill="1" applyBorder="1" applyAlignment="1">
      <alignment horizontal="center" vertical="center"/>
    </xf>
    <xf numFmtId="0" fontId="23" fillId="6" borderId="15" xfId="1" applyFont="1" applyFill="1" applyBorder="1" applyAlignment="1">
      <alignment horizontal="center" vertical="center"/>
    </xf>
    <xf numFmtId="0" fontId="36" fillId="8" borderId="7" xfId="0" applyFont="1" applyFill="1" applyBorder="1" applyAlignment="1">
      <alignment horizontal="center"/>
    </xf>
    <xf numFmtId="0" fontId="36" fillId="8" borderId="14" xfId="0" applyFont="1" applyFill="1" applyBorder="1" applyAlignment="1">
      <alignment horizontal="center"/>
    </xf>
    <xf numFmtId="0" fontId="36" fillId="8" borderId="15" xfId="0" applyFont="1" applyFill="1" applyBorder="1" applyAlignment="1">
      <alignment horizontal="center"/>
    </xf>
    <xf numFmtId="0" fontId="9" fillId="8" borderId="3" xfId="1" applyFont="1" applyFill="1" applyBorder="1" applyAlignment="1">
      <alignment horizontal="left" vertical="center"/>
    </xf>
    <xf numFmtId="0" fontId="9" fillId="8" borderId="2" xfId="1" applyFont="1" applyFill="1" applyBorder="1" applyAlignment="1">
      <alignment horizontal="left" vertical="center"/>
    </xf>
    <xf numFmtId="0" fontId="8" fillId="8" borderId="1" xfId="1" applyFont="1" applyFill="1" applyBorder="1" applyAlignment="1">
      <alignment horizontal="left" vertical="center"/>
    </xf>
    <xf numFmtId="0" fontId="37" fillId="8" borderId="0" xfId="1" applyFont="1" applyFill="1" applyBorder="1" applyAlignment="1">
      <alignment horizontal="center" vertical="center"/>
    </xf>
    <xf numFmtId="0" fontId="9" fillId="8" borderId="1" xfId="1" applyFont="1" applyFill="1" applyBorder="1" applyAlignment="1">
      <alignment horizontal="left" vertical="center"/>
    </xf>
    <xf numFmtId="0" fontId="23" fillId="8" borderId="10" xfId="0" applyFont="1" applyFill="1" applyBorder="1" applyAlignment="1">
      <alignment horizontal="center" vertical="center"/>
    </xf>
    <xf numFmtId="0" fontId="23" fillId="8" borderId="11" xfId="0" applyFont="1" applyFill="1" applyBorder="1" applyAlignment="1">
      <alignment horizontal="center" vertical="center"/>
    </xf>
    <xf numFmtId="0" fontId="23" fillId="37" borderId="1" xfId="0" applyFont="1" applyFill="1" applyBorder="1" applyAlignment="1">
      <alignment horizontal="center"/>
    </xf>
    <xf numFmtId="0" fontId="23" fillId="22" borderId="1" xfId="1" applyFont="1" applyFill="1" applyBorder="1" applyAlignment="1">
      <alignment horizontal="left" vertical="center"/>
    </xf>
    <xf numFmtId="0" fontId="8" fillId="8" borderId="5" xfId="1" applyFont="1" applyFill="1" applyBorder="1" applyAlignment="1">
      <alignment horizontal="left" vertical="center" wrapText="1"/>
    </xf>
    <xf numFmtId="0" fontId="8" fillId="8" borderId="10" xfId="1" applyFont="1" applyFill="1" applyBorder="1" applyAlignment="1">
      <alignment horizontal="left" vertical="center" wrapText="1"/>
    </xf>
    <xf numFmtId="0" fontId="25" fillId="9" borderId="1" xfId="0" applyFont="1" applyFill="1" applyBorder="1" applyAlignment="1">
      <alignment horizontal="center"/>
    </xf>
    <xf numFmtId="0" fontId="25" fillId="0" borderId="9" xfId="0" applyFont="1" applyBorder="1" applyAlignment="1">
      <alignment horizontal="center"/>
    </xf>
  </cellXfs>
  <cellStyles count="2">
    <cellStyle name="標準 2" xfId="1"/>
    <cellStyle name="常规" xfId="0" builtinId="0"/>
  </cellStyles>
  <dxfs count="61">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mruColors>
      <color rgb="FFDAEEF3"/>
      <color rgb="FF0099FF"/>
      <color rgb="FF66FF33"/>
      <color rgb="FF9933FF"/>
      <color rgb="FFCC00CC"/>
      <color rgb="FF660066"/>
      <color rgb="FFFF33CC"/>
      <color rgb="FF6666FF"/>
      <color rgb="FFFF00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11</xdr:col>
      <xdr:colOff>333375</xdr:colOff>
      <xdr:row>0</xdr:row>
      <xdr:rowOff>104775</xdr:rowOff>
    </xdr:from>
    <xdr:to>
      <xdr:col>11</xdr:col>
      <xdr:colOff>666750</xdr:colOff>
      <xdr:row>1</xdr:row>
      <xdr:rowOff>142875</xdr:rowOff>
    </xdr:to>
    <xdr:sp macro="" textlink="">
      <xdr:nvSpPr>
        <xdr:cNvPr id="28675" name="Text Box 3"/>
        <xdr:cNvSpPr txBox="1">
          <a:spLocks noChangeArrowheads="1"/>
        </xdr:cNvSpPr>
      </xdr:nvSpPr>
      <xdr:spPr bwMode="auto">
        <a:xfrm>
          <a:off x="7229475" y="104775"/>
          <a:ext cx="333375" cy="228600"/>
        </a:xfrm>
        <a:prstGeom prst="rect">
          <a:avLst/>
        </a:prstGeom>
        <a:solidFill>
          <a:srgbClr val="FFFF99"/>
        </a:solidFill>
        <a:ln w="9525">
          <a:solidFill>
            <a:srgbClr val="000000"/>
          </a:solidFill>
          <a:miter lim="800000"/>
          <a:headEnd/>
          <a:tailEnd/>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4</a:t>
          </a:r>
          <a:endParaRPr lang="ja-JP" altLang="en-US" b="0">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tabColor indexed="8"/>
    <pageSetUpPr autoPageBreaks="0"/>
  </sheetPr>
  <dimension ref="A1:T119"/>
  <sheetViews>
    <sheetView showGridLines="0" zoomScale="80" zoomScaleNormal="80" workbookViewId="0">
      <pane xSplit="2" ySplit="2" topLeftCell="C90" activePane="bottomRight" state="frozen"/>
      <selection pane="topRight" activeCell="C1" sqref="C1"/>
      <selection pane="bottomLeft" activeCell="A3" sqref="A3"/>
      <selection pane="bottomRight" activeCell="F123" sqref="F123"/>
    </sheetView>
  </sheetViews>
  <sheetFormatPr defaultColWidth="9" defaultRowHeight="14.25"/>
  <cols>
    <col min="1" max="1" width="9" style="34"/>
    <col min="2" max="2" width="2.375" style="34" customWidth="1"/>
    <col min="3" max="3" width="5" style="34" customWidth="1"/>
    <col min="4" max="4" width="49.375" style="34" customWidth="1"/>
    <col min="5" max="5" width="4.375" style="34" customWidth="1"/>
    <col min="6" max="6" width="57" style="34" customWidth="1"/>
    <col min="7" max="7" width="4.625" style="34" customWidth="1"/>
    <col min="8" max="8" width="72.75" style="34" customWidth="1"/>
    <col min="9" max="9" width="4.625" style="34" customWidth="1"/>
    <col min="10" max="10" width="57.625" style="34" customWidth="1"/>
    <col min="11" max="11" width="4.625" style="34" customWidth="1"/>
    <col min="12" max="12" width="57.625" style="34" customWidth="1"/>
    <col min="13" max="13" width="4.625" style="34" customWidth="1"/>
    <col min="14" max="14" width="57.625" style="34" customWidth="1"/>
    <col min="15" max="15" width="4.625" style="34" customWidth="1"/>
    <col min="16" max="16" width="68.375" style="34" customWidth="1"/>
    <col min="17" max="17" width="4.625" style="34" customWidth="1"/>
    <col min="18" max="18" width="53.375" style="34" customWidth="1"/>
    <col min="19" max="19" width="5.625" style="34" customWidth="1"/>
    <col min="20" max="20" width="42.875" style="34" customWidth="1"/>
    <col min="21" max="16384" width="9" style="34"/>
  </cols>
  <sheetData>
    <row r="1" spans="1:20" ht="15">
      <c r="A1" s="108" t="s">
        <v>11</v>
      </c>
      <c r="C1" s="479" t="s">
        <v>2</v>
      </c>
      <c r="D1" s="479"/>
      <c r="E1" s="480" t="s">
        <v>85</v>
      </c>
      <c r="F1" s="480"/>
      <c r="G1" s="481" t="s">
        <v>1426</v>
      </c>
      <c r="H1" s="481"/>
      <c r="I1" s="484" t="s">
        <v>1127</v>
      </c>
      <c r="J1" s="484"/>
      <c r="K1" s="484" t="s">
        <v>1129</v>
      </c>
      <c r="L1" s="484"/>
      <c r="M1" s="485" t="s">
        <v>1443</v>
      </c>
      <c r="N1" s="485"/>
      <c r="O1" s="483" t="s">
        <v>241</v>
      </c>
      <c r="P1" s="483"/>
      <c r="Q1" s="483" t="s">
        <v>620</v>
      </c>
      <c r="R1" s="483"/>
      <c r="S1" s="482" t="s">
        <v>9</v>
      </c>
      <c r="T1" s="482"/>
    </row>
    <row r="2" spans="1:20" ht="15">
      <c r="A2" s="108"/>
      <c r="C2" s="109" t="s">
        <v>4</v>
      </c>
      <c r="D2" s="109" t="s">
        <v>6</v>
      </c>
      <c r="E2" s="110" t="s">
        <v>4</v>
      </c>
      <c r="F2" s="110" t="s">
        <v>6</v>
      </c>
      <c r="G2" s="428" t="s">
        <v>7</v>
      </c>
      <c r="H2" s="428" t="s">
        <v>8</v>
      </c>
      <c r="I2" s="427" t="s">
        <v>7</v>
      </c>
      <c r="J2" s="427" t="s">
        <v>8</v>
      </c>
      <c r="K2" s="427" t="s">
        <v>7</v>
      </c>
      <c r="L2" s="427" t="s">
        <v>8</v>
      </c>
      <c r="M2" s="426" t="s">
        <v>4</v>
      </c>
      <c r="N2" s="426" t="s">
        <v>6</v>
      </c>
      <c r="O2" s="104" t="s">
        <v>4</v>
      </c>
      <c r="P2" s="104" t="s">
        <v>6</v>
      </c>
      <c r="Q2" s="104" t="s">
        <v>4</v>
      </c>
      <c r="R2" s="104" t="s">
        <v>6</v>
      </c>
      <c r="S2" s="111" t="s">
        <v>7</v>
      </c>
      <c r="T2" s="111" t="s">
        <v>8</v>
      </c>
    </row>
    <row r="3" spans="1:20">
      <c r="A3" s="34" t="s">
        <v>3</v>
      </c>
      <c r="C3" s="34" t="s">
        <v>5</v>
      </c>
      <c r="D3" s="34" t="s">
        <v>10</v>
      </c>
      <c r="E3" s="34" t="s">
        <v>5</v>
      </c>
      <c r="F3" s="34" t="s">
        <v>10</v>
      </c>
      <c r="G3" s="34" t="s">
        <v>5</v>
      </c>
      <c r="H3" s="34" t="s">
        <v>10</v>
      </c>
      <c r="O3" s="34" t="s">
        <v>5</v>
      </c>
      <c r="P3" s="34" t="s">
        <v>10</v>
      </c>
      <c r="S3" s="34" t="s">
        <v>5</v>
      </c>
      <c r="T3" s="34" t="s">
        <v>10</v>
      </c>
    </row>
    <row r="5" spans="1:20">
      <c r="A5" s="34" t="s">
        <v>558</v>
      </c>
      <c r="E5" s="34" t="s">
        <v>553</v>
      </c>
      <c r="F5" s="34" t="s">
        <v>554</v>
      </c>
      <c r="G5" s="34" t="s">
        <v>555</v>
      </c>
      <c r="H5" s="34" t="s">
        <v>587</v>
      </c>
      <c r="O5" s="34" t="s">
        <v>555</v>
      </c>
      <c r="P5" s="34" t="s">
        <v>591</v>
      </c>
      <c r="S5" s="34" t="s">
        <v>556</v>
      </c>
      <c r="T5" s="34" t="s">
        <v>557</v>
      </c>
    </row>
    <row r="6" spans="1:20">
      <c r="F6" s="34" t="s">
        <v>559</v>
      </c>
      <c r="H6" s="34" t="s">
        <v>588</v>
      </c>
    </row>
    <row r="7" spans="1:20">
      <c r="F7" s="34" t="s">
        <v>560</v>
      </c>
    </row>
    <row r="9" spans="1:20">
      <c r="A9" s="34" t="s">
        <v>602</v>
      </c>
      <c r="C9" s="34" t="s">
        <v>623</v>
      </c>
      <c r="D9" s="34" t="s">
        <v>624</v>
      </c>
      <c r="E9" s="34" t="s">
        <v>606</v>
      </c>
      <c r="F9" s="34" t="s">
        <v>622</v>
      </c>
      <c r="G9" s="34" t="s">
        <v>603</v>
      </c>
      <c r="H9" s="34" t="s">
        <v>604</v>
      </c>
      <c r="O9" s="34" t="s">
        <v>605</v>
      </c>
      <c r="P9" s="34" t="s">
        <v>607</v>
      </c>
      <c r="Q9" s="34" t="s">
        <v>5</v>
      </c>
      <c r="R9" s="34" t="s">
        <v>621</v>
      </c>
    </row>
    <row r="11" spans="1:20">
      <c r="A11" s="34" t="s">
        <v>627</v>
      </c>
      <c r="G11" s="34" t="s">
        <v>628</v>
      </c>
      <c r="H11" s="34" t="s">
        <v>629</v>
      </c>
    </row>
    <row r="13" spans="1:20">
      <c r="A13" s="34" t="s">
        <v>630</v>
      </c>
      <c r="E13" s="34" t="s">
        <v>631</v>
      </c>
      <c r="F13" s="34" t="s">
        <v>632</v>
      </c>
    </row>
    <row r="14" spans="1:20">
      <c r="F14" s="34" t="s">
        <v>633</v>
      </c>
    </row>
    <row r="16" spans="1:20">
      <c r="A16" s="34" t="s">
        <v>638</v>
      </c>
      <c r="G16" s="34" t="s">
        <v>635</v>
      </c>
      <c r="H16" s="34" t="s">
        <v>636</v>
      </c>
      <c r="O16" s="34" t="s">
        <v>637</v>
      </c>
      <c r="P16" s="34" t="s">
        <v>636</v>
      </c>
    </row>
    <row r="18" spans="1:18">
      <c r="A18" s="34" t="s">
        <v>639</v>
      </c>
      <c r="G18" s="34" t="s">
        <v>640</v>
      </c>
      <c r="H18" s="34" t="s">
        <v>641</v>
      </c>
    </row>
    <row r="20" spans="1:18">
      <c r="A20" s="34" t="s">
        <v>716</v>
      </c>
      <c r="C20" s="34" t="s">
        <v>995</v>
      </c>
      <c r="D20" s="34" t="s">
        <v>997</v>
      </c>
      <c r="E20" s="34" t="s">
        <v>973</v>
      </c>
      <c r="F20" s="34" t="s">
        <v>977</v>
      </c>
      <c r="G20" s="34" t="s">
        <v>795</v>
      </c>
      <c r="H20" s="34" t="s">
        <v>1006</v>
      </c>
      <c r="O20" s="34" t="s">
        <v>972</v>
      </c>
      <c r="P20" s="34" t="s">
        <v>1006</v>
      </c>
      <c r="Q20" s="34" t="s">
        <v>717</v>
      </c>
      <c r="R20" s="34" t="s">
        <v>718</v>
      </c>
    </row>
    <row r="21" spans="1:18">
      <c r="F21" s="34" t="s">
        <v>976</v>
      </c>
      <c r="H21" s="34" t="s">
        <v>968</v>
      </c>
      <c r="R21" s="34" t="s">
        <v>971</v>
      </c>
    </row>
    <row r="22" spans="1:18">
      <c r="F22" s="34" t="s">
        <v>975</v>
      </c>
      <c r="H22" s="34" t="s">
        <v>969</v>
      </c>
    </row>
    <row r="23" spans="1:18">
      <c r="F23" s="34" t="s">
        <v>974</v>
      </c>
    </row>
    <row r="25" spans="1:18">
      <c r="A25" s="34" t="s">
        <v>1015</v>
      </c>
      <c r="G25" s="34" t="s">
        <v>1016</v>
      </c>
      <c r="H25" s="34" t="s">
        <v>1017</v>
      </c>
      <c r="I25" s="34" t="s">
        <v>1073</v>
      </c>
      <c r="J25" s="34" t="s">
        <v>1128</v>
      </c>
      <c r="K25" s="34" t="s">
        <v>1073</v>
      </c>
      <c r="L25" s="34" t="s">
        <v>1128</v>
      </c>
      <c r="Q25" s="34" t="s">
        <v>1125</v>
      </c>
      <c r="R25" s="34" t="s">
        <v>1126</v>
      </c>
    </row>
    <row r="27" spans="1:18">
      <c r="A27" s="34" t="s">
        <v>1160</v>
      </c>
      <c r="Q27" s="34" t="s">
        <v>1133</v>
      </c>
      <c r="R27" s="34" t="s">
        <v>1159</v>
      </c>
    </row>
    <row r="29" spans="1:18">
      <c r="A29" s="34" t="s">
        <v>1161</v>
      </c>
      <c r="E29" s="34" t="s">
        <v>1162</v>
      </c>
      <c r="F29" s="34" t="s">
        <v>1163</v>
      </c>
      <c r="G29" s="34" t="s">
        <v>1164</v>
      </c>
      <c r="H29" s="34" t="s">
        <v>1166</v>
      </c>
      <c r="K29" s="34" t="s">
        <v>1257</v>
      </c>
      <c r="L29" s="34" t="s">
        <v>1166</v>
      </c>
      <c r="O29" s="34" t="s">
        <v>1255</v>
      </c>
      <c r="P29" s="34" t="s">
        <v>1166</v>
      </c>
    </row>
    <row r="30" spans="1:18">
      <c r="F30" s="34" t="s">
        <v>1268</v>
      </c>
      <c r="H30" s="34" t="s">
        <v>1165</v>
      </c>
      <c r="L30" s="34" t="s">
        <v>1258</v>
      </c>
      <c r="P30" s="34" t="s">
        <v>1256</v>
      </c>
    </row>
    <row r="31" spans="1:18">
      <c r="F31" s="34" t="s">
        <v>1269</v>
      </c>
    </row>
    <row r="32" spans="1:18">
      <c r="F32" s="34" t="s">
        <v>1271</v>
      </c>
    </row>
    <row r="33" spans="1:16">
      <c r="F33" s="34" t="s">
        <v>1278</v>
      </c>
    </row>
    <row r="34" spans="1:16">
      <c r="F34" s="34" t="s">
        <v>1277</v>
      </c>
    </row>
    <row r="35" spans="1:16">
      <c r="F35" s="34" t="s">
        <v>1275</v>
      </c>
    </row>
    <row r="36" spans="1:16">
      <c r="F36" s="34" t="s">
        <v>1274</v>
      </c>
    </row>
    <row r="37" spans="1:16">
      <c r="F37" s="34" t="s">
        <v>1273</v>
      </c>
    </row>
    <row r="38" spans="1:16">
      <c r="F38" s="34" t="s">
        <v>1259</v>
      </c>
    </row>
    <row r="39" spans="1:16">
      <c r="F39" s="34" t="s">
        <v>1262</v>
      </c>
    </row>
    <row r="40" spans="1:16">
      <c r="F40" s="34" t="s">
        <v>1261</v>
      </c>
    </row>
    <row r="41" spans="1:16">
      <c r="F41" s="34" t="s">
        <v>1270</v>
      </c>
    </row>
    <row r="42" spans="1:16">
      <c r="F42" s="34" t="s">
        <v>1272</v>
      </c>
    </row>
    <row r="43" spans="1:16">
      <c r="F43" s="34" t="s">
        <v>1276</v>
      </c>
    </row>
    <row r="45" spans="1:16">
      <c r="A45" s="34" t="s">
        <v>1280</v>
      </c>
      <c r="O45" s="34" t="s">
        <v>1281</v>
      </c>
      <c r="P45" s="34" t="s">
        <v>1282</v>
      </c>
    </row>
    <row r="46" spans="1:16">
      <c r="P46" s="34" t="s">
        <v>1283</v>
      </c>
    </row>
    <row r="48" spans="1:16">
      <c r="A48" s="34" t="s">
        <v>1286</v>
      </c>
      <c r="G48" s="34" t="s">
        <v>1290</v>
      </c>
      <c r="H48" s="34" t="s">
        <v>1288</v>
      </c>
      <c r="O48" s="34" t="s">
        <v>1287</v>
      </c>
      <c r="P48" s="34" t="s">
        <v>1289</v>
      </c>
    </row>
    <row r="50" spans="1:16">
      <c r="A50" s="34" t="s">
        <v>1294</v>
      </c>
      <c r="E50" s="34" t="s">
        <v>1295</v>
      </c>
      <c r="F50" s="34" t="s">
        <v>1296</v>
      </c>
      <c r="G50" s="34" t="s">
        <v>1298</v>
      </c>
      <c r="H50" s="34" t="s">
        <v>1301</v>
      </c>
      <c r="K50" s="34" t="s">
        <v>1323</v>
      </c>
      <c r="L50" s="34" t="s">
        <v>1324</v>
      </c>
      <c r="O50" s="34" t="s">
        <v>1325</v>
      </c>
      <c r="P50" s="34" t="s">
        <v>1301</v>
      </c>
    </row>
    <row r="51" spans="1:16">
      <c r="F51" s="34" t="s">
        <v>1297</v>
      </c>
      <c r="H51" s="34" t="s">
        <v>1333</v>
      </c>
      <c r="P51" s="34" t="s">
        <v>1331</v>
      </c>
    </row>
    <row r="52" spans="1:16">
      <c r="F52" s="34" t="s">
        <v>1300</v>
      </c>
      <c r="P52" s="34" t="s">
        <v>1328</v>
      </c>
    </row>
    <row r="53" spans="1:16">
      <c r="P53" s="34" t="s">
        <v>1329</v>
      </c>
    </row>
    <row r="55" spans="1:16">
      <c r="A55" s="34" t="s">
        <v>1343</v>
      </c>
      <c r="E55" s="34" t="s">
        <v>1344</v>
      </c>
      <c r="F55" s="34" t="s">
        <v>1345</v>
      </c>
      <c r="G55" s="34" t="s">
        <v>1346</v>
      </c>
      <c r="H55" s="34" t="s">
        <v>1347</v>
      </c>
    </row>
    <row r="57" spans="1:16">
      <c r="A57" s="34" t="s">
        <v>1348</v>
      </c>
      <c r="E57" s="34" t="s">
        <v>1349</v>
      </c>
      <c r="F57" s="34" t="s">
        <v>1350</v>
      </c>
    </row>
    <row r="59" spans="1:16">
      <c r="A59" s="34" t="s">
        <v>1356</v>
      </c>
      <c r="E59" s="34" t="s">
        <v>1446</v>
      </c>
      <c r="F59" s="34" t="s">
        <v>1447</v>
      </c>
      <c r="G59" s="34" t="s">
        <v>1354</v>
      </c>
      <c r="H59" s="34" t="s">
        <v>1355</v>
      </c>
      <c r="I59" s="34" t="s">
        <v>1424</v>
      </c>
      <c r="J59" s="34" t="s">
        <v>1425</v>
      </c>
      <c r="K59" s="34" t="s">
        <v>1437</v>
      </c>
      <c r="L59" s="34" t="s">
        <v>1438</v>
      </c>
      <c r="M59" s="34" t="s">
        <v>1073</v>
      </c>
      <c r="N59" s="34" t="s">
        <v>1128</v>
      </c>
    </row>
    <row r="60" spans="1:16">
      <c r="H60" s="34" t="s">
        <v>1414</v>
      </c>
      <c r="J60" s="34" t="s">
        <v>1432</v>
      </c>
    </row>
    <row r="61" spans="1:16">
      <c r="H61" s="34" t="s">
        <v>1415</v>
      </c>
    </row>
    <row r="62" spans="1:16">
      <c r="H62" s="34" t="s">
        <v>1418</v>
      </c>
    </row>
    <row r="63" spans="1:16">
      <c r="H63" s="34" t="s">
        <v>1429</v>
      </c>
    </row>
    <row r="65" spans="1:20">
      <c r="A65" s="34" t="s">
        <v>1448</v>
      </c>
      <c r="E65" s="34" t="s">
        <v>1449</v>
      </c>
      <c r="F65" s="34" t="s">
        <v>1450</v>
      </c>
      <c r="S65" s="34" t="s">
        <v>1452</v>
      </c>
      <c r="T65" s="34" t="s">
        <v>1453</v>
      </c>
    </row>
    <row r="67" spans="1:20">
      <c r="A67" s="34" t="s">
        <v>1456</v>
      </c>
      <c r="O67" s="34" t="s">
        <v>1454</v>
      </c>
      <c r="P67" s="34" t="s">
        <v>1455</v>
      </c>
    </row>
    <row r="69" spans="1:20">
      <c r="A69" s="34" t="s">
        <v>1457</v>
      </c>
      <c r="G69" s="34" t="s">
        <v>1462</v>
      </c>
      <c r="H69" s="34" t="s">
        <v>1463</v>
      </c>
      <c r="S69" s="34" t="s">
        <v>1458</v>
      </c>
      <c r="T69" s="34" t="s">
        <v>1459</v>
      </c>
    </row>
    <row r="71" spans="1:20">
      <c r="A71" s="34" t="s">
        <v>1466</v>
      </c>
      <c r="E71" s="34" t="s">
        <v>1467</v>
      </c>
      <c r="F71" s="34" t="s">
        <v>1542</v>
      </c>
    </row>
    <row r="72" spans="1:20">
      <c r="F72" s="34" t="s">
        <v>1468</v>
      </c>
    </row>
    <row r="73" spans="1:20">
      <c r="F73" s="34" t="s">
        <v>1470</v>
      </c>
    </row>
    <row r="75" spans="1:20">
      <c r="A75" s="34" t="s">
        <v>1471</v>
      </c>
      <c r="E75" s="34" t="s">
        <v>1488</v>
      </c>
      <c r="F75" s="34" t="s">
        <v>1489</v>
      </c>
      <c r="G75" s="34" t="s">
        <v>1472</v>
      </c>
      <c r="H75" s="34" t="s">
        <v>1474</v>
      </c>
      <c r="K75" s="34" t="s">
        <v>1476</v>
      </c>
      <c r="L75" s="34" t="s">
        <v>1477</v>
      </c>
      <c r="M75" s="34" t="s">
        <v>1479</v>
      </c>
      <c r="N75" s="34" t="s">
        <v>1480</v>
      </c>
      <c r="O75" s="34" t="s">
        <v>1298</v>
      </c>
      <c r="P75" s="34" t="s">
        <v>1482</v>
      </c>
    </row>
    <row r="76" spans="1:20">
      <c r="H76" s="34" t="s">
        <v>1473</v>
      </c>
      <c r="L76" s="34" t="s">
        <v>1478</v>
      </c>
      <c r="N76" s="34" t="s">
        <v>1481</v>
      </c>
      <c r="P76" s="34" t="s">
        <v>1483</v>
      </c>
    </row>
    <row r="78" spans="1:20">
      <c r="A78" s="34" t="s">
        <v>1490</v>
      </c>
      <c r="Q78" s="34" t="s">
        <v>1491</v>
      </c>
      <c r="R78" s="34" t="s">
        <v>1492</v>
      </c>
    </row>
    <row r="80" spans="1:20">
      <c r="A80" s="34" t="s">
        <v>1512</v>
      </c>
      <c r="E80" s="34" t="s">
        <v>1513</v>
      </c>
      <c r="F80" s="34" t="s">
        <v>1514</v>
      </c>
      <c r="G80" s="34" t="s">
        <v>1515</v>
      </c>
      <c r="H80" s="34" t="s">
        <v>1530</v>
      </c>
      <c r="O80" s="34" t="s">
        <v>1528</v>
      </c>
      <c r="P80" s="34" t="s">
        <v>1529</v>
      </c>
    </row>
    <row r="82" spans="1:16">
      <c r="A82" s="34" t="s">
        <v>1538</v>
      </c>
      <c r="E82" s="34" t="s">
        <v>1539</v>
      </c>
      <c r="F82" s="34" t="s">
        <v>1543</v>
      </c>
      <c r="G82" s="34" t="s">
        <v>1541</v>
      </c>
      <c r="H82" s="34" t="s">
        <v>1561</v>
      </c>
      <c r="O82" s="34" t="s">
        <v>1488</v>
      </c>
      <c r="P82" s="34" t="s">
        <v>1545</v>
      </c>
    </row>
    <row r="84" spans="1:16">
      <c r="A84" s="34" t="s">
        <v>1548</v>
      </c>
      <c r="E84" s="34" t="s">
        <v>1549</v>
      </c>
      <c r="F84" s="34" t="s">
        <v>1551</v>
      </c>
    </row>
    <row r="85" spans="1:16">
      <c r="F85" s="34" t="s">
        <v>1550</v>
      </c>
    </row>
    <row r="87" spans="1:16">
      <c r="A87" s="34" t="s">
        <v>1552</v>
      </c>
      <c r="E87" s="34" t="s">
        <v>1553</v>
      </c>
      <c r="F87" s="34" t="s">
        <v>1557</v>
      </c>
      <c r="G87" s="34" t="s">
        <v>1559</v>
      </c>
      <c r="H87" s="34" t="s">
        <v>1560</v>
      </c>
      <c r="O87" s="34" t="s">
        <v>1563</v>
      </c>
      <c r="P87" s="34" t="s">
        <v>1562</v>
      </c>
    </row>
    <row r="88" spans="1:16">
      <c r="F88" s="34" t="s">
        <v>1558</v>
      </c>
    </row>
    <row r="89" spans="1:16">
      <c r="F89" s="34" t="s">
        <v>1556</v>
      </c>
    </row>
    <row r="90" spans="1:16">
      <c r="F90" s="34" t="s">
        <v>1564</v>
      </c>
    </row>
    <row r="91" spans="1:16">
      <c r="F91" s="34" t="s">
        <v>1578</v>
      </c>
    </row>
    <row r="92" spans="1:16">
      <c r="F92" s="34" t="s">
        <v>1580</v>
      </c>
    </row>
    <row r="94" spans="1:16">
      <c r="A94" s="34" t="s">
        <v>1581</v>
      </c>
      <c r="E94" s="34" t="s">
        <v>1582</v>
      </c>
      <c r="F94" s="34" t="s">
        <v>1583</v>
      </c>
      <c r="G94" s="34" t="s">
        <v>1588</v>
      </c>
      <c r="H94" s="34" t="s">
        <v>1589</v>
      </c>
      <c r="O94" s="34" t="s">
        <v>1590</v>
      </c>
      <c r="P94" s="34" t="s">
        <v>1591</v>
      </c>
    </row>
    <row r="95" spans="1:16">
      <c r="F95" s="34" t="s">
        <v>1601</v>
      </c>
      <c r="H95" s="34" t="s">
        <v>1595</v>
      </c>
      <c r="P95" s="34" t="s">
        <v>1596</v>
      </c>
    </row>
    <row r="96" spans="1:16">
      <c r="F96" s="34" t="s">
        <v>1602</v>
      </c>
    </row>
    <row r="97" spans="1:16">
      <c r="F97" s="34" t="s">
        <v>1603</v>
      </c>
    </row>
    <row r="98" spans="1:16">
      <c r="F98" s="34" t="s">
        <v>1604</v>
      </c>
    </row>
    <row r="99" spans="1:16">
      <c r="F99" s="34" t="s">
        <v>1605</v>
      </c>
    </row>
    <row r="100" spans="1:16">
      <c r="F100" s="34" t="s">
        <v>1606</v>
      </c>
    </row>
    <row r="101" spans="1:16">
      <c r="F101" s="34" t="s">
        <v>1607</v>
      </c>
    </row>
    <row r="102" spans="1:16">
      <c r="F102" s="34" t="s">
        <v>1615</v>
      </c>
    </row>
    <row r="103" spans="1:16">
      <c r="F103" s="34" t="s">
        <v>1618</v>
      </c>
    </row>
    <row r="104" spans="1:16">
      <c r="F104" s="34" t="s">
        <v>1620</v>
      </c>
    </row>
    <row r="105" spans="1:16">
      <c r="F105" s="34" t="s">
        <v>1623</v>
      </c>
    </row>
    <row r="106" spans="1:16">
      <c r="F106" s="34" t="s">
        <v>1629</v>
      </c>
    </row>
    <row r="107" spans="1:16">
      <c r="F107" s="34" t="s">
        <v>1630</v>
      </c>
    </row>
    <row r="109" spans="1:16">
      <c r="A109" s="34" t="s">
        <v>1631</v>
      </c>
      <c r="E109" s="34" t="s">
        <v>1632</v>
      </c>
      <c r="F109" s="34" t="s">
        <v>1633</v>
      </c>
      <c r="G109" s="34" t="s">
        <v>1637</v>
      </c>
      <c r="H109" s="34" t="s">
        <v>1638</v>
      </c>
      <c r="O109" s="34" t="s">
        <v>1647</v>
      </c>
      <c r="P109" s="34" t="s">
        <v>1644</v>
      </c>
    </row>
    <row r="110" spans="1:16">
      <c r="H110" s="34" t="s">
        <v>1640</v>
      </c>
      <c r="P110" s="34" t="s">
        <v>1645</v>
      </c>
    </row>
    <row r="111" spans="1:16">
      <c r="H111" s="34" t="s">
        <v>1644</v>
      </c>
    </row>
    <row r="112" spans="1:16">
      <c r="H112" s="34" t="s">
        <v>1645</v>
      </c>
    </row>
    <row r="114" spans="1:6">
      <c r="A114" s="34" t="s">
        <v>1648</v>
      </c>
      <c r="E114" s="34" t="s">
        <v>1649</v>
      </c>
      <c r="F114" s="34" t="s">
        <v>1650</v>
      </c>
    </row>
    <row r="116" spans="1:6">
      <c r="A116" s="34" t="s">
        <v>1652</v>
      </c>
      <c r="E116" s="34" t="s">
        <v>1651</v>
      </c>
      <c r="F116" s="34" t="s">
        <v>1653</v>
      </c>
    </row>
    <row r="118" spans="1:6">
      <c r="A118" s="34" t="s">
        <v>1655</v>
      </c>
      <c r="E118" s="34" t="s">
        <v>1656</v>
      </c>
      <c r="F118" s="34" t="s">
        <v>1657</v>
      </c>
    </row>
    <row r="119" spans="1:6">
      <c r="F119" s="34" t="s">
        <v>1658</v>
      </c>
    </row>
  </sheetData>
  <sheetProtection algorithmName="SHA-512" hashValue="MPVlnzEDVscpf7ItDxAJKcP3jty/VQT5eBBetWvehxnLhwz+owUTF9Du3p39XePyfbnHfTdMJfGxyXvxsitoQQ==" saltValue="2UfHcgOnG45KIH8qZLtuTg==" spinCount="100000" sheet="1" objects="1" scenarios="1"/>
  <mergeCells count="9">
    <mergeCell ref="C1:D1"/>
    <mergeCell ref="E1:F1"/>
    <mergeCell ref="G1:H1"/>
    <mergeCell ref="S1:T1"/>
    <mergeCell ref="O1:P1"/>
    <mergeCell ref="Q1:R1"/>
    <mergeCell ref="I1:J1"/>
    <mergeCell ref="K1:L1"/>
    <mergeCell ref="M1:N1"/>
  </mergeCells>
  <phoneticPr fontId="6"/>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1">
    <tabColor indexed="10"/>
    <pageSetUpPr autoPageBreaks="0"/>
  </sheetPr>
  <dimension ref="A1:D72"/>
  <sheetViews>
    <sheetView showGridLines="0" topLeftCell="A37" zoomScale="90" zoomScaleNormal="90" workbookViewId="0">
      <selection activeCell="B46" sqref="B46:D46"/>
    </sheetView>
  </sheetViews>
  <sheetFormatPr defaultColWidth="9" defaultRowHeight="14.25"/>
  <cols>
    <col min="1" max="1" width="7.375" style="116" bestFit="1" customWidth="1"/>
    <col min="2" max="2" width="4.125" style="116" customWidth="1"/>
    <col min="3" max="3" width="5" style="116" customWidth="1"/>
    <col min="4" max="4" width="176.75" style="3" customWidth="1"/>
    <col min="5" max="5" width="96.375" style="3" customWidth="1"/>
    <col min="6" max="16384" width="9" style="3"/>
  </cols>
  <sheetData>
    <row r="1" spans="1:4" ht="18">
      <c r="B1" s="130" t="s">
        <v>603</v>
      </c>
      <c r="D1" s="128"/>
    </row>
    <row r="2" spans="1:4" s="227" customFormat="1" ht="18">
      <c r="A2" s="224" t="s">
        <v>981</v>
      </c>
      <c r="B2" s="225"/>
      <c r="C2" s="226"/>
      <c r="D2" s="128"/>
    </row>
    <row r="3" spans="1:4" ht="20.100000000000001" customHeight="1">
      <c r="A3" s="119">
        <v>1</v>
      </c>
      <c r="B3" s="118" t="s">
        <v>203</v>
      </c>
    </row>
    <row r="4" spans="1:4" ht="18.75" customHeight="1">
      <c r="A4" s="119">
        <v>2</v>
      </c>
      <c r="B4" s="121" t="s">
        <v>526</v>
      </c>
      <c r="C4" s="122"/>
      <c r="D4" s="124"/>
    </row>
    <row r="5" spans="1:4" ht="20.100000000000001" customHeight="1">
      <c r="A5" s="119">
        <v>3</v>
      </c>
      <c r="B5" s="118" t="s">
        <v>88</v>
      </c>
    </row>
    <row r="6" spans="1:4" ht="20.100000000000001" customHeight="1">
      <c r="A6" s="119"/>
      <c r="B6" s="121" t="s">
        <v>527</v>
      </c>
      <c r="C6" s="119" t="s">
        <v>982</v>
      </c>
    </row>
    <row r="7" spans="1:4" ht="20.100000000000001" customHeight="1">
      <c r="A7" s="120"/>
      <c r="B7" s="121" t="s">
        <v>528</v>
      </c>
      <c r="C7" s="122" t="s">
        <v>983</v>
      </c>
      <c r="D7" s="122"/>
    </row>
    <row r="8" spans="1:4" ht="20.100000000000001" customHeight="1">
      <c r="A8" s="120"/>
      <c r="B8" s="121"/>
      <c r="C8" s="122" t="s">
        <v>529</v>
      </c>
      <c r="D8" s="122" t="s">
        <v>992</v>
      </c>
    </row>
    <row r="9" spans="1:4" ht="20.100000000000001" customHeight="1">
      <c r="A9" s="120"/>
      <c r="B9" s="121"/>
      <c r="C9" s="122" t="s">
        <v>530</v>
      </c>
      <c r="D9" s="122" t="s">
        <v>984</v>
      </c>
    </row>
    <row r="10" spans="1:4" ht="34.5" customHeight="1">
      <c r="A10" s="120"/>
      <c r="B10" s="121"/>
      <c r="C10" s="122" t="s">
        <v>531</v>
      </c>
      <c r="D10" s="223" t="s">
        <v>985</v>
      </c>
    </row>
    <row r="11" spans="1:4" ht="20.100000000000001" customHeight="1">
      <c r="A11" s="120"/>
      <c r="B11" s="121"/>
      <c r="C11" s="122" t="s">
        <v>532</v>
      </c>
      <c r="D11" s="122" t="s">
        <v>986</v>
      </c>
    </row>
    <row r="12" spans="1:4" ht="30.75" customHeight="1">
      <c r="A12" s="120"/>
      <c r="B12" s="121"/>
      <c r="C12" s="122" t="s">
        <v>533</v>
      </c>
      <c r="D12" s="223" t="s">
        <v>994</v>
      </c>
    </row>
    <row r="13" spans="1:4" ht="20.100000000000001" customHeight="1">
      <c r="A13" s="120"/>
      <c r="B13" s="121"/>
      <c r="C13" s="122" t="s">
        <v>987</v>
      </c>
      <c r="D13" s="122" t="s">
        <v>456</v>
      </c>
    </row>
    <row r="14" spans="1:4" ht="20.100000000000001" customHeight="1">
      <c r="A14" s="120"/>
      <c r="B14" s="121" t="s">
        <v>534</v>
      </c>
      <c r="C14" s="118" t="s">
        <v>457</v>
      </c>
      <c r="D14" s="118"/>
    </row>
    <row r="15" spans="1:4" ht="20.100000000000001" customHeight="1">
      <c r="A15" s="120"/>
      <c r="B15" s="121"/>
      <c r="C15" s="122" t="s">
        <v>535</v>
      </c>
      <c r="D15" s="118" t="s">
        <v>458</v>
      </c>
    </row>
    <row r="16" spans="1:4" ht="28.5">
      <c r="A16" s="120"/>
      <c r="B16" s="121"/>
      <c r="C16" s="122" t="s">
        <v>536</v>
      </c>
      <c r="D16" s="124" t="s">
        <v>988</v>
      </c>
    </row>
    <row r="17" spans="1:4" ht="18" customHeight="1">
      <c r="A17" s="120"/>
      <c r="B17" s="121"/>
      <c r="C17" s="122" t="s">
        <v>537</v>
      </c>
      <c r="D17" s="124" t="s">
        <v>459</v>
      </c>
    </row>
    <row r="18" spans="1:4" ht="18" customHeight="1">
      <c r="A18" s="120"/>
      <c r="B18" s="121"/>
      <c r="C18" s="122" t="s">
        <v>538</v>
      </c>
      <c r="D18" s="124" t="s">
        <v>461</v>
      </c>
    </row>
    <row r="19" spans="1:4" ht="104.25" customHeight="1">
      <c r="A19" s="120"/>
      <c r="B19" s="121"/>
      <c r="C19" s="122" t="s">
        <v>539</v>
      </c>
      <c r="D19" s="124" t="s">
        <v>462</v>
      </c>
    </row>
    <row r="20" spans="1:4" ht="45" customHeight="1">
      <c r="A20" s="120"/>
      <c r="B20" s="121"/>
      <c r="C20" s="122" t="s">
        <v>540</v>
      </c>
      <c r="D20" s="124" t="s">
        <v>463</v>
      </c>
    </row>
    <row r="21" spans="1:4" ht="20.100000000000001" customHeight="1">
      <c r="A21" s="119">
        <v>4</v>
      </c>
      <c r="B21" s="119" t="s">
        <v>549</v>
      </c>
    </row>
    <row r="22" spans="1:4" ht="32.25" customHeight="1">
      <c r="A22" s="119">
        <v>5</v>
      </c>
      <c r="B22" s="486" t="s">
        <v>550</v>
      </c>
      <c r="C22" s="486"/>
      <c r="D22" s="486"/>
    </row>
    <row r="23" spans="1:4" ht="18" customHeight="1">
      <c r="A23" s="119">
        <v>6</v>
      </c>
      <c r="B23" s="119" t="s">
        <v>551</v>
      </c>
      <c r="D23" s="295"/>
    </row>
    <row r="24" spans="1:4" ht="32.25" customHeight="1">
      <c r="A24" s="119"/>
      <c r="B24" s="121" t="s">
        <v>541</v>
      </c>
      <c r="C24" s="489" t="s">
        <v>464</v>
      </c>
      <c r="D24" s="489"/>
    </row>
    <row r="25" spans="1:4" ht="16.5" customHeight="1">
      <c r="A25" s="119"/>
      <c r="B25" s="121" t="s">
        <v>542</v>
      </c>
      <c r="C25" s="119" t="s">
        <v>465</v>
      </c>
      <c r="D25" s="295"/>
    </row>
    <row r="26" spans="1:4" ht="20.100000000000001" customHeight="1">
      <c r="B26" s="119"/>
    </row>
    <row r="28" spans="1:4" s="227" customFormat="1" ht="18">
      <c r="A28" s="224" t="s">
        <v>242</v>
      </c>
      <c r="B28" s="225"/>
      <c r="C28" s="226"/>
      <c r="D28" s="128"/>
    </row>
    <row r="29" spans="1:4" ht="20.100000000000001" customHeight="1">
      <c r="A29" s="119">
        <v>1</v>
      </c>
      <c r="B29" s="118" t="s">
        <v>243</v>
      </c>
    </row>
    <row r="30" spans="1:4" ht="18.75" customHeight="1">
      <c r="A30" s="119">
        <v>2</v>
      </c>
      <c r="B30" s="121" t="s">
        <v>526</v>
      </c>
      <c r="C30" s="122"/>
      <c r="D30" s="124"/>
    </row>
    <row r="31" spans="1:4" ht="20.100000000000001" customHeight="1">
      <c r="A31" s="119">
        <v>3</v>
      </c>
      <c r="B31" s="118" t="s">
        <v>244</v>
      </c>
    </row>
    <row r="32" spans="1:4" ht="20.100000000000001" customHeight="1">
      <c r="A32" s="119"/>
      <c r="B32" s="121" t="s">
        <v>527</v>
      </c>
      <c r="C32" s="119" t="s">
        <v>525</v>
      </c>
    </row>
    <row r="33" spans="1:4" ht="20.100000000000001" customHeight="1">
      <c r="A33" s="120"/>
      <c r="B33" s="121" t="s">
        <v>528</v>
      </c>
      <c r="C33" s="122" t="s">
        <v>543</v>
      </c>
      <c r="D33" s="122"/>
    </row>
    <row r="34" spans="1:4" ht="20.100000000000001" customHeight="1">
      <c r="A34" s="120"/>
      <c r="B34" s="121"/>
      <c r="C34" s="122" t="s">
        <v>529</v>
      </c>
      <c r="D34" s="122" t="s">
        <v>993</v>
      </c>
    </row>
    <row r="35" spans="1:4" ht="20.100000000000001" customHeight="1">
      <c r="A35" s="120"/>
      <c r="B35" s="121"/>
      <c r="C35" s="122" t="s">
        <v>530</v>
      </c>
      <c r="D35" s="122" t="s">
        <v>991</v>
      </c>
    </row>
    <row r="36" spans="1:4" ht="20.100000000000001" customHeight="1">
      <c r="A36" s="120"/>
      <c r="B36" s="121"/>
      <c r="C36" s="122" t="s">
        <v>544</v>
      </c>
      <c r="D36" s="122" t="s">
        <v>989</v>
      </c>
    </row>
    <row r="37" spans="1:4" ht="25.5" customHeight="1">
      <c r="A37" s="120"/>
      <c r="B37" s="121"/>
      <c r="C37" s="122" t="s">
        <v>545</v>
      </c>
      <c r="D37" s="223" t="s">
        <v>990</v>
      </c>
    </row>
    <row r="38" spans="1:4" ht="20.100000000000001" customHeight="1">
      <c r="A38" s="120"/>
      <c r="B38" s="121" t="s">
        <v>534</v>
      </c>
      <c r="C38" s="118" t="s">
        <v>457</v>
      </c>
      <c r="D38" s="118"/>
    </row>
    <row r="39" spans="1:4" ht="20.100000000000001" customHeight="1">
      <c r="A39" s="120"/>
      <c r="B39" s="121"/>
      <c r="C39" s="122" t="s">
        <v>535</v>
      </c>
      <c r="D39" s="118" t="s">
        <v>458</v>
      </c>
    </row>
    <row r="40" spans="1:4" ht="28.5">
      <c r="A40" s="120"/>
      <c r="B40" s="121"/>
      <c r="C40" s="122" t="s">
        <v>536</v>
      </c>
      <c r="D40" s="124" t="s">
        <v>460</v>
      </c>
    </row>
    <row r="41" spans="1:4" ht="18" customHeight="1">
      <c r="A41" s="120"/>
      <c r="B41" s="121"/>
      <c r="C41" s="122" t="s">
        <v>537</v>
      </c>
      <c r="D41" s="124" t="s">
        <v>459</v>
      </c>
    </row>
    <row r="42" spans="1:4" ht="18" customHeight="1">
      <c r="A42" s="120"/>
      <c r="B42" s="121"/>
      <c r="C42" s="122" t="s">
        <v>538</v>
      </c>
      <c r="D42" s="124" t="s">
        <v>461</v>
      </c>
    </row>
    <row r="43" spans="1:4" ht="104.25" customHeight="1">
      <c r="A43" s="120"/>
      <c r="B43" s="121"/>
      <c r="C43" s="122" t="s">
        <v>539</v>
      </c>
      <c r="D43" s="124" t="s">
        <v>462</v>
      </c>
    </row>
    <row r="44" spans="1:4" ht="48" customHeight="1">
      <c r="A44" s="120"/>
      <c r="B44" s="121"/>
      <c r="C44" s="122" t="s">
        <v>540</v>
      </c>
      <c r="D44" s="124" t="s">
        <v>463</v>
      </c>
    </row>
    <row r="45" spans="1:4" ht="21.75" customHeight="1">
      <c r="A45" s="119">
        <v>4</v>
      </c>
      <c r="B45" s="119" t="s">
        <v>546</v>
      </c>
    </row>
    <row r="46" spans="1:4" ht="34.5" customHeight="1">
      <c r="A46" s="119">
        <v>5</v>
      </c>
      <c r="B46" s="486" t="s">
        <v>547</v>
      </c>
      <c r="C46" s="486"/>
      <c r="D46" s="486"/>
    </row>
    <row r="47" spans="1:4" ht="18" customHeight="1">
      <c r="A47" s="119">
        <v>6</v>
      </c>
      <c r="B47" s="119" t="s">
        <v>548</v>
      </c>
      <c r="D47" s="295"/>
    </row>
    <row r="48" spans="1:4" ht="32.25" customHeight="1">
      <c r="A48" s="119"/>
      <c r="B48" s="121" t="s">
        <v>541</v>
      </c>
      <c r="C48" s="489" t="s">
        <v>464</v>
      </c>
      <c r="D48" s="489"/>
    </row>
    <row r="49" spans="1:4" ht="16.5" customHeight="1">
      <c r="A49" s="119"/>
      <c r="B49" s="121" t="s">
        <v>542</v>
      </c>
      <c r="C49" s="119" t="s">
        <v>465</v>
      </c>
      <c r="D49" s="295"/>
    </row>
    <row r="50" spans="1:4" ht="18">
      <c r="A50" s="203"/>
      <c r="B50" s="130"/>
      <c r="D50" s="128"/>
    </row>
    <row r="51" spans="1:4" ht="20.100000000000001" customHeight="1">
      <c r="A51" s="119"/>
      <c r="B51" s="118"/>
    </row>
    <row r="52" spans="1:4" ht="20.100000000000001" customHeight="1">
      <c r="A52" s="224"/>
      <c r="B52" s="118"/>
    </row>
    <row r="53" spans="1:4" ht="20.100000000000001" customHeight="1">
      <c r="A53" s="119"/>
      <c r="B53" s="121"/>
      <c r="C53" s="119"/>
    </row>
    <row r="54" spans="1:4" ht="20.100000000000001" customHeight="1">
      <c r="A54" s="119"/>
      <c r="B54" s="121"/>
      <c r="C54" s="122"/>
      <c r="D54" s="122"/>
    </row>
    <row r="55" spans="1:4" ht="20.100000000000001" customHeight="1">
      <c r="A55" s="120"/>
      <c r="B55" s="121"/>
      <c r="C55" s="122"/>
      <c r="D55" s="122"/>
    </row>
    <row r="56" spans="1:4" ht="20.100000000000001" customHeight="1">
      <c r="A56" s="120"/>
      <c r="B56" s="121"/>
      <c r="C56" s="118"/>
      <c r="D56" s="118"/>
    </row>
    <row r="57" spans="1:4" ht="20.100000000000001" customHeight="1">
      <c r="A57" s="120"/>
      <c r="B57" s="121"/>
      <c r="C57" s="118"/>
      <c r="D57" s="118"/>
    </row>
    <row r="58" spans="1:4" ht="20.100000000000001" customHeight="1">
      <c r="A58" s="120"/>
      <c r="B58" s="121"/>
      <c r="C58" s="125"/>
      <c r="D58" s="118"/>
    </row>
    <row r="59" spans="1:4" ht="81" customHeight="1">
      <c r="A59" s="120"/>
      <c r="B59" s="121"/>
      <c r="C59" s="117"/>
      <c r="D59" s="124"/>
    </row>
    <row r="60" spans="1:4" ht="20.100000000000001" customHeight="1">
      <c r="A60" s="120"/>
      <c r="B60" s="121"/>
      <c r="C60" s="118"/>
      <c r="D60" s="118"/>
    </row>
    <row r="61" spans="1:4" ht="49.5" customHeight="1">
      <c r="A61" s="120"/>
      <c r="B61" s="121"/>
      <c r="C61" s="117"/>
      <c r="D61" s="124"/>
    </row>
    <row r="62" spans="1:4" ht="20.100000000000001" customHeight="1">
      <c r="A62" s="123"/>
      <c r="B62" s="123"/>
      <c r="C62" s="117"/>
      <c r="D62" s="118"/>
    </row>
    <row r="63" spans="1:4" ht="148.5" customHeight="1">
      <c r="A63" s="123"/>
      <c r="B63" s="123"/>
      <c r="C63" s="117"/>
      <c r="D63" s="124"/>
    </row>
    <row r="64" spans="1:4" ht="108" customHeight="1">
      <c r="A64" s="123"/>
      <c r="B64" s="123"/>
      <c r="C64" s="117"/>
      <c r="D64" s="124"/>
    </row>
    <row r="65" spans="1:4" ht="26.25" customHeight="1">
      <c r="A65" s="123"/>
      <c r="B65" s="123"/>
      <c r="C65" s="117"/>
      <c r="D65" s="124"/>
    </row>
    <row r="66" spans="1:4" ht="20.100000000000001" customHeight="1">
      <c r="B66" s="125"/>
      <c r="C66" s="487"/>
      <c r="D66" s="487"/>
    </row>
    <row r="67" spans="1:4" ht="101.25" customHeight="1">
      <c r="B67" s="125"/>
      <c r="C67" s="488"/>
      <c r="D67" s="488"/>
    </row>
    <row r="68" spans="1:4" ht="20.100000000000001" customHeight="1">
      <c r="A68" s="119"/>
      <c r="B68" s="125"/>
      <c r="C68" s="127"/>
      <c r="D68" s="124"/>
    </row>
    <row r="69" spans="1:4" ht="20.100000000000001" customHeight="1">
      <c r="A69" s="119"/>
      <c r="B69" s="119"/>
    </row>
    <row r="70" spans="1:4" ht="20.100000000000001" customHeight="1">
      <c r="A70" s="119"/>
      <c r="B70" s="119"/>
    </row>
    <row r="71" spans="1:4">
      <c r="A71" s="119"/>
      <c r="B71" s="126"/>
    </row>
    <row r="72" spans="1:4" ht="20.100000000000001" customHeight="1"/>
  </sheetData>
  <sheetProtection algorithmName="SHA-512" hashValue="Y5UwOsMSzfbtJxg/H3zfstcUNT8n3xB5U7OsswBylnzHC4iX2dCPpq7281Ja/VbmDrBMpYrwFGuTKdelycVfcA==" saltValue="scRAfKV32jvkUmQ6b9KXTw==" spinCount="100000" sheet="1" objects="1" scenarios="1"/>
  <mergeCells count="6">
    <mergeCell ref="B22:D22"/>
    <mergeCell ref="C66:D66"/>
    <mergeCell ref="C67:D67"/>
    <mergeCell ref="C24:D24"/>
    <mergeCell ref="C48:D48"/>
    <mergeCell ref="B46:D46"/>
  </mergeCells>
  <phoneticPr fontId="6"/>
  <pageMargins left="0.75" right="0.75" top="1" bottom="1" header="0.5" footer="0.5"/>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9">
    <tabColor indexed="44"/>
    <pageSetUpPr autoPageBreaks="0"/>
  </sheetPr>
  <dimension ref="A1:JN381"/>
  <sheetViews>
    <sheetView showGridLines="0" topLeftCell="A9" zoomScale="70" zoomScaleNormal="70" workbookViewId="0">
      <selection activeCell="C20" sqref="C20"/>
    </sheetView>
  </sheetViews>
  <sheetFormatPr defaultColWidth="9" defaultRowHeight="14.25"/>
  <cols>
    <col min="1" max="1" width="2.875" style="26" customWidth="1"/>
    <col min="2" max="2" width="34.875" style="26" customWidth="1"/>
    <col min="3" max="3" width="14.75" style="26" customWidth="1"/>
    <col min="4" max="4" width="11.625" style="26" customWidth="1"/>
    <col min="5" max="6" width="12.875" style="26" customWidth="1"/>
    <col min="7" max="7" width="13" style="26" customWidth="1"/>
    <col min="8" max="9" width="12.75" style="26" customWidth="1"/>
    <col min="10" max="10" width="14.125" style="26" customWidth="1"/>
    <col min="11" max="11" width="15.375" style="26" customWidth="1"/>
    <col min="12" max="12" width="13.625" style="26" customWidth="1"/>
    <col min="13" max="13" width="11.375" style="26" customWidth="1"/>
    <col min="14" max="14" width="12.625" style="26" customWidth="1"/>
    <col min="15" max="15" width="13.875" style="26" customWidth="1"/>
    <col min="16" max="16" width="13.375" style="26" hidden="1" customWidth="1"/>
    <col min="17" max="17" width="13" style="26" hidden="1" customWidth="1"/>
    <col min="18" max="18" width="13.25" style="26" hidden="1" customWidth="1"/>
    <col min="19" max="19" width="12.25" style="26" hidden="1" customWidth="1"/>
    <col min="20" max="20" width="13.875" style="26" hidden="1" customWidth="1"/>
    <col min="21" max="21" width="12.25" style="26" hidden="1" customWidth="1"/>
    <col min="22" max="22" width="11.875" style="26" hidden="1" customWidth="1"/>
    <col min="23" max="23" width="12.125" style="26" hidden="1" customWidth="1"/>
    <col min="24" max="28" width="9" style="26" hidden="1" customWidth="1"/>
    <col min="29" max="29" width="19.125" style="26" hidden="1" customWidth="1"/>
    <col min="30" max="51" width="9" style="26" hidden="1" customWidth="1"/>
    <col min="52" max="52" width="13.125" style="26" hidden="1" customWidth="1"/>
    <col min="53" max="53" width="22.625" style="26" hidden="1" customWidth="1"/>
    <col min="54" max="54" width="10.75" style="26" hidden="1" customWidth="1"/>
    <col min="55" max="55" width="7.375" style="26" hidden="1" customWidth="1"/>
    <col min="56" max="56" width="7.625" style="26" hidden="1" customWidth="1"/>
    <col min="57" max="61" width="8" style="26" hidden="1" customWidth="1"/>
    <col min="62" max="62" width="9.75" style="26" hidden="1" customWidth="1"/>
    <col min="63" max="63" width="11.625" style="26" hidden="1" customWidth="1"/>
    <col min="64" max="64" width="11.75" style="26" hidden="1" customWidth="1"/>
    <col min="65" max="65" width="8" style="26" hidden="1" customWidth="1"/>
    <col min="66" max="70" width="9" style="26" hidden="1" customWidth="1"/>
    <col min="71" max="71" width="11.125" style="26" hidden="1" customWidth="1"/>
    <col min="72" max="78" width="9" style="26" hidden="1" customWidth="1"/>
    <col min="79" max="80" width="9" style="26" customWidth="1"/>
    <col min="81" max="81" width="9.25" style="26" customWidth="1"/>
    <col min="82" max="88" width="9" style="26" customWidth="1"/>
    <col min="89" max="89" width="22.75" style="26" customWidth="1"/>
    <col min="90" max="124" width="9" style="26" customWidth="1"/>
    <col min="125" max="125" width="22.75" style="26" customWidth="1"/>
    <col min="126" max="160" width="9" style="26" customWidth="1"/>
    <col min="161" max="161" width="22.75" style="26" customWidth="1"/>
    <col min="162" max="186" width="9" style="26" customWidth="1"/>
    <col min="187" max="16384" width="9" style="26"/>
  </cols>
  <sheetData>
    <row r="1" spans="1:71" ht="15" customHeight="1">
      <c r="A1" s="19" t="s">
        <v>16</v>
      </c>
      <c r="C1" s="254" t="s">
        <v>1654</v>
      </c>
      <c r="D1" s="115" t="s">
        <v>86</v>
      </c>
      <c r="E1" s="113" t="s">
        <v>1340</v>
      </c>
      <c r="M1"/>
      <c r="N1"/>
      <c r="O1"/>
      <c r="S1" s="65"/>
      <c r="BA1" s="26" t="s">
        <v>283</v>
      </c>
      <c r="BK1" s="389"/>
      <c r="BL1" s="254" t="s">
        <v>1005</v>
      </c>
      <c r="BM1" s="39">
        <f>MATCH(B20,BB4:BB20,0)-1</f>
        <v>16</v>
      </c>
      <c r="BP1" s="254" t="s">
        <v>1291</v>
      </c>
      <c r="BQ1" s="35"/>
      <c r="BR1" s="406" t="s">
        <v>1484</v>
      </c>
      <c r="BS1" s="39">
        <f>IF(C23&gt;BQ4,BR4,VLOOKUP(MATCH(C23,BQ4:BQ19,-1),BP4:BR19,3,FALSE))</f>
        <v>2</v>
      </c>
    </row>
    <row r="2" spans="1:71" ht="15" customHeight="1">
      <c r="A2" s="19"/>
      <c r="B2" s="70"/>
      <c r="M2"/>
      <c r="N2"/>
      <c r="O2"/>
      <c r="Q2"/>
      <c r="R2"/>
      <c r="S2"/>
      <c r="T2"/>
      <c r="U2"/>
      <c r="V2"/>
      <c r="W2"/>
      <c r="BA2" s="246"/>
      <c r="BB2" s="247" t="s">
        <v>412</v>
      </c>
      <c r="BC2" s="247" t="s">
        <v>250</v>
      </c>
      <c r="BD2" s="247" t="s">
        <v>260</v>
      </c>
      <c r="BE2" s="247" t="s">
        <v>251</v>
      </c>
      <c r="BF2" s="247" t="s">
        <v>261</v>
      </c>
      <c r="BG2" s="247" t="s">
        <v>252</v>
      </c>
      <c r="BH2" s="247" t="s">
        <v>262</v>
      </c>
      <c r="BI2" s="247" t="s">
        <v>253</v>
      </c>
      <c r="BJ2" s="247" t="s">
        <v>254</v>
      </c>
      <c r="BK2" s="247" t="s">
        <v>255</v>
      </c>
      <c r="BL2" s="247" t="s">
        <v>256</v>
      </c>
      <c r="BM2" s="247" t="s">
        <v>263</v>
      </c>
      <c r="BN2" s="26" t="s">
        <v>1487</v>
      </c>
      <c r="BP2" s="246" t="s">
        <v>1293</v>
      </c>
      <c r="BQ2" s="404" t="s">
        <v>250</v>
      </c>
      <c r="BR2" s="405"/>
    </row>
    <row r="3" spans="1:71" ht="15" customHeight="1">
      <c r="A3" s="19"/>
      <c r="B3" s="76" t="s">
        <v>79</v>
      </c>
      <c r="C3" s="52"/>
      <c r="D3" s="52"/>
      <c r="E3" s="52"/>
      <c r="F3" s="52"/>
      <c r="G3" s="52"/>
      <c r="H3" s="52"/>
      <c r="I3" s="52"/>
      <c r="J3" s="52"/>
      <c r="K3" s="71"/>
      <c r="L3" s="73"/>
      <c r="M3"/>
      <c r="N3"/>
      <c r="O3"/>
      <c r="Q3"/>
      <c r="R3"/>
      <c r="S3"/>
      <c r="T3"/>
      <c r="U3"/>
      <c r="V3"/>
      <c r="W3"/>
      <c r="BA3" s="248" t="s">
        <v>282</v>
      </c>
      <c r="BB3" s="249"/>
      <c r="BC3" s="249" t="s">
        <v>257</v>
      </c>
      <c r="BD3" s="249" t="s">
        <v>258</v>
      </c>
      <c r="BE3" s="249" t="s">
        <v>258</v>
      </c>
      <c r="BF3" s="249" t="s">
        <v>264</v>
      </c>
      <c r="BG3" s="249" t="s">
        <v>258</v>
      </c>
      <c r="BH3" s="249" t="s">
        <v>265</v>
      </c>
      <c r="BI3" s="249" t="s">
        <v>259</v>
      </c>
      <c r="BJ3" s="249" t="s">
        <v>259</v>
      </c>
      <c r="BK3" s="249" t="s">
        <v>259</v>
      </c>
      <c r="BL3" s="250"/>
      <c r="BM3" s="250"/>
      <c r="BN3" s="26" t="s">
        <v>1485</v>
      </c>
      <c r="BP3" s="248" t="s">
        <v>1292</v>
      </c>
      <c r="BQ3" s="249" t="s">
        <v>257</v>
      </c>
      <c r="BR3" s="248" t="s">
        <v>1292</v>
      </c>
    </row>
    <row r="4" spans="1:71" ht="15" customHeight="1">
      <c r="A4" s="19"/>
      <c r="B4" s="72" t="str">
        <f>IF(C38="N/A","ERROR: DSI cannot transmit all the input data.Try more DSI lane, ,more DSI link, slower eDP PCLK","")</f>
        <v/>
      </c>
      <c r="C4" s="73"/>
      <c r="D4" s="73"/>
      <c r="E4" s="73"/>
      <c r="F4" s="73"/>
      <c r="G4" s="73"/>
      <c r="H4" s="73"/>
      <c r="I4" s="73"/>
      <c r="J4" s="73"/>
      <c r="K4" s="74"/>
      <c r="L4" s="73"/>
      <c r="M4"/>
      <c r="N4"/>
      <c r="O4"/>
      <c r="Q4"/>
      <c r="R4"/>
      <c r="S4"/>
      <c r="T4"/>
      <c r="U4"/>
      <c r="V4"/>
      <c r="W4"/>
      <c r="BA4" s="250">
        <v>0</v>
      </c>
      <c r="BB4" s="252" t="s">
        <v>266</v>
      </c>
      <c r="BC4" s="399">
        <f>IF($C$37=24,HLOOKUP(BN4,$BB$259:$BZ$266,8,FALSE),IF($C$37=25,HLOOKUP(BN4,$CL$259:$DJ$266,8,FALSE),IF($C$37=27,HLOOKUP(BN4,$DV$259:$ET$266,8,FALSE),HLOOKUP(BN4,$FF$259:$GD$266,8,FALSE))))</f>
        <v>141</v>
      </c>
      <c r="BD4" s="245">
        <v>32</v>
      </c>
      <c r="BE4" s="245">
        <v>40</v>
      </c>
      <c r="BF4" s="245">
        <v>1920</v>
      </c>
      <c r="BG4" s="245">
        <v>8</v>
      </c>
      <c r="BH4" s="245">
        <v>8</v>
      </c>
      <c r="BI4" s="245">
        <v>6</v>
      </c>
      <c r="BJ4" s="245">
        <v>1080</v>
      </c>
      <c r="BK4" s="245">
        <v>21</v>
      </c>
      <c r="BL4" s="245">
        <v>24</v>
      </c>
      <c r="BM4" s="245">
        <v>59.94</v>
      </c>
      <c r="BN4" s="433">
        <v>138.5</v>
      </c>
      <c r="BP4" s="402">
        <v>1</v>
      </c>
      <c r="BQ4" s="399">
        <v>556.18799999999999</v>
      </c>
      <c r="BR4" s="250">
        <v>11</v>
      </c>
    </row>
    <row r="5" spans="1:71" ht="15" customHeight="1">
      <c r="A5" s="19"/>
      <c r="B5" s="72" t="str">
        <f ca="1">IF(OR(I72="NG",I75="NG"),"ERROR: DSI cannot output all the data within 1line. Try faster DSI clock, more lanes, shorter HSW+HBPR(DSI side)","")</f>
        <v/>
      </c>
      <c r="C5" s="73"/>
      <c r="D5" s="73"/>
      <c r="E5" s="73"/>
      <c r="F5" s="73"/>
      <c r="G5" s="73"/>
      <c r="H5" s="73"/>
      <c r="I5" s="73"/>
      <c r="J5" s="73"/>
      <c r="K5" s="74"/>
      <c r="L5" s="73"/>
      <c r="M5"/>
      <c r="N5"/>
      <c r="O5"/>
      <c r="Q5"/>
      <c r="R5"/>
      <c r="S5"/>
      <c r="T5"/>
      <c r="U5"/>
      <c r="V5"/>
      <c r="W5"/>
      <c r="BA5" s="251">
        <v>1</v>
      </c>
      <c r="BB5" s="253" t="s">
        <v>267</v>
      </c>
      <c r="BC5" s="399">
        <f t="shared" ref="BC5:BC19" si="0">IF($C$37=24,HLOOKUP(BN5,$BB$259:$BZ$266,8,FALSE),IF($C$37=25,HLOOKUP(BN5,$CL$259:$DJ$266,8,FALSE),IF($C$37=27,HLOOKUP(BN5,$DV$259:$ET$266,8,FALSE),HLOOKUP(BN5,$FF$259:$GD$266,8,FALSE))))</f>
        <v>155.25</v>
      </c>
      <c r="BD5" s="244">
        <v>32</v>
      </c>
      <c r="BE5" s="244">
        <v>40</v>
      </c>
      <c r="BF5" s="244">
        <v>1920</v>
      </c>
      <c r="BG5" s="244">
        <v>8</v>
      </c>
      <c r="BH5" s="244">
        <v>8</v>
      </c>
      <c r="BI5" s="244">
        <v>6</v>
      </c>
      <c r="BJ5" s="244">
        <v>1200</v>
      </c>
      <c r="BK5" s="244">
        <v>21</v>
      </c>
      <c r="BL5" s="244">
        <v>24</v>
      </c>
      <c r="BM5" s="245">
        <v>59.94</v>
      </c>
      <c r="BN5" s="433">
        <v>154</v>
      </c>
      <c r="BP5" s="403">
        <v>2</v>
      </c>
      <c r="BQ5" s="399">
        <v>527.4</v>
      </c>
      <c r="BR5" s="251">
        <v>10</v>
      </c>
    </row>
    <row r="6" spans="1:71" ht="15" customHeight="1">
      <c r="A6" s="19"/>
      <c r="B6" s="72" t="str">
        <f>IF(C25="NG","ERROR: eDP speed is too slow. Try faster Link Rate, more Ch.","")</f>
        <v/>
      </c>
      <c r="C6" s="73"/>
      <c r="D6" s="73"/>
      <c r="E6" s="73"/>
      <c r="F6" s="73"/>
      <c r="G6" s="73"/>
      <c r="H6" s="73"/>
      <c r="I6" s="73"/>
      <c r="J6" s="73"/>
      <c r="K6" s="74"/>
      <c r="L6" s="73"/>
      <c r="M6"/>
      <c r="N6"/>
      <c r="O6"/>
      <c r="Q6"/>
      <c r="R6"/>
      <c r="S6"/>
      <c r="T6"/>
      <c r="U6"/>
      <c r="V6"/>
      <c r="W6"/>
      <c r="BA6" s="251">
        <v>2</v>
      </c>
      <c r="BB6" s="253" t="s">
        <v>268</v>
      </c>
      <c r="BC6" s="399">
        <f t="shared" si="0"/>
        <v>155.25</v>
      </c>
      <c r="BD6" s="244">
        <v>32</v>
      </c>
      <c r="BE6" s="244">
        <v>40</v>
      </c>
      <c r="BF6" s="244">
        <v>1200</v>
      </c>
      <c r="BG6" s="244">
        <v>8</v>
      </c>
      <c r="BH6" s="244">
        <v>8</v>
      </c>
      <c r="BI6" s="244">
        <v>6</v>
      </c>
      <c r="BJ6" s="244">
        <v>1920</v>
      </c>
      <c r="BK6" s="244">
        <v>41</v>
      </c>
      <c r="BL6" s="244">
        <v>24</v>
      </c>
      <c r="BM6" s="244">
        <v>59.94</v>
      </c>
      <c r="BN6" s="433">
        <v>154</v>
      </c>
      <c r="BP6" s="403">
        <v>3</v>
      </c>
      <c r="BQ6" s="399">
        <v>522</v>
      </c>
      <c r="BR6" s="251">
        <v>9</v>
      </c>
    </row>
    <row r="7" spans="1:71" ht="15" customHeight="1">
      <c r="A7" s="19"/>
      <c r="B7" s="72" t="str">
        <f ca="1">IF(AND(C24&lt;&gt;0,C26="NG"),"ERROR: Internal PCLK is too slow. Try to select faster internal PCLK.","")</f>
        <v/>
      </c>
      <c r="C7" s="73"/>
      <c r="D7" s="73"/>
      <c r="E7" s="73"/>
      <c r="F7" s="73"/>
      <c r="G7" s="73"/>
      <c r="H7" s="73"/>
      <c r="I7" s="73"/>
      <c r="J7" s="73"/>
      <c r="K7" s="74"/>
      <c r="L7" s="73"/>
      <c r="M7" s="73"/>
      <c r="N7" s="73"/>
      <c r="O7" s="73"/>
      <c r="Q7"/>
      <c r="R7"/>
      <c r="S7"/>
      <c r="T7"/>
      <c r="U7"/>
      <c r="V7"/>
      <c r="W7"/>
      <c r="BA7" s="251">
        <v>3</v>
      </c>
      <c r="BB7" s="244" t="s">
        <v>269</v>
      </c>
      <c r="BC7" s="399">
        <f t="shared" si="0"/>
        <v>209.25</v>
      </c>
      <c r="BD7" s="244">
        <v>32</v>
      </c>
      <c r="BE7" s="244">
        <v>40</v>
      </c>
      <c r="BF7" s="244">
        <v>2048</v>
      </c>
      <c r="BG7" s="244">
        <v>8</v>
      </c>
      <c r="BH7" s="244">
        <v>8</v>
      </c>
      <c r="BI7" s="244">
        <v>6</v>
      </c>
      <c r="BJ7" s="244">
        <v>1536</v>
      </c>
      <c r="BK7" s="244">
        <v>30</v>
      </c>
      <c r="BL7" s="244">
        <v>24</v>
      </c>
      <c r="BM7" s="244">
        <v>59.94</v>
      </c>
      <c r="BN7" s="433">
        <v>209.25</v>
      </c>
      <c r="BP7" s="403">
        <v>4</v>
      </c>
      <c r="BQ7" s="399">
        <v>497.75</v>
      </c>
      <c r="BR7" s="251">
        <v>5</v>
      </c>
    </row>
    <row r="8" spans="1:71">
      <c r="B8" s="72" t="str">
        <f>IF(AND(B20="Original",C23="Preset"),"ERROR: No Internal PCLK is specified. Please select Internal PCLK","")</f>
        <v/>
      </c>
      <c r="C8" s="73"/>
      <c r="D8" s="73"/>
      <c r="E8" s="73"/>
      <c r="F8" s="73"/>
      <c r="G8" s="73"/>
      <c r="H8" s="73"/>
      <c r="I8" s="73"/>
      <c r="J8" s="73"/>
      <c r="K8" s="74"/>
      <c r="L8" s="73"/>
      <c r="M8" s="73"/>
      <c r="N8"/>
      <c r="O8"/>
      <c r="Q8"/>
      <c r="R8"/>
      <c r="S8"/>
      <c r="T8"/>
      <c r="U8"/>
      <c r="V8"/>
      <c r="W8"/>
      <c r="BA8" s="251">
        <v>4</v>
      </c>
      <c r="BB8" s="244" t="s">
        <v>270</v>
      </c>
      <c r="BC8" s="399">
        <f t="shared" si="0"/>
        <v>270</v>
      </c>
      <c r="BD8" s="244">
        <v>32</v>
      </c>
      <c r="BE8" s="244">
        <v>40</v>
      </c>
      <c r="BF8" s="244">
        <v>2560</v>
      </c>
      <c r="BG8" s="244">
        <v>8</v>
      </c>
      <c r="BH8" s="244">
        <v>8</v>
      </c>
      <c r="BI8" s="244">
        <v>6</v>
      </c>
      <c r="BJ8" s="244">
        <v>1600</v>
      </c>
      <c r="BK8" s="244">
        <v>32</v>
      </c>
      <c r="BL8" s="244">
        <v>24</v>
      </c>
      <c r="BM8" s="244">
        <v>59.94</v>
      </c>
      <c r="BN8" s="433">
        <v>268.5</v>
      </c>
      <c r="BP8" s="403">
        <v>5</v>
      </c>
      <c r="BQ8" s="399">
        <v>268.5</v>
      </c>
      <c r="BR8" s="251">
        <v>12</v>
      </c>
    </row>
    <row r="9" spans="1:71">
      <c r="B9" s="401" t="str">
        <f ca="1">IF(C24=0,"ERROR: Setting for current REFCLK/PCLK combination is not implemented in this spread sheet.","")</f>
        <v/>
      </c>
      <c r="C9" s="55"/>
      <c r="D9" s="55"/>
      <c r="E9" s="55"/>
      <c r="F9" s="55"/>
      <c r="G9" s="55"/>
      <c r="H9" s="55"/>
      <c r="I9" s="55"/>
      <c r="J9" s="55"/>
      <c r="K9" s="75"/>
      <c r="L9" s="73"/>
      <c r="M9" s="73"/>
      <c r="N9" s="73"/>
      <c r="O9" s="73"/>
      <c r="Q9"/>
      <c r="R9"/>
      <c r="S9"/>
      <c r="T9"/>
      <c r="U9"/>
      <c r="V9"/>
      <c r="W9"/>
      <c r="BA9" s="251">
        <v>5</v>
      </c>
      <c r="BB9" s="244" t="s">
        <v>271</v>
      </c>
      <c r="BC9" s="399">
        <f t="shared" si="0"/>
        <v>498</v>
      </c>
      <c r="BD9" s="244">
        <v>32</v>
      </c>
      <c r="BE9" s="244">
        <v>40</v>
      </c>
      <c r="BF9" s="244">
        <v>3200</v>
      </c>
      <c r="BG9" s="244">
        <v>8</v>
      </c>
      <c r="BH9" s="244">
        <v>8</v>
      </c>
      <c r="BI9" s="244">
        <v>6</v>
      </c>
      <c r="BJ9" s="244">
        <v>2400</v>
      </c>
      <c r="BK9" s="244">
        <v>55</v>
      </c>
      <c r="BL9" s="244">
        <v>24</v>
      </c>
      <c r="BM9" s="244">
        <v>59.94</v>
      </c>
      <c r="BN9" s="433">
        <v>497.75</v>
      </c>
      <c r="BP9" s="403">
        <v>6</v>
      </c>
      <c r="BQ9" s="399">
        <v>268.5</v>
      </c>
      <c r="BR9" s="251">
        <v>4</v>
      </c>
    </row>
    <row r="10" spans="1:71">
      <c r="C10" s="79"/>
      <c r="D10" s="79"/>
      <c r="E10" s="79"/>
      <c r="F10" s="79"/>
      <c r="G10" s="79"/>
      <c r="H10" s="79"/>
      <c r="I10" s="79"/>
      <c r="J10" s="79"/>
      <c r="K10" s="79"/>
      <c r="Q10"/>
      <c r="R10"/>
      <c r="S10"/>
      <c r="T10"/>
      <c r="U10"/>
      <c r="V10"/>
      <c r="W10"/>
      <c r="BA10" s="251">
        <v>6</v>
      </c>
      <c r="BB10" s="244" t="s">
        <v>272</v>
      </c>
      <c r="BC10" s="399">
        <f t="shared" si="0"/>
        <v>141</v>
      </c>
      <c r="BD10" s="244">
        <v>32</v>
      </c>
      <c r="BE10" s="244">
        <v>40</v>
      </c>
      <c r="BF10" s="244">
        <v>1080</v>
      </c>
      <c r="BG10" s="244">
        <v>8</v>
      </c>
      <c r="BH10" s="244">
        <v>8</v>
      </c>
      <c r="BI10" s="244">
        <v>6</v>
      </c>
      <c r="BJ10" s="244">
        <v>1920</v>
      </c>
      <c r="BK10" s="244">
        <v>41</v>
      </c>
      <c r="BL10" s="244">
        <v>24</v>
      </c>
      <c r="BM10" s="244">
        <v>59.94</v>
      </c>
      <c r="BN10" s="433">
        <v>138.5</v>
      </c>
      <c r="BP10" s="403">
        <v>7</v>
      </c>
      <c r="BQ10" s="399">
        <v>241.5</v>
      </c>
      <c r="BR10" s="251">
        <v>14</v>
      </c>
    </row>
    <row r="11" spans="1:71" ht="15" hidden="1">
      <c r="C11" s="79"/>
      <c r="D11" s="79"/>
      <c r="E11" s="79"/>
      <c r="F11" s="79"/>
      <c r="G11" s="79"/>
      <c r="H11" s="79"/>
      <c r="I11" s="79"/>
      <c r="J11" s="79"/>
      <c r="K11" s="79"/>
      <c r="Q11" s="178"/>
      <c r="R11" s="177"/>
      <c r="S11" s="177"/>
      <c r="T11" s="177"/>
      <c r="BA11" s="251">
        <v>7</v>
      </c>
      <c r="BB11" s="244" t="s">
        <v>273</v>
      </c>
      <c r="BC11" s="399">
        <f t="shared" si="0"/>
        <v>243</v>
      </c>
      <c r="BD11" s="244">
        <v>32</v>
      </c>
      <c r="BE11" s="244">
        <v>40</v>
      </c>
      <c r="BF11" s="244">
        <v>1440</v>
      </c>
      <c r="BG11" s="244">
        <v>8</v>
      </c>
      <c r="BH11" s="244">
        <v>8</v>
      </c>
      <c r="BI11" s="244">
        <v>6</v>
      </c>
      <c r="BJ11" s="244">
        <v>2560</v>
      </c>
      <c r="BK11" s="244">
        <v>59</v>
      </c>
      <c r="BL11" s="244">
        <v>24</v>
      </c>
      <c r="BM11" s="244">
        <v>59.94</v>
      </c>
      <c r="BN11" s="433">
        <v>241.5</v>
      </c>
      <c r="BP11" s="403">
        <v>8</v>
      </c>
      <c r="BQ11" s="399">
        <v>241.5</v>
      </c>
      <c r="BR11" s="251">
        <v>7</v>
      </c>
    </row>
    <row r="12" spans="1:71" ht="15" hidden="1">
      <c r="C12" s="79"/>
      <c r="D12" s="79"/>
      <c r="E12" s="79"/>
      <c r="F12" s="79"/>
      <c r="G12" s="79"/>
      <c r="H12" s="79"/>
      <c r="I12" s="79"/>
      <c r="J12" s="79"/>
      <c r="K12" s="79"/>
      <c r="Q12" s="178"/>
      <c r="R12" s="177"/>
      <c r="S12" s="177"/>
      <c r="T12" s="177"/>
      <c r="BA12" s="251">
        <v>8</v>
      </c>
      <c r="BB12" s="244" t="s">
        <v>274</v>
      </c>
      <c r="BC12" s="399">
        <f t="shared" si="0"/>
        <v>72</v>
      </c>
      <c r="BD12" s="244">
        <v>32</v>
      </c>
      <c r="BE12" s="244">
        <v>40</v>
      </c>
      <c r="BF12" s="244">
        <v>768</v>
      </c>
      <c r="BG12" s="244">
        <v>8</v>
      </c>
      <c r="BH12" s="244">
        <v>8</v>
      </c>
      <c r="BI12" s="244">
        <v>6</v>
      </c>
      <c r="BJ12" s="244">
        <v>1366</v>
      </c>
      <c r="BK12" s="244">
        <v>25</v>
      </c>
      <c r="BL12" s="244">
        <v>24</v>
      </c>
      <c r="BM12" s="244">
        <v>59.94</v>
      </c>
      <c r="BN12" s="433">
        <v>72</v>
      </c>
      <c r="BP12" s="403">
        <v>9</v>
      </c>
      <c r="BQ12" s="399">
        <v>209.25</v>
      </c>
      <c r="BR12" s="251">
        <v>13</v>
      </c>
    </row>
    <row r="13" spans="1:71" ht="15" hidden="1">
      <c r="C13" s="79"/>
      <c r="D13" s="79"/>
      <c r="E13" s="79"/>
      <c r="F13" s="79"/>
      <c r="G13" s="79"/>
      <c r="H13" s="79"/>
      <c r="I13" s="79"/>
      <c r="J13" s="79"/>
      <c r="K13" s="79"/>
      <c r="Q13" s="178"/>
      <c r="R13" s="177"/>
      <c r="S13" s="177"/>
      <c r="T13" s="177"/>
      <c r="BA13" s="251">
        <v>9</v>
      </c>
      <c r="BB13" s="244" t="s">
        <v>275</v>
      </c>
      <c r="BC13" s="399">
        <f t="shared" si="0"/>
        <v>522</v>
      </c>
      <c r="BD13" s="244">
        <v>32</v>
      </c>
      <c r="BE13" s="244">
        <v>40</v>
      </c>
      <c r="BF13" s="244">
        <v>3840</v>
      </c>
      <c r="BG13" s="244">
        <v>8</v>
      </c>
      <c r="BH13" s="244">
        <v>8</v>
      </c>
      <c r="BI13" s="244">
        <v>6</v>
      </c>
      <c r="BJ13" s="244">
        <v>2160</v>
      </c>
      <c r="BK13" s="244">
        <v>48</v>
      </c>
      <c r="BL13" s="244">
        <v>24</v>
      </c>
      <c r="BM13" s="244">
        <v>59.94</v>
      </c>
      <c r="BN13" s="433">
        <v>522</v>
      </c>
      <c r="BP13" s="403">
        <v>10</v>
      </c>
      <c r="BQ13" s="399">
        <v>209.25</v>
      </c>
      <c r="BR13" s="251">
        <v>3</v>
      </c>
    </row>
    <row r="14" spans="1:71" ht="15" hidden="1">
      <c r="C14" s="79"/>
      <c r="D14" s="79"/>
      <c r="E14" s="79"/>
      <c r="F14" s="79"/>
      <c r="G14" s="79"/>
      <c r="H14" s="79"/>
      <c r="I14" s="79"/>
      <c r="J14" s="79"/>
      <c r="K14" s="79"/>
      <c r="Q14" s="178"/>
      <c r="R14" s="177"/>
      <c r="S14" s="177"/>
      <c r="T14" s="177"/>
      <c r="BA14" s="251">
        <v>10</v>
      </c>
      <c r="BB14" s="244" t="s">
        <v>276</v>
      </c>
      <c r="BC14" s="399">
        <f t="shared" si="0"/>
        <v>528</v>
      </c>
      <c r="BD14" s="244">
        <v>32</v>
      </c>
      <c r="BE14" s="244">
        <v>40</v>
      </c>
      <c r="BF14" s="244">
        <v>4096</v>
      </c>
      <c r="BG14" s="244">
        <v>8</v>
      </c>
      <c r="BH14" s="244">
        <v>8</v>
      </c>
      <c r="BI14" s="244">
        <v>6</v>
      </c>
      <c r="BJ14" s="244">
        <v>2048</v>
      </c>
      <c r="BK14" s="244">
        <v>45</v>
      </c>
      <c r="BL14" s="244">
        <v>24</v>
      </c>
      <c r="BM14" s="244">
        <v>59.94</v>
      </c>
      <c r="BN14" s="433">
        <v>527.4</v>
      </c>
      <c r="BP14" s="403">
        <v>11</v>
      </c>
      <c r="BQ14" s="399">
        <v>154</v>
      </c>
      <c r="BR14" s="251">
        <v>2</v>
      </c>
    </row>
    <row r="15" spans="1:71" hidden="1">
      <c r="C15" s="79"/>
      <c r="D15" s="79"/>
      <c r="E15" s="79"/>
      <c r="F15" s="79"/>
      <c r="G15" s="79"/>
      <c r="H15" s="79"/>
      <c r="I15" s="79"/>
      <c r="J15" s="79"/>
      <c r="K15" s="79"/>
      <c r="BA15" s="251">
        <v>11</v>
      </c>
      <c r="BB15" s="244" t="s">
        <v>277</v>
      </c>
      <c r="BC15" s="399">
        <f t="shared" si="0"/>
        <v>558</v>
      </c>
      <c r="BD15" s="244">
        <v>32</v>
      </c>
      <c r="BE15" s="244">
        <v>40</v>
      </c>
      <c r="BF15" s="244">
        <v>4096</v>
      </c>
      <c r="BG15" s="244">
        <v>8</v>
      </c>
      <c r="BH15" s="244">
        <v>8</v>
      </c>
      <c r="BI15" s="244">
        <v>6</v>
      </c>
      <c r="BJ15" s="244">
        <v>2160</v>
      </c>
      <c r="BK15" s="244">
        <v>48</v>
      </c>
      <c r="BL15" s="244">
        <v>24</v>
      </c>
      <c r="BM15" s="244">
        <v>59.94</v>
      </c>
      <c r="BN15" s="433">
        <v>556.18799999999999</v>
      </c>
      <c r="BP15" s="403">
        <v>12</v>
      </c>
      <c r="BQ15" s="399">
        <v>154</v>
      </c>
      <c r="BR15" s="251">
        <v>1</v>
      </c>
    </row>
    <row r="16" spans="1:71" ht="18">
      <c r="B16" s="526" t="str">
        <f>IF(C29="eDP","eDP Input", IF(C29="DP","DP Input","Color Bar Timing"))</f>
        <v>DP Input</v>
      </c>
      <c r="C16" s="526"/>
      <c r="D16" s="526"/>
      <c r="E16" s="526"/>
      <c r="F16" s="527"/>
      <c r="G16" s="526"/>
      <c r="H16" s="526"/>
      <c r="I16" s="526"/>
      <c r="J16" s="527"/>
      <c r="K16" s="526"/>
      <c r="L16" s="527"/>
      <c r="BA16" s="251">
        <v>12</v>
      </c>
      <c r="BB16" s="244" t="s">
        <v>278</v>
      </c>
      <c r="BC16" s="399">
        <f t="shared" si="0"/>
        <v>270</v>
      </c>
      <c r="BD16" s="244">
        <v>32</v>
      </c>
      <c r="BE16" s="244">
        <v>40</v>
      </c>
      <c r="BF16" s="244">
        <v>1600</v>
      </c>
      <c r="BG16" s="244">
        <v>8</v>
      </c>
      <c r="BH16" s="244">
        <v>8</v>
      </c>
      <c r="BI16" s="244">
        <v>6</v>
      </c>
      <c r="BJ16" s="244">
        <v>2560</v>
      </c>
      <c r="BK16" s="244">
        <v>59</v>
      </c>
      <c r="BL16" s="244">
        <v>24</v>
      </c>
      <c r="BM16" s="244">
        <v>59.94</v>
      </c>
      <c r="BN16" s="433">
        <v>268.5</v>
      </c>
      <c r="BP16" s="403">
        <v>13</v>
      </c>
      <c r="BQ16" s="399">
        <v>138.5</v>
      </c>
      <c r="BR16" s="251">
        <v>6</v>
      </c>
    </row>
    <row r="17" spans="2:70" ht="17.25" customHeight="1">
      <c r="B17" s="350"/>
      <c r="C17" s="339" t="s">
        <v>94</v>
      </c>
      <c r="D17" s="143" t="s">
        <v>236</v>
      </c>
      <c r="E17" s="37" t="s">
        <v>97</v>
      </c>
      <c r="F17" s="339" t="s">
        <v>98</v>
      </c>
      <c r="G17" s="143" t="s">
        <v>99</v>
      </c>
      <c r="H17" s="143" t="s">
        <v>522</v>
      </c>
      <c r="I17" s="37" t="s">
        <v>101</v>
      </c>
      <c r="J17" s="339" t="s">
        <v>102</v>
      </c>
      <c r="K17" s="37" t="s">
        <v>103</v>
      </c>
      <c r="L17" s="342"/>
      <c r="M17" s="528" t="s">
        <v>80</v>
      </c>
      <c r="N17" s="528"/>
      <c r="O17" s="529"/>
      <c r="BA17" s="251">
        <v>13</v>
      </c>
      <c r="BB17" s="244" t="s">
        <v>279</v>
      </c>
      <c r="BC17" s="399">
        <f t="shared" si="0"/>
        <v>209.25</v>
      </c>
      <c r="BD17" s="244">
        <v>32</v>
      </c>
      <c r="BE17" s="244">
        <v>40</v>
      </c>
      <c r="BF17" s="244">
        <v>1536</v>
      </c>
      <c r="BG17" s="244">
        <v>8</v>
      </c>
      <c r="BH17" s="244">
        <v>8</v>
      </c>
      <c r="BI17" s="244">
        <v>6</v>
      </c>
      <c r="BJ17" s="244">
        <v>2048</v>
      </c>
      <c r="BK17" s="244">
        <v>45</v>
      </c>
      <c r="BL17" s="244">
        <v>24</v>
      </c>
      <c r="BM17" s="244">
        <v>59.94</v>
      </c>
      <c r="BN17" s="433">
        <v>209.25</v>
      </c>
      <c r="BP17" s="403">
        <v>14</v>
      </c>
      <c r="BQ17" s="399">
        <v>138.5</v>
      </c>
      <c r="BR17" s="251">
        <v>0</v>
      </c>
    </row>
    <row r="18" spans="2:70" ht="15" customHeight="1">
      <c r="B18" s="351" t="s">
        <v>832</v>
      </c>
      <c r="C18" s="336" t="s">
        <v>95</v>
      </c>
      <c r="D18" s="338" t="s">
        <v>96</v>
      </c>
      <c r="E18" s="337" t="s">
        <v>96</v>
      </c>
      <c r="F18" s="340" t="s">
        <v>96</v>
      </c>
      <c r="G18" s="338" t="s">
        <v>96</v>
      </c>
      <c r="H18" s="338" t="s">
        <v>100</v>
      </c>
      <c r="I18" s="337" t="s">
        <v>100</v>
      </c>
      <c r="J18" s="340" t="s">
        <v>100</v>
      </c>
      <c r="K18" s="337" t="s">
        <v>100</v>
      </c>
      <c r="L18" s="343" t="s">
        <v>71</v>
      </c>
      <c r="M18" s="67"/>
      <c r="N18" s="32" t="s">
        <v>67</v>
      </c>
      <c r="O18" s="32" t="s">
        <v>69</v>
      </c>
      <c r="P18" s="34"/>
      <c r="Q18" s="34"/>
      <c r="BA18" s="251">
        <v>14</v>
      </c>
      <c r="BB18" s="244" t="s">
        <v>280</v>
      </c>
      <c r="BC18" s="399">
        <f t="shared" si="0"/>
        <v>243</v>
      </c>
      <c r="BD18" s="244">
        <v>32</v>
      </c>
      <c r="BE18" s="244">
        <v>40</v>
      </c>
      <c r="BF18" s="244">
        <v>2560</v>
      </c>
      <c r="BG18" s="244">
        <v>8</v>
      </c>
      <c r="BH18" s="244">
        <v>8</v>
      </c>
      <c r="BI18" s="244">
        <v>6</v>
      </c>
      <c r="BJ18" s="244">
        <v>1440</v>
      </c>
      <c r="BK18" s="244">
        <v>27</v>
      </c>
      <c r="BL18" s="244">
        <v>24</v>
      </c>
      <c r="BM18" s="244">
        <v>59.94</v>
      </c>
      <c r="BN18" s="433">
        <v>241.5</v>
      </c>
      <c r="BP18" s="403">
        <v>15</v>
      </c>
      <c r="BQ18" s="399">
        <v>83.5</v>
      </c>
      <c r="BR18" s="251">
        <v>15</v>
      </c>
    </row>
    <row r="19" spans="2:70" ht="15">
      <c r="B19" s="297"/>
      <c r="C19" s="349"/>
      <c r="D19" s="345"/>
      <c r="E19" s="346"/>
      <c r="F19" s="341">
        <v>1080</v>
      </c>
      <c r="G19" s="347"/>
      <c r="H19" s="347"/>
      <c r="I19" s="348"/>
      <c r="J19" s="341">
        <v>1200</v>
      </c>
      <c r="K19" s="346"/>
      <c r="L19" s="344"/>
      <c r="M19" s="68" t="s">
        <v>66</v>
      </c>
      <c r="N19" s="33" t="s">
        <v>68</v>
      </c>
      <c r="O19" s="33" t="s">
        <v>70</v>
      </c>
      <c r="P19" s="34"/>
      <c r="Q19" s="34"/>
      <c r="BA19" s="251">
        <v>15</v>
      </c>
      <c r="BB19" s="244" t="s">
        <v>281</v>
      </c>
      <c r="BC19" s="399">
        <f t="shared" si="0"/>
        <v>84</v>
      </c>
      <c r="BD19" s="244">
        <v>32</v>
      </c>
      <c r="BE19" s="244">
        <v>40</v>
      </c>
      <c r="BF19" s="244">
        <v>1280</v>
      </c>
      <c r="BG19" s="244">
        <v>8</v>
      </c>
      <c r="BH19" s="244">
        <v>8</v>
      </c>
      <c r="BI19" s="244">
        <v>6</v>
      </c>
      <c r="BJ19" s="244">
        <v>800</v>
      </c>
      <c r="BK19" s="244">
        <v>9</v>
      </c>
      <c r="BL19" s="244">
        <v>24</v>
      </c>
      <c r="BM19" s="244">
        <v>59.94</v>
      </c>
      <c r="BN19" s="433">
        <v>83.5</v>
      </c>
      <c r="BP19" s="403">
        <v>16</v>
      </c>
      <c r="BQ19" s="399">
        <v>72</v>
      </c>
      <c r="BR19" s="251">
        <v>8</v>
      </c>
    </row>
    <row r="20" spans="2:70" ht="15">
      <c r="B20" s="6" t="s">
        <v>1659</v>
      </c>
      <c r="C20" s="142">
        <v>139</v>
      </c>
      <c r="D20" s="142">
        <v>5</v>
      </c>
      <c r="E20" s="142">
        <v>90</v>
      </c>
      <c r="F20" s="131">
        <f ca="1">IF(B20="Original",F19,OFFSET(BF4,$BM$1,0))</f>
        <v>1080</v>
      </c>
      <c r="G20" s="6">
        <v>100</v>
      </c>
      <c r="H20" s="6">
        <v>3</v>
      </c>
      <c r="I20" s="6">
        <v>3</v>
      </c>
      <c r="J20" s="131">
        <f ca="1">IF(B20="Original",J19,OFFSET(BJ4,$BM$1,0))</f>
        <v>1200</v>
      </c>
      <c r="K20" s="6">
        <v>6</v>
      </c>
      <c r="L20" s="6" t="s">
        <v>119</v>
      </c>
      <c r="M20" s="139">
        <f ca="1">BB38*10^6/((D20+E20+F20+G20)*(H20+I20+J20+K20))</f>
        <v>89.950171487737009</v>
      </c>
      <c r="N20" s="94">
        <f ca="1">(D20+E20+F20+G20)*1/BB38</f>
        <v>9.1726618705035978</v>
      </c>
      <c r="O20" s="94">
        <f ca="1">(H20+I20+J20+K20)*N20/10^3</f>
        <v>11.11726618705036</v>
      </c>
      <c r="P20" s="34"/>
      <c r="Q20" s="34"/>
      <c r="BA20" s="251">
        <v>16</v>
      </c>
      <c r="BB20" s="242" t="s">
        <v>413</v>
      </c>
      <c r="BC20" s="242">
        <v>0.1</v>
      </c>
      <c r="BD20" s="242"/>
      <c r="BE20" s="242"/>
      <c r="BF20" s="242"/>
      <c r="BG20" s="242"/>
      <c r="BH20" s="242"/>
      <c r="BI20" s="242"/>
      <c r="BJ20" s="242"/>
      <c r="BK20" s="242"/>
      <c r="BL20" s="242"/>
      <c r="BM20" s="242"/>
      <c r="BN20" s="180"/>
    </row>
    <row r="21" spans="2:70" ht="15">
      <c r="B21" s="297" t="s">
        <v>524</v>
      </c>
      <c r="C21" s="243">
        <v>5.4</v>
      </c>
      <c r="D21" s="90"/>
      <c r="E21" s="90"/>
      <c r="F21" s="90" t="s">
        <v>193</v>
      </c>
      <c r="G21" s="138"/>
      <c r="H21" s="90"/>
      <c r="I21" s="90"/>
      <c r="J21" s="90" t="s">
        <v>188</v>
      </c>
      <c r="K21" s="138"/>
      <c r="L21"/>
      <c r="M21"/>
      <c r="O21"/>
      <c r="P21" s="34"/>
      <c r="Q21" s="34"/>
    </row>
    <row r="22" spans="2:70" ht="15">
      <c r="B22" s="297" t="s">
        <v>484</v>
      </c>
      <c r="C22" s="243">
        <v>2</v>
      </c>
      <c r="D22" s="103" t="str">
        <f>IF($C$29="Color Bar",IF(OR(MOD(D20,2)&lt;&gt;0,D20&gt;8191,D20&lt;1),"NG","OK"),"-")</f>
        <v>-</v>
      </c>
      <c r="E22" s="103" t="str">
        <f>IF($C$29="Color Bar",IF(OR(MOD(E20,2)&lt;&gt;0,E20&gt;8191,E20&lt;1),"NG","OK"),"-")</f>
        <v>-</v>
      </c>
      <c r="F22" s="103" t="str">
        <f ca="1">IF(OR(F20&gt;4096,F20&lt;1),"NG","OK")</f>
        <v>OK</v>
      </c>
      <c r="G22" s="103" t="str">
        <f>IF($C$29="Color Bar",IF(OR(MOD(G20,2)&lt;&gt;0,G20&gt;8191,G20&lt;1),"NG","OK"),"-")</f>
        <v>-</v>
      </c>
      <c r="H22" s="103" t="str">
        <f>IF($C$29="Color Bar",IF(OR(H20&gt;8191,H20&lt;1),"NG","OK"),"-")</f>
        <v>-</v>
      </c>
      <c r="I22" s="103" t="str">
        <f>IF($C$29="Color Bar",IF(OR(I20&gt;8191,I20&lt;1),"NG","OK"),"-")</f>
        <v>-</v>
      </c>
      <c r="J22" s="103" t="str">
        <f ca="1">IF(OR(J20&gt;4096,J20&lt;1),"NG","OK")</f>
        <v>OK</v>
      </c>
      <c r="K22" s="103" t="str">
        <f>IF($C$29="Color Bar",IF(OR(K20&gt;8191,K20&lt;1),"NG","OK"),"-")</f>
        <v>-</v>
      </c>
      <c r="L22"/>
      <c r="O22"/>
      <c r="P22" s="34"/>
      <c r="Q22" s="34"/>
      <c r="BA22" s="198"/>
      <c r="BB22" s="23" t="s">
        <v>964</v>
      </c>
    </row>
    <row r="23" spans="2:70" ht="15.75" customHeight="1">
      <c r="B23" s="352" t="s">
        <v>1265</v>
      </c>
      <c r="C23" s="314">
        <v>154</v>
      </c>
      <c r="D23" s="161">
        <f>D20/C20*1000</f>
        <v>35.97122302158273</v>
      </c>
      <c r="E23" s="161">
        <f>E20/C20*1000</f>
        <v>647.48201438848923</v>
      </c>
      <c r="F23" s="161">
        <f ca="1">F20/C20</f>
        <v>7.7697841726618702</v>
      </c>
      <c r="G23" s="161">
        <f>G20/C20*1000</f>
        <v>719.42446043165467</v>
      </c>
      <c r="H23" s="136"/>
      <c r="I23" s="136"/>
      <c r="J23" s="136"/>
      <c r="K23"/>
      <c r="L23"/>
      <c r="M23"/>
      <c r="N23"/>
      <c r="O23"/>
      <c r="P23" s="34"/>
      <c r="Q23" s="34"/>
      <c r="BA23" s="198"/>
      <c r="BB23" s="39">
        <f>IF(L20="RGB888",24,IF(L20="RGB666",18,16))</f>
        <v>24</v>
      </c>
      <c r="BD23" s="400">
        <f ca="1">OFFSET(BC4,$BM$1,0)</f>
        <v>0.1</v>
      </c>
      <c r="BE23" s="26" t="s">
        <v>1263</v>
      </c>
    </row>
    <row r="24" spans="2:70" ht="16.5">
      <c r="B24" s="352" t="s">
        <v>1266</v>
      </c>
      <c r="C24" s="277">
        <f ca="1">IF(C23="Preset",BD23,BD24)</f>
        <v>155.25</v>
      </c>
      <c r="D24" s="144" t="s">
        <v>105</v>
      </c>
      <c r="E24" s="144" t="s">
        <v>105</v>
      </c>
      <c r="F24" s="144" t="s">
        <v>104</v>
      </c>
      <c r="G24" s="144" t="s">
        <v>106</v>
      </c>
      <c r="H24" s="136"/>
      <c r="I24" s="136"/>
      <c r="J24" s="136"/>
      <c r="K24"/>
      <c r="L24"/>
      <c r="M24"/>
      <c r="N24"/>
      <c r="O24"/>
      <c r="P24" s="34"/>
      <c r="Q24" s="34"/>
      <c r="BA24" s="23" t="s">
        <v>847</v>
      </c>
      <c r="BB24" s="254" t="s">
        <v>1267</v>
      </c>
      <c r="BC24" s="430">
        <f>MATCH($C$23,BB259:BU259,0)-1</f>
        <v>6</v>
      </c>
      <c r="BD24" s="400">
        <f ca="1">IF($C$37=24,OFFSET(BB266,0,$BC$24),IF($C$37=25,OFFSET(CL266,0,$BC$24),IF($C$37=27,OFFSET(DV266,0,$BC$24),OFFSET(FF266,0,$BC$24))))</f>
        <v>155.25</v>
      </c>
      <c r="BE24" s="26" t="s">
        <v>1264</v>
      </c>
    </row>
    <row r="25" spans="2:70" ht="15">
      <c r="B25" s="297" t="s">
        <v>921</v>
      </c>
      <c r="C25" s="190" t="str">
        <f>IF(C29="Color Bar","-",IF(C21/10*8*1000*C22&gt;C20*24,"OK","NG"))</f>
        <v>OK</v>
      </c>
      <c r="D25" s="187"/>
      <c r="E25" s="187"/>
      <c r="F25" s="187"/>
      <c r="G25" s="187"/>
      <c r="H25" s="136"/>
      <c r="I25" s="136"/>
      <c r="J25" s="136"/>
      <c r="K25"/>
      <c r="L25"/>
      <c r="M25"/>
      <c r="N25"/>
      <c r="O25"/>
      <c r="P25" s="34"/>
      <c r="Q25" s="34"/>
      <c r="BA25" s="62" t="str">
        <f ca="1">IF(AND(C23="Preset",BA40="Preset"),"Preset","Original")</f>
        <v>Original</v>
      </c>
      <c r="BC25"/>
    </row>
    <row r="26" spans="2:70" ht="15">
      <c r="B26" s="352" t="s">
        <v>922</v>
      </c>
      <c r="C26" s="190" t="str">
        <f ca="1">IF(C24&lt;1,"NG",IF(C29="Color Bar","-",IF(C24="Preset","N/A",IF(F20/C24&lt;N20,"OK","NG"))))</f>
        <v>OK</v>
      </c>
      <c r="D26" s="187"/>
      <c r="E26" s="187"/>
      <c r="F26" s="187"/>
      <c r="G26" s="187"/>
      <c r="H26" s="136"/>
      <c r="I26" s="136"/>
      <c r="J26" s="136"/>
      <c r="K26"/>
      <c r="L26"/>
      <c r="M26"/>
      <c r="N26"/>
      <c r="O26"/>
      <c r="P26" s="34"/>
      <c r="Q26" s="34"/>
      <c r="BC26"/>
    </row>
    <row r="27" spans="2:70" hidden="1">
      <c r="K27"/>
      <c r="L27"/>
      <c r="M27"/>
      <c r="N27"/>
      <c r="O27"/>
      <c r="BC27"/>
    </row>
    <row r="28" spans="2:70" ht="15">
      <c r="E28" s="90" t="s">
        <v>592</v>
      </c>
      <c r="F28" s="67" t="s">
        <v>492</v>
      </c>
      <c r="G28" s="301" t="s">
        <v>494</v>
      </c>
      <c r="H28" s="300" t="s">
        <v>495</v>
      </c>
      <c r="I28" s="302" t="s">
        <v>496</v>
      </c>
      <c r="L28"/>
      <c r="M28"/>
      <c r="BC28"/>
      <c r="BJ28" s="26" t="s">
        <v>497</v>
      </c>
      <c r="BK28" s="39">
        <f>MATCH(F29,BK30:BK36,0)-1</f>
        <v>1</v>
      </c>
      <c r="BL28"/>
      <c r="BM28"/>
    </row>
    <row r="29" spans="2:70" ht="15">
      <c r="B29" s="67" t="s">
        <v>248</v>
      </c>
      <c r="C29" s="12" t="s">
        <v>1661</v>
      </c>
      <c r="D29" s="296"/>
      <c r="E29" s="67" t="s">
        <v>493</v>
      </c>
      <c r="F29" s="243" t="s">
        <v>1546</v>
      </c>
      <c r="G29" s="304">
        <v>255</v>
      </c>
      <c r="H29" s="304">
        <v>0</v>
      </c>
      <c r="I29" s="304">
        <v>0</v>
      </c>
      <c r="J29" s="190" t="str">
        <f>IF(OR($C$29&lt;&gt;"Color Bar",$E$28&lt;&gt;"CB00 En",$F29&lt;&gt;"Original RGB"),"-",IF(OR(OR(G29&lt;0,G29&gt;255),OR(H29&lt;0,H29&gt;255),OR(I29&lt;0,I29&gt;255)),"NG","OK"))</f>
        <v>-</v>
      </c>
      <c r="K29" s="136"/>
      <c r="L29" s="296"/>
      <c r="M29" s="296"/>
      <c r="N29" s="137"/>
      <c r="O29" s="137"/>
      <c r="P29" s="34"/>
      <c r="Q29" s="34"/>
      <c r="BC29"/>
      <c r="BJ29" s="292" t="s">
        <v>483</v>
      </c>
      <c r="BK29" s="292" t="s">
        <v>482</v>
      </c>
      <c r="BL29"/>
      <c r="BM29"/>
    </row>
    <row r="30" spans="2:70" customFormat="1" ht="15">
      <c r="B30" s="67" t="s">
        <v>978</v>
      </c>
      <c r="C30" s="243" t="s">
        <v>979</v>
      </c>
      <c r="D30" s="296"/>
      <c r="E30" s="26"/>
      <c r="K30" s="296"/>
      <c r="L30" s="296"/>
      <c r="M30" s="296"/>
      <c r="N30" s="296"/>
      <c r="O30" s="296"/>
      <c r="BJ30" s="138">
        <v>0</v>
      </c>
      <c r="BK30" s="299" t="s">
        <v>488</v>
      </c>
    </row>
    <row r="31" spans="2:70" customFormat="1" hidden="1">
      <c r="D31" s="296"/>
      <c r="K31" s="296"/>
      <c r="L31" s="296"/>
      <c r="M31" s="296"/>
      <c r="N31" s="296"/>
      <c r="O31" s="296"/>
      <c r="BJ31" s="35">
        <v>1</v>
      </c>
      <c r="BK31" s="299" t="s">
        <v>489</v>
      </c>
    </row>
    <row r="32" spans="2:70" customFormat="1" hidden="1">
      <c r="D32" s="296"/>
      <c r="J32" s="296"/>
      <c r="K32" s="296"/>
      <c r="L32" s="296"/>
      <c r="M32" s="296"/>
      <c r="N32" s="296"/>
      <c r="O32" s="296"/>
      <c r="BJ32" s="35">
        <v>2</v>
      </c>
      <c r="BK32" s="298" t="s">
        <v>485</v>
      </c>
    </row>
    <row r="33" spans="2:65" customFormat="1" hidden="1">
      <c r="D33" s="296"/>
      <c r="J33" s="296"/>
      <c r="K33" s="296"/>
      <c r="L33" s="296"/>
      <c r="M33" s="296"/>
      <c r="N33" s="296"/>
      <c r="O33" s="296"/>
      <c r="BJ33" s="35">
        <v>3</v>
      </c>
      <c r="BK33" s="298" t="s">
        <v>486</v>
      </c>
    </row>
    <row r="34" spans="2:65" ht="15">
      <c r="B34" s="255" t="s">
        <v>324</v>
      </c>
      <c r="C34" s="243" t="s">
        <v>1465</v>
      </c>
      <c r="D34" s="296"/>
      <c r="E34"/>
      <c r="F34"/>
      <c r="G34"/>
      <c r="H34"/>
      <c r="I34"/>
      <c r="J34" s="136"/>
      <c r="K34" s="136"/>
      <c r="L34" s="296"/>
      <c r="M34" s="296"/>
      <c r="N34" s="137"/>
      <c r="O34" s="137"/>
      <c r="P34" s="34"/>
      <c r="Q34" s="34"/>
      <c r="BC34"/>
      <c r="BJ34" s="35">
        <v>4</v>
      </c>
      <c r="BK34" s="298" t="s">
        <v>490</v>
      </c>
      <c r="BL34"/>
      <c r="BM34"/>
    </row>
    <row r="35" spans="2:65" ht="15">
      <c r="B35" s="414" t="s">
        <v>1341</v>
      </c>
      <c r="C35" s="142">
        <v>900</v>
      </c>
      <c r="D35" s="136"/>
      <c r="E35" s="136"/>
      <c r="F35" s="136"/>
      <c r="G35" s="437"/>
      <c r="H35" s="447" t="s">
        <v>1511</v>
      </c>
      <c r="I35" s="230" t="s">
        <v>37</v>
      </c>
      <c r="K35" s="437"/>
      <c r="L35"/>
      <c r="M35"/>
      <c r="N35" s="137"/>
      <c r="O35" s="137"/>
      <c r="P35" s="34"/>
      <c r="Q35" s="34"/>
      <c r="BC35"/>
      <c r="BJ35" s="35">
        <v>5</v>
      </c>
      <c r="BK35" s="298" t="s">
        <v>491</v>
      </c>
      <c r="BL35"/>
      <c r="BM35"/>
    </row>
    <row r="36" spans="2:65" ht="15">
      <c r="B36"/>
      <c r="C36"/>
      <c r="D36" s="136"/>
      <c r="E36" s="136"/>
      <c r="F36" s="136"/>
      <c r="G36" s="437"/>
      <c r="H36" s="447" t="s">
        <v>1502</v>
      </c>
      <c r="I36" s="230" t="s">
        <v>37</v>
      </c>
      <c r="J36" s="437"/>
      <c r="K36" s="437"/>
      <c r="L36"/>
      <c r="M36"/>
      <c r="N36" s="137"/>
      <c r="O36" s="137"/>
      <c r="P36" s="34"/>
      <c r="Q36" s="34"/>
      <c r="BC36"/>
      <c r="BJ36" s="35">
        <v>6</v>
      </c>
      <c r="BK36" s="298" t="s">
        <v>487</v>
      </c>
      <c r="BL36" s="298"/>
      <c r="BM36" s="298"/>
    </row>
    <row r="37" spans="2:65" ht="15">
      <c r="B37" s="40" t="s">
        <v>284</v>
      </c>
      <c r="C37" s="42">
        <v>27</v>
      </c>
      <c r="D37"/>
      <c r="E37"/>
      <c r="F37"/>
      <c r="G37" s="438"/>
      <c r="H37" s="540" t="s">
        <v>1505</v>
      </c>
      <c r="I37" s="540"/>
      <c r="J37" s="540" t="s">
        <v>1506</v>
      </c>
      <c r="K37" s="540"/>
      <c r="L37"/>
      <c r="M37"/>
      <c r="N37"/>
      <c r="O37"/>
      <c r="P37"/>
      <c r="Q37"/>
      <c r="BA37" s="303" t="s">
        <v>414</v>
      </c>
      <c r="BB37" s="26" t="s">
        <v>1547</v>
      </c>
      <c r="BC37"/>
      <c r="BJ37"/>
      <c r="BK37"/>
      <c r="BL37"/>
      <c r="BM37"/>
    </row>
    <row r="38" spans="2:65" ht="15">
      <c r="B38" s="40" t="s">
        <v>409</v>
      </c>
      <c r="C38" s="275">
        <f>IF(BA38&gt;1200,"N/A",BA38)</f>
        <v>417</v>
      </c>
      <c r="D38"/>
      <c r="E38"/>
      <c r="F38"/>
      <c r="G38" s="438"/>
      <c r="H38" s="440" t="s">
        <v>1504</v>
      </c>
      <c r="I38" s="440" t="s">
        <v>1503</v>
      </c>
      <c r="J38" s="440" t="s">
        <v>1503</v>
      </c>
      <c r="K38" s="440" t="s">
        <v>1504</v>
      </c>
      <c r="L38"/>
      <c r="M38"/>
      <c r="N38"/>
      <c r="O38"/>
      <c r="P38"/>
      <c r="Q38"/>
      <c r="BA38" s="332">
        <f>IF(AND(C41="TX0/1 Enable",C46="Enable"),BB38*24/C40/4,IF(AND(C41="TX0 Enable",C46="Disable"),BB38*24/C40,BB38*24/C40/2))</f>
        <v>417</v>
      </c>
      <c r="BB38" s="321">
        <f>IF(C29="Color Bar",C24,C20)</f>
        <v>139</v>
      </c>
      <c r="BC38"/>
      <c r="BJ38"/>
      <c r="BK38"/>
      <c r="BL38"/>
      <c r="BM38"/>
    </row>
    <row r="39" spans="2:65" ht="15">
      <c r="B39" s="38" t="s">
        <v>966</v>
      </c>
      <c r="C39" s="42">
        <v>500</v>
      </c>
      <c r="D39" s="467">
        <f ca="1">IF($C$37=24,OFFSET(BB275,0,BC268),IF($C$37=25,OFFSET(CL275,0,CM268),IF($C$37=27,OFFSET(DV275,0,DW268),OFFSET(FF275,0,FG268))))</f>
        <v>499.5</v>
      </c>
      <c r="E39" s="38" t="s">
        <v>965</v>
      </c>
      <c r="F39"/>
      <c r="G39" s="438"/>
      <c r="H39" s="453">
        <v>0</v>
      </c>
      <c r="I39" s="453">
        <v>0</v>
      </c>
      <c r="J39" s="453">
        <v>0</v>
      </c>
      <c r="K39" s="453">
        <v>0</v>
      </c>
      <c r="L39"/>
      <c r="M39"/>
      <c r="N39"/>
      <c r="O39"/>
      <c r="P39"/>
      <c r="Q39"/>
      <c r="BA39" s="34" t="s">
        <v>810</v>
      </c>
      <c r="BB39"/>
      <c r="BC39"/>
      <c r="BJ39"/>
      <c r="BK39"/>
      <c r="BL39"/>
      <c r="BM39"/>
    </row>
    <row r="40" spans="2:65" ht="15">
      <c r="B40" s="38" t="s">
        <v>116</v>
      </c>
      <c r="C40" s="42">
        <v>4</v>
      </c>
      <c r="D40"/>
      <c r="E40"/>
      <c r="F40"/>
      <c r="G40" s="303"/>
      <c r="H40" s="538" t="s">
        <v>1507</v>
      </c>
      <c r="I40" s="442" t="s">
        <v>1508</v>
      </c>
      <c r="J40" s="443" t="s">
        <v>1509</v>
      </c>
      <c r="K40" s="445" t="s">
        <v>1510</v>
      </c>
      <c r="L40"/>
      <c r="M40"/>
      <c r="N40"/>
      <c r="O40"/>
      <c r="P40"/>
      <c r="Q40"/>
      <c r="BA40" s="62" t="str">
        <f ca="1">OFFSET(BB276,0,BC268)</f>
        <v>Original</v>
      </c>
      <c r="BJ40"/>
      <c r="BK40"/>
      <c r="BL40"/>
      <c r="BM40"/>
    </row>
    <row r="41" spans="2:65" ht="15">
      <c r="B41" s="38" t="s">
        <v>421</v>
      </c>
      <c r="C41" s="241" t="s">
        <v>249</v>
      </c>
      <c r="D41" s="373" t="s">
        <v>936</v>
      </c>
      <c r="E41" s="490" t="s">
        <v>1660</v>
      </c>
      <c r="F41" s="491"/>
      <c r="G41" s="438"/>
      <c r="H41" s="539"/>
      <c r="I41" s="453">
        <v>0</v>
      </c>
      <c r="J41" s="453">
        <v>255</v>
      </c>
      <c r="K41" s="453">
        <v>0</v>
      </c>
      <c r="L41"/>
      <c r="M41"/>
      <c r="N41"/>
      <c r="O41"/>
      <c r="P41"/>
      <c r="Q41"/>
      <c r="BA41" s="26" t="s">
        <v>935</v>
      </c>
      <c r="BB41" s="73" t="s">
        <v>937</v>
      </c>
      <c r="BC41" s="73"/>
      <c r="BD41" s="73"/>
      <c r="BE41" s="73"/>
    </row>
    <row r="42" spans="2:65" ht="15">
      <c r="B42" s="38" t="s">
        <v>285</v>
      </c>
      <c r="C42" s="241" t="s">
        <v>93</v>
      </c>
      <c r="D42"/>
      <c r="E42"/>
      <c r="F42"/>
      <c r="G42" s="438"/>
      <c r="I42" s="52"/>
      <c r="J42" s="439"/>
      <c r="K42" s="439"/>
      <c r="L42"/>
      <c r="M42"/>
      <c r="N42"/>
      <c r="O42"/>
      <c r="P42"/>
      <c r="Q42"/>
      <c r="BA42" s="374">
        <f>IF(E41="L half=&gt;TX0  R half=&gt;TX1",0,IF(E41="L half=&gt;TX1  R half=&gt;TX0",1,IF(E41="L half=&gt;TX0  L half=&gt;TX1",2,3)))</f>
        <v>0</v>
      </c>
      <c r="BB42" s="39">
        <f>IF(AND(C41="TX0/1 Enable",E41&lt;&gt;"L half=&gt;TX0  R half=&gt;TX1"),1,0)</f>
        <v>0</v>
      </c>
    </row>
    <row r="43" spans="2:65" ht="15" hidden="1">
      <c r="B43"/>
      <c r="C43"/>
      <c r="D43"/>
      <c r="E43"/>
      <c r="F43"/>
      <c r="G43" s="438"/>
      <c r="H43" s="444"/>
      <c r="I43" s="451"/>
      <c r="J43" s="446"/>
      <c r="K43" s="439"/>
      <c r="L43"/>
      <c r="M43"/>
      <c r="N43"/>
      <c r="O43"/>
      <c r="P43"/>
      <c r="Q43"/>
    </row>
    <row r="44" spans="2:65" ht="15" hidden="1">
      <c r="B44"/>
      <c r="C44"/>
      <c r="D44"/>
      <c r="E44"/>
      <c r="F44"/>
      <c r="G44" s="438"/>
      <c r="H44" s="444"/>
      <c r="I44" s="441"/>
      <c r="J44" s="446"/>
      <c r="K44" s="439"/>
      <c r="L44"/>
      <c r="M44"/>
      <c r="N44"/>
      <c r="O44"/>
      <c r="P44"/>
      <c r="Q44"/>
    </row>
    <row r="45" spans="2:65" ht="15" hidden="1">
      <c r="B45"/>
      <c r="C45"/>
      <c r="D45"/>
      <c r="E45"/>
      <c r="F45"/>
      <c r="G45" s="438"/>
      <c r="H45" s="449" t="s">
        <v>1509</v>
      </c>
      <c r="I45" s="450">
        <v>0</v>
      </c>
      <c r="J45" s="446"/>
      <c r="K45" s="439"/>
      <c r="L45"/>
      <c r="M45"/>
      <c r="N45"/>
      <c r="O45"/>
      <c r="P45"/>
      <c r="Q45"/>
    </row>
    <row r="46" spans="2:65" ht="15">
      <c r="B46" s="38" t="s">
        <v>331</v>
      </c>
      <c r="C46" s="243" t="s">
        <v>37</v>
      </c>
      <c r="D46"/>
      <c r="E46"/>
      <c r="F46"/>
      <c r="G46" s="438"/>
      <c r="H46" s="73"/>
      <c r="I46" s="73"/>
      <c r="K46" s="439"/>
      <c r="L46"/>
      <c r="M46"/>
      <c r="N46"/>
      <c r="O46"/>
      <c r="P46"/>
      <c r="Q46"/>
    </row>
    <row r="47" spans="2:65" ht="15">
      <c r="B47" s="38" t="s">
        <v>1641</v>
      </c>
      <c r="C47" s="243" t="s">
        <v>1299</v>
      </c>
      <c r="D47"/>
      <c r="E47"/>
      <c r="F47"/>
      <c r="G47" s="438"/>
      <c r="H47" s="73"/>
      <c r="I47" s="73"/>
      <c r="J47" s="439"/>
      <c r="K47" s="439"/>
      <c r="L47"/>
      <c r="M47"/>
      <c r="N47"/>
      <c r="O47"/>
      <c r="P47"/>
      <c r="Q47"/>
    </row>
    <row r="48" spans="2:65" hidden="1">
      <c r="B48"/>
      <c r="C48"/>
      <c r="D48"/>
      <c r="E48"/>
      <c r="F48"/>
      <c r="G48" s="438"/>
      <c r="H48" s="438"/>
      <c r="I48" s="438"/>
      <c r="J48" s="438"/>
      <c r="K48" s="438"/>
      <c r="L48"/>
      <c r="M48"/>
      <c r="N48"/>
      <c r="O48"/>
      <c r="P48"/>
      <c r="Q48"/>
    </row>
    <row r="49" spans="2:18" hidden="1">
      <c r="B49" s="198"/>
      <c r="C49"/>
      <c r="D49"/>
      <c r="E49"/>
      <c r="F49"/>
      <c r="G49"/>
      <c r="H49"/>
      <c r="I49"/>
      <c r="J49"/>
      <c r="K49"/>
      <c r="L49"/>
      <c r="M49"/>
      <c r="N49"/>
      <c r="O49"/>
      <c r="P49"/>
      <c r="Q49"/>
      <c r="R49"/>
    </row>
    <row r="50" spans="2:18" ht="15" hidden="1">
      <c r="B50" s="196"/>
      <c r="C50" s="196"/>
      <c r="D50" s="196"/>
      <c r="E50" s="182" t="s">
        <v>182</v>
      </c>
      <c r="F50" s="12" t="s">
        <v>35</v>
      </c>
      <c r="G50" s="182" t="s">
        <v>183</v>
      </c>
      <c r="H50" s="12" t="s">
        <v>1531</v>
      </c>
      <c r="I50"/>
      <c r="J50"/>
      <c r="K50"/>
      <c r="L50"/>
      <c r="M50"/>
      <c r="N50"/>
      <c r="O50"/>
      <c r="P50"/>
      <c r="Q50"/>
      <c r="R50"/>
    </row>
    <row r="51" spans="2:18" ht="30" hidden="1">
      <c r="B51" s="199" t="s">
        <v>190</v>
      </c>
      <c r="C51" s="141" t="s">
        <v>181</v>
      </c>
      <c r="D51" s="141" t="s">
        <v>124</v>
      </c>
      <c r="E51" s="182" t="s">
        <v>130</v>
      </c>
      <c r="F51" s="182" t="s">
        <v>127</v>
      </c>
      <c r="G51" s="182" t="s">
        <v>132</v>
      </c>
      <c r="H51" s="182" t="s">
        <v>128</v>
      </c>
      <c r="I51"/>
      <c r="J51"/>
      <c r="K51"/>
      <c r="L51"/>
      <c r="M51"/>
      <c r="P51"/>
      <c r="Q51"/>
      <c r="R51"/>
    </row>
    <row r="52" spans="2:18" ht="15" hidden="1" customHeight="1">
      <c r="B52" s="200" t="s">
        <v>191</v>
      </c>
      <c r="C52" s="12" t="s">
        <v>1326</v>
      </c>
      <c r="D52" s="6" t="s">
        <v>189</v>
      </c>
      <c r="E52" s="230">
        <v>1</v>
      </c>
      <c r="F52" s="6">
        <v>0</v>
      </c>
      <c r="G52" s="230">
        <v>1281</v>
      </c>
      <c r="H52" s="6">
        <v>0</v>
      </c>
      <c r="I52"/>
      <c r="J52"/>
      <c r="K52"/>
      <c r="L52"/>
      <c r="M52"/>
      <c r="P52"/>
      <c r="Q52"/>
      <c r="R52"/>
    </row>
    <row r="53" spans="2:18" ht="15" hidden="1" customHeight="1">
      <c r="B53" s="200" t="s">
        <v>192</v>
      </c>
      <c r="C53" s="233" t="s">
        <v>249</v>
      </c>
      <c r="D53" s="239"/>
      <c r="E53" s="69" t="str">
        <f ca="1">IF(C52="Half(Auto)","Don't Care",IF(E52&lt;1,"NG",IF(E52&gt;4096,"NG",IF(E52&gt;F20,"NG","OK"))))</f>
        <v>OK</v>
      </c>
      <c r="F53" s="240"/>
      <c r="G53" s="69" t="str">
        <f ca="1">IF(C52="Half(Auto)","Don't Care",IF(G52&lt;1,"NG",IF(G52&gt;4096,"NG",IF(G52&gt;F20,"NG","OK"))))</f>
        <v>NG</v>
      </c>
      <c r="H53" s="240"/>
      <c r="I53"/>
      <c r="J53"/>
      <c r="K53"/>
      <c r="L53"/>
      <c r="M53"/>
      <c r="P53"/>
      <c r="Q53"/>
      <c r="R53"/>
    </row>
    <row r="54" spans="2:18" ht="30" hidden="1">
      <c r="B54" s="197"/>
      <c r="C54" s="183" t="s">
        <v>125</v>
      </c>
      <c r="D54" s="183" t="s">
        <v>134</v>
      </c>
      <c r="E54" s="182" t="s">
        <v>131</v>
      </c>
      <c r="F54" s="182" t="s">
        <v>126</v>
      </c>
      <c r="G54" s="182" t="s">
        <v>133</v>
      </c>
      <c r="H54" s="182" t="s">
        <v>129</v>
      </c>
      <c r="K54"/>
      <c r="L54"/>
      <c r="M54"/>
      <c r="P54"/>
      <c r="Q54"/>
      <c r="R54"/>
    </row>
    <row r="55" spans="2:18" ht="15" hidden="1">
      <c r="B55" s="197"/>
      <c r="C55" s="6" t="s">
        <v>119</v>
      </c>
      <c r="D55" s="12" t="s">
        <v>93</v>
      </c>
      <c r="E55" s="230">
        <v>1280</v>
      </c>
      <c r="F55" s="6">
        <v>0</v>
      </c>
      <c r="G55" s="230">
        <v>2560</v>
      </c>
      <c r="H55" s="6">
        <v>0</v>
      </c>
      <c r="K55"/>
      <c r="L55"/>
      <c r="M55"/>
      <c r="P55"/>
      <c r="Q55"/>
      <c r="R55"/>
    </row>
    <row r="56" spans="2:18" ht="15" hidden="1">
      <c r="B56" s="204">
        <f>IF(C55="YCbCr422",16,IF(C55="pRGB666",18,24))</f>
        <v>24</v>
      </c>
      <c r="C56" s="232"/>
      <c r="D56" s="182" t="s">
        <v>187</v>
      </c>
      <c r="E56" s="69" t="str">
        <f ca="1">IF(C52="Half(Auto)","Don't Care",IF(E55&lt;1,"NG",IF(E55&gt;4096,"NG",IF(E55&lt;E52,"NG",IF(E55&gt;F20,"NG","OK")))))</f>
        <v>NG</v>
      </c>
      <c r="F56" s="184" t="s">
        <v>135</v>
      </c>
      <c r="G56" s="69" t="str">
        <f ca="1">IF(C52="Half(Auto)","Don't Care",IF(G55&lt;1,"NG",IF(G55&gt;4096,"NG",IF(G55&lt;G52,"NG",IF(G55&gt;F20,"NG","OK")))))</f>
        <v>NG</v>
      </c>
      <c r="H56" s="184" t="s">
        <v>136</v>
      </c>
      <c r="K56"/>
      <c r="L56"/>
      <c r="M56"/>
      <c r="P56"/>
      <c r="Q56"/>
      <c r="R56"/>
    </row>
    <row r="57" spans="2:18" ht="15" hidden="1">
      <c r="B57" s="204">
        <f>IF(L20="RGB888",IF(C55="YCbCr422",1,0),0)</f>
        <v>0</v>
      </c>
      <c r="C57" s="197"/>
      <c r="D57" s="243" t="s">
        <v>37</v>
      </c>
      <c r="E57" s="62">
        <f>IF(C52="Half(Auto)","-",E55-E52+1)</f>
        <v>1280</v>
      </c>
      <c r="F57" s="61">
        <f ca="1">IF(AND(C41="TX0/1 Enable",C46="Enable"),F20/4,IF(AND(C41="TX0 Enable",C46="Disable"),F20,F20/2))</f>
        <v>540</v>
      </c>
      <c r="G57" s="62">
        <f>IF(C52="Half(Auto)","-",G55-G52+1)</f>
        <v>1280</v>
      </c>
      <c r="H57" s="61">
        <f ca="1">IF(AND(C41="TX0/1 Enable",C46="Enable"),F20/4,IF(AND(C41="TX0 Enable",C46="Disable"),F20,F20/2))</f>
        <v>540</v>
      </c>
      <c r="K57"/>
      <c r="L57"/>
      <c r="M57"/>
      <c r="P57"/>
      <c r="Q57"/>
      <c r="R57"/>
    </row>
    <row r="58" spans="2:18" ht="15" hidden="1">
      <c r="B58" s="201">
        <f>IF(L20="RGB888",IF(C55="YCbCr444",2,0),0)</f>
        <v>0</v>
      </c>
      <c r="C58" s="458"/>
      <c r="K58"/>
      <c r="L58"/>
      <c r="M58"/>
      <c r="N58"/>
      <c r="O58"/>
      <c r="P58"/>
      <c r="Q58"/>
      <c r="R58"/>
    </row>
    <row r="59" spans="2:18" ht="15" hidden="1">
      <c r="B59" s="106">
        <f>IF(L20="YCbCr444",IF(C55="YCbCr422",3,0),0)</f>
        <v>0</v>
      </c>
      <c r="C59" s="458"/>
      <c r="D59" s="457" t="s">
        <v>1534</v>
      </c>
      <c r="E59" s="62">
        <f>IF(OR(I35="Disable",C46="Enable"),0,H39)</f>
        <v>0</v>
      </c>
      <c r="F59" s="455" t="s">
        <v>1532</v>
      </c>
      <c r="G59" s="62">
        <f>IF(OR(I36="Disable",C46="Enable"),0,I39)</f>
        <v>0</v>
      </c>
      <c r="H59" s="454" t="s">
        <v>1536</v>
      </c>
      <c r="I59" s="321">
        <f>E59+G59</f>
        <v>0</v>
      </c>
      <c r="J59" s="34"/>
      <c r="K59"/>
      <c r="L59"/>
      <c r="M59"/>
      <c r="N59"/>
      <c r="O59"/>
      <c r="P59"/>
      <c r="Q59"/>
      <c r="R59"/>
    </row>
    <row r="60" spans="2:18" ht="15" hidden="1">
      <c r="B60" s="106">
        <f>IF(L20="YCbCr422",IF(C55="YCbCr444",4,0),0)</f>
        <v>0</v>
      </c>
      <c r="D60" s="457" t="s">
        <v>1535</v>
      </c>
      <c r="E60" s="62">
        <f>IF(OR(I35="Disable",C46="Enable"),0,K39)</f>
        <v>0</v>
      </c>
      <c r="F60" s="456" t="s">
        <v>1533</v>
      </c>
      <c r="G60" s="62">
        <f>IF(OR(I36="Disable",C46="Enable"),0,J39)</f>
        <v>0</v>
      </c>
      <c r="H60" s="454" t="s">
        <v>1537</v>
      </c>
      <c r="I60" s="459">
        <f>E60+G60</f>
        <v>0</v>
      </c>
      <c r="J60" s="62">
        <f>IF(I59&gt;=I60,I59,I60)</f>
        <v>0</v>
      </c>
      <c r="K60"/>
      <c r="L60"/>
      <c r="M60"/>
      <c r="N60"/>
      <c r="O60"/>
      <c r="P60"/>
      <c r="Q60"/>
      <c r="R60"/>
    </row>
    <row r="61" spans="2:18" hidden="1">
      <c r="B61" s="106">
        <f>IF(L20="YCbCr444",IF(MID(C55,1,1)&lt;&gt;"Y",5,0),0)</f>
        <v>0</v>
      </c>
      <c r="E61" s="180"/>
      <c r="F61" s="180"/>
      <c r="G61" s="180"/>
      <c r="H61" s="180"/>
      <c r="I61"/>
      <c r="J61"/>
      <c r="K61"/>
      <c r="L61"/>
      <c r="M61"/>
      <c r="N61"/>
      <c r="O61"/>
      <c r="P61"/>
      <c r="Q61"/>
      <c r="R61"/>
    </row>
    <row r="62" spans="2:18" hidden="1">
      <c r="B62" s="106">
        <f>IF(L20="YCbCr422",IF(MID(C55,1,1)&lt;&gt;"Y",6,0),0)</f>
        <v>0</v>
      </c>
      <c r="E62" s="180"/>
      <c r="F62" s="180"/>
      <c r="G62" s="180"/>
      <c r="H62" s="180"/>
      <c r="I62"/>
      <c r="J62"/>
      <c r="K62"/>
      <c r="L62"/>
      <c r="M62"/>
      <c r="N62"/>
      <c r="O62"/>
      <c r="P62"/>
      <c r="Q62"/>
      <c r="R62"/>
    </row>
    <row r="63" spans="2:18" hidden="1">
      <c r="B63" s="106">
        <f>SUM(B57:B62)</f>
        <v>0</v>
      </c>
      <c r="E63" s="180"/>
      <c r="F63" s="180"/>
      <c r="G63" s="180"/>
      <c r="H63" s="180"/>
      <c r="I63"/>
      <c r="J63"/>
      <c r="K63"/>
      <c r="L63"/>
      <c r="M63"/>
      <c r="N63"/>
      <c r="O63"/>
      <c r="P63"/>
      <c r="Q63"/>
      <c r="R63"/>
    </row>
    <row r="64" spans="2:18" hidden="1">
      <c r="C64"/>
      <c r="E64" s="180"/>
      <c r="F64" s="180"/>
      <c r="G64" s="180"/>
      <c r="H64" s="180"/>
      <c r="I64"/>
      <c r="J64"/>
      <c r="K64"/>
      <c r="L64"/>
      <c r="M64"/>
      <c r="N64"/>
      <c r="O64"/>
      <c r="P64"/>
      <c r="Q64"/>
      <c r="R64"/>
    </row>
    <row r="65" spans="1:274" hidden="1">
      <c r="C65"/>
      <c r="E65" s="73"/>
      <c r="F65" s="73"/>
      <c r="G65" s="73"/>
      <c r="H65" s="73"/>
      <c r="I65"/>
      <c r="J65"/>
      <c r="K65"/>
      <c r="L65"/>
      <c r="M65"/>
      <c r="N65"/>
      <c r="O65"/>
      <c r="P65"/>
      <c r="Q65"/>
      <c r="R65"/>
    </row>
    <row r="66" spans="1:274" hidden="1">
      <c r="B66"/>
      <c r="C66"/>
      <c r="D66"/>
      <c r="E66"/>
      <c r="F66"/>
      <c r="G66"/>
      <c r="H66"/>
      <c r="P66"/>
      <c r="Q66"/>
      <c r="R66"/>
    </row>
    <row r="67" spans="1:274">
      <c r="B67"/>
      <c r="C67"/>
      <c r="D67"/>
      <c r="E67"/>
      <c r="F67"/>
      <c r="G67"/>
      <c r="H67"/>
      <c r="J67"/>
      <c r="K67"/>
      <c r="L67"/>
      <c r="M67"/>
      <c r="O67"/>
      <c r="P67"/>
      <c r="Q67"/>
      <c r="R67"/>
    </row>
    <row r="68" spans="1:274" ht="17.25" customHeight="1">
      <c r="B68" s="492" t="s">
        <v>415</v>
      </c>
      <c r="C68" s="492"/>
      <c r="D68" s="492"/>
      <c r="E68" s="492"/>
      <c r="F68" s="492"/>
      <c r="G68" s="492"/>
      <c r="H68" s="492"/>
      <c r="I68" s="492"/>
      <c r="J68" s="492"/>
      <c r="K68" s="492"/>
      <c r="L68"/>
      <c r="M68"/>
      <c r="N68"/>
      <c r="O68"/>
      <c r="P68"/>
      <c r="Q68"/>
      <c r="R68"/>
      <c r="S68"/>
      <c r="T68"/>
      <c r="U68"/>
    </row>
    <row r="69" spans="1:274" ht="15" customHeight="1">
      <c r="B69" s="536" t="s">
        <v>77</v>
      </c>
      <c r="C69" s="273" t="s">
        <v>237</v>
      </c>
      <c r="D69" s="273" t="str">
        <f>IF(C42="SyncEvent","-","HPW")</f>
        <v>-</v>
      </c>
      <c r="E69" s="274" t="str">
        <f>IF(C42="SyncEvent","HPW+HBP","HBP")</f>
        <v>HPW+HBP</v>
      </c>
      <c r="F69" s="273" t="str">
        <f>IF(C42="SyncEvent","-","VPW(lines)")</f>
        <v>-</v>
      </c>
      <c r="G69" s="273" t="s">
        <v>349</v>
      </c>
      <c r="H69" s="165" t="s">
        <v>73</v>
      </c>
      <c r="I69" s="133" t="s">
        <v>92</v>
      </c>
      <c r="J69" s="165" t="s">
        <v>137</v>
      </c>
      <c r="K69" s="165" t="s">
        <v>76</v>
      </c>
      <c r="M69"/>
      <c r="N69"/>
      <c r="O69"/>
      <c r="P69"/>
      <c r="Q69"/>
      <c r="R69"/>
      <c r="S69"/>
      <c r="T69"/>
      <c r="U69"/>
    </row>
    <row r="70" spans="1:274" ht="15" customHeight="1">
      <c r="B70" s="536"/>
      <c r="C70" s="312" t="s">
        <v>552</v>
      </c>
      <c r="D70" s="243" t="s">
        <v>84</v>
      </c>
      <c r="E70" s="243" t="s">
        <v>84</v>
      </c>
      <c r="F70" s="243" t="s">
        <v>84</v>
      </c>
      <c r="G70" s="243" t="s">
        <v>1007</v>
      </c>
      <c r="H70" s="166" t="s">
        <v>74</v>
      </c>
      <c r="I70" s="134" t="s">
        <v>74</v>
      </c>
      <c r="J70" s="166" t="s">
        <v>75</v>
      </c>
      <c r="K70" s="166" t="s">
        <v>70</v>
      </c>
      <c r="M70"/>
      <c r="N70"/>
      <c r="O70"/>
      <c r="P70"/>
      <c r="Q70"/>
      <c r="R70"/>
      <c r="S70"/>
      <c r="T70"/>
      <c r="U70"/>
    </row>
    <row r="71" spans="1:274" ht="15" customHeight="1">
      <c r="B71" s="536"/>
      <c r="C71" s="260" t="s">
        <v>352</v>
      </c>
      <c r="D71" s="112">
        <v>32</v>
      </c>
      <c r="E71" s="112">
        <v>260</v>
      </c>
      <c r="F71" s="112">
        <v>4</v>
      </c>
      <c r="G71" s="112">
        <v>10</v>
      </c>
      <c r="H71" s="164">
        <f ca="1">1/(C87*C88)*BB23*(F57+J60)</f>
        <v>6.4864864864864868</v>
      </c>
      <c r="I71" s="164">
        <f ca="1">IF(C42="SyncPulse",N20-D73/1000-E73/1000-H71,N20-E73/1000-H71)</f>
        <v>1.6451343429760703</v>
      </c>
      <c r="J71" s="164">
        <f ca="1">J20*N20/10^3</f>
        <v>11.007194244604317</v>
      </c>
      <c r="K71" s="164">
        <f ca="1">O20-J71</f>
        <v>0.11007194244604257</v>
      </c>
      <c r="M71"/>
      <c r="N71"/>
      <c r="O71"/>
      <c r="P71"/>
      <c r="Q71"/>
      <c r="R71"/>
      <c r="S71"/>
      <c r="T71"/>
      <c r="U71"/>
    </row>
    <row r="72" spans="1:274" ht="15" customHeight="1">
      <c r="B72" s="536"/>
      <c r="C72" s="261"/>
      <c r="D72" s="62">
        <f>IF(D70="Set",D71,INT(D20*C92/IF(C29="Color Bar",C24,C20)*C88))</f>
        <v>32</v>
      </c>
      <c r="E72" s="62">
        <f>IF(E70="Set",E71,INT(E20*C92/IF(C29="Color Bar",C24,C20)*C88))</f>
        <v>260</v>
      </c>
      <c r="F72" s="62">
        <f>IF(F70="Set",F71,H20)</f>
        <v>4</v>
      </c>
      <c r="G72" s="62">
        <f>IF(G70="Set",G71,K20)</f>
        <v>6</v>
      </c>
      <c r="H72" s="23" t="s">
        <v>406</v>
      </c>
      <c r="I72" s="69" t="str">
        <f ca="1">IF(I71&lt;B124/1000,"NG","OK")</f>
        <v>OK</v>
      </c>
      <c r="M72"/>
      <c r="N72"/>
      <c r="O72"/>
      <c r="P72"/>
      <c r="Q72"/>
      <c r="R72"/>
      <c r="S72"/>
      <c r="T72"/>
      <c r="U72"/>
    </row>
    <row r="73" spans="1:274" ht="15" customHeight="1">
      <c r="B73" s="536"/>
      <c r="C73" s="262" t="s">
        <v>351</v>
      </c>
      <c r="D73" s="202">
        <f ca="1">D72/C88/C92*1000</f>
        <v>128.12812812812814</v>
      </c>
      <c r="E73" s="202">
        <f ca="1">E72/C88/C92*1000</f>
        <v>1041.0410410410411</v>
      </c>
      <c r="F73" s="242" t="s">
        <v>1469</v>
      </c>
      <c r="G73" s="242" t="s">
        <v>1469</v>
      </c>
      <c r="H73" s="23" t="s">
        <v>407</v>
      </c>
      <c r="I73" s="213">
        <f ca="1">I71*C92</f>
        <v>102.71807553956839</v>
      </c>
      <c r="J73" s="262" t="s">
        <v>408</v>
      </c>
      <c r="M73"/>
      <c r="N73"/>
      <c r="O73"/>
      <c r="P73"/>
      <c r="Q73"/>
      <c r="R73"/>
      <c r="S73"/>
      <c r="T73"/>
      <c r="U73"/>
    </row>
    <row r="74" spans="1:274" ht="14.25" customHeight="1">
      <c r="B74" s="536"/>
      <c r="C74" s="262" t="s">
        <v>238</v>
      </c>
      <c r="D74" s="61">
        <f ca="1">D73*C92/1000</f>
        <v>8.0000000000000018</v>
      </c>
      <c r="E74" s="61">
        <f ca="1">E73*C92/1000</f>
        <v>65.000000000000014</v>
      </c>
      <c r="F74" s="69" t="str">
        <f>IF(AND(F72&gt;=1,F72&lt;=4096),"OK","NG")</f>
        <v>OK</v>
      </c>
      <c r="G74" s="69" t="str">
        <f>IF(AND(G72&gt;=1,G72&lt;=4096),"OK","NG")</f>
        <v>OK</v>
      </c>
      <c r="H74" s="69" t="str">
        <f>IF(F72+G72+2&gt;H20+I20+K20,"NG","OK")</f>
        <v>OK</v>
      </c>
      <c r="I74" s="358">
        <f ca="1">OFFSET(BB358,0,$BB$305)/1000</f>
        <v>0.5845605605605606</v>
      </c>
      <c r="J74" s="262" t="s">
        <v>929</v>
      </c>
      <c r="L74" s="79"/>
      <c r="M74"/>
      <c r="N74"/>
      <c r="O74"/>
      <c r="P74"/>
      <c r="Q74"/>
      <c r="R74"/>
      <c r="S74"/>
      <c r="T74"/>
      <c r="U74"/>
    </row>
    <row r="75" spans="1:274" ht="15.75" customHeight="1">
      <c r="A75"/>
      <c r="B75"/>
      <c r="C75"/>
      <c r="D75"/>
      <c r="E75"/>
      <c r="F75"/>
      <c r="G75"/>
      <c r="H75"/>
      <c r="I75" s="103" t="str">
        <f ca="1">IF(I71&lt;I74,"NG","OK")</f>
        <v>OK</v>
      </c>
      <c r="J75"/>
      <c r="K75"/>
      <c r="L75"/>
      <c r="M75"/>
      <c r="N75"/>
      <c r="O75"/>
      <c r="P75"/>
      <c r="Q75"/>
      <c r="R75"/>
      <c r="S75"/>
      <c r="T75"/>
      <c r="U75"/>
    </row>
    <row r="76" spans="1:274" hidden="1">
      <c r="A76"/>
      <c r="B76"/>
      <c r="C76"/>
      <c r="D76"/>
      <c r="E76"/>
      <c r="F76"/>
      <c r="G76"/>
      <c r="H76"/>
      <c r="I76"/>
      <c r="J76"/>
      <c r="K76"/>
      <c r="L76"/>
      <c r="M76"/>
      <c r="N76"/>
      <c r="O76"/>
      <c r="P76"/>
      <c r="Q76"/>
      <c r="R76"/>
      <c r="S76"/>
      <c r="T76"/>
      <c r="U76"/>
    </row>
    <row r="77" spans="1:274" hidden="1">
      <c r="A77"/>
      <c r="B77"/>
      <c r="C77"/>
      <c r="D77"/>
      <c r="E77"/>
      <c r="F77"/>
      <c r="G77"/>
      <c r="H77"/>
      <c r="I77"/>
      <c r="J77"/>
      <c r="K77"/>
      <c r="L77"/>
      <c r="M77"/>
      <c r="N77"/>
      <c r="O77"/>
      <c r="P77"/>
      <c r="Q77"/>
      <c r="R77"/>
      <c r="S77"/>
      <c r="T77"/>
      <c r="U77"/>
      <c r="JN77" s="34"/>
    </row>
    <row r="78" spans="1:274" hidden="1">
      <c r="A78"/>
      <c r="B78"/>
      <c r="C78"/>
      <c r="D78"/>
      <c r="E78"/>
      <c r="F78"/>
      <c r="G78"/>
      <c r="H78"/>
      <c r="I78"/>
      <c r="J78"/>
      <c r="K78"/>
      <c r="L78"/>
      <c r="M78"/>
      <c r="N78"/>
      <c r="O78"/>
      <c r="P78"/>
      <c r="Q78"/>
      <c r="R78"/>
      <c r="S78"/>
      <c r="T78"/>
      <c r="U78"/>
    </row>
    <row r="79" spans="1:274" hidden="1">
      <c r="A79"/>
      <c r="B79"/>
      <c r="C79"/>
      <c r="D79"/>
      <c r="E79"/>
      <c r="F79"/>
      <c r="G79"/>
      <c r="H79"/>
      <c r="I79"/>
      <c r="J79"/>
      <c r="K79"/>
      <c r="L79"/>
      <c r="M79"/>
      <c r="N79"/>
      <c r="O79"/>
      <c r="P79"/>
      <c r="Q79"/>
      <c r="R79"/>
      <c r="S79"/>
      <c r="T79"/>
      <c r="U79"/>
    </row>
    <row r="80" spans="1:274" hidden="1">
      <c r="J80" s="79">
        <f ca="1">(D23/1000+E23/1000+F23)-(D75/1000+H71)</f>
        <v>1.9667509235854554</v>
      </c>
    </row>
    <row r="81" spans="2:23" ht="15.75" hidden="1">
      <c r="B81" s="530" t="s">
        <v>107</v>
      </c>
      <c r="C81" s="531"/>
      <c r="D81" s="531"/>
      <c r="E81" s="531"/>
      <c r="F81" s="531"/>
      <c r="G81" s="531"/>
      <c r="H81" s="532"/>
      <c r="I81" s="63" t="s">
        <v>17</v>
      </c>
      <c r="J81" s="63" t="s">
        <v>18</v>
      </c>
      <c r="K81" s="63" t="s">
        <v>19</v>
      </c>
      <c r="U81" s="63" t="s">
        <v>17</v>
      </c>
      <c r="V81" s="63" t="s">
        <v>18</v>
      </c>
      <c r="W81" s="63" t="s">
        <v>19</v>
      </c>
    </row>
    <row r="82" spans="2:23" ht="15" hidden="1">
      <c r="B82" s="40" t="s">
        <v>21</v>
      </c>
      <c r="C82" s="42">
        <v>24</v>
      </c>
      <c r="D82" s="47" t="s">
        <v>22</v>
      </c>
      <c r="E82" s="21" t="str">
        <f>IF(J82&lt;=I82,IF(I82&lt;=K82,"OK","NG"),"NG")</f>
        <v>OK</v>
      </c>
      <c r="F82" s="515" t="s">
        <v>23</v>
      </c>
      <c r="G82" s="516"/>
      <c r="H82" s="517"/>
      <c r="I82" s="62">
        <f>C82</f>
        <v>24</v>
      </c>
      <c r="J82" s="44">
        <v>20</v>
      </c>
      <c r="K82" s="41">
        <v>54</v>
      </c>
      <c r="M82" s="535" t="s">
        <v>21</v>
      </c>
      <c r="N82" s="535"/>
      <c r="O82" s="140">
        <f>C82</f>
        <v>24</v>
      </c>
      <c r="P82" s="35" t="s">
        <v>20</v>
      </c>
      <c r="Q82" s="20" t="str">
        <f>IF(V82&lt;=U82,IF(U82&lt;=W82,"OK","NG"),"NG")</f>
        <v>NG</v>
      </c>
      <c r="R82" s="520" t="s">
        <v>23</v>
      </c>
      <c r="S82" s="521"/>
      <c r="T82" s="522"/>
      <c r="U82" s="62">
        <f>O82</f>
        <v>24</v>
      </c>
      <c r="V82" s="44">
        <v>40</v>
      </c>
      <c r="W82" s="41">
        <v>50</v>
      </c>
    </row>
    <row r="83" spans="2:23" ht="15" hidden="1">
      <c r="B83" s="38" t="s">
        <v>24</v>
      </c>
      <c r="C83" s="42">
        <v>3</v>
      </c>
      <c r="D83" s="43" t="s">
        <v>25</v>
      </c>
      <c r="E83" s="21" t="str">
        <f>IF(J83&lt;=I83,IF(I83&lt;=K83,"OK","NG"),"NG")</f>
        <v>OK</v>
      </c>
      <c r="F83" s="520" t="s">
        <v>26</v>
      </c>
      <c r="G83" s="521"/>
      <c r="H83" s="522"/>
      <c r="I83" s="62">
        <f>C82/C83</f>
        <v>8</v>
      </c>
      <c r="J83" s="44">
        <v>4</v>
      </c>
      <c r="K83" s="41">
        <v>40</v>
      </c>
      <c r="M83" s="535" t="s">
        <v>24</v>
      </c>
      <c r="N83" s="535"/>
      <c r="O83" s="42">
        <v>10</v>
      </c>
      <c r="P83" s="43" t="s">
        <v>25</v>
      </c>
      <c r="Q83" s="21" t="str">
        <f>IF(V83&lt;=U83,IF(U83&lt;=W83,"OK","NG"),"NG")</f>
        <v>NG</v>
      </c>
      <c r="R83" s="520" t="s">
        <v>26</v>
      </c>
      <c r="S83" s="521"/>
      <c r="T83" s="522"/>
      <c r="U83" s="62">
        <f>IF(O68="Same as TX0",I83,O82/O83)</f>
        <v>2.4</v>
      </c>
      <c r="V83" s="44">
        <v>4</v>
      </c>
      <c r="W83" s="41">
        <v>40</v>
      </c>
    </row>
    <row r="84" spans="2:23" ht="15" hidden="1">
      <c r="B84" s="38" t="s">
        <v>118</v>
      </c>
      <c r="C84" s="22" t="s">
        <v>91</v>
      </c>
      <c r="D84" s="64" t="s">
        <v>27</v>
      </c>
      <c r="E84" s="181">
        <f>IF(C84="500M-1G",I83/1,IF(C84="250M-500M",I83/2,IF(C84="125M-250M",I83/4,I83/8)))</f>
        <v>8</v>
      </c>
      <c r="F84" s="45" t="s">
        <v>20</v>
      </c>
      <c r="G84" s="46"/>
      <c r="H84" s="46"/>
      <c r="M84" s="535" t="s">
        <v>118</v>
      </c>
      <c r="N84" s="535"/>
      <c r="O84" s="22" t="s">
        <v>91</v>
      </c>
      <c r="P84" s="64" t="s">
        <v>27</v>
      </c>
      <c r="Q84" s="181">
        <f>IF(O68="Same as TX0",E84,IF(O84="500M-1G",U83/1,IF(O84="250M-500M",U83/2,IF(O84="125M-250M",U83/4,U83/8))))</f>
        <v>2.4</v>
      </c>
      <c r="R84" s="45" t="s">
        <v>20</v>
      </c>
      <c r="S84" s="46"/>
      <c r="T84" s="46"/>
    </row>
    <row r="85" spans="2:23" ht="14.25" hidden="1" customHeight="1">
      <c r="B85" s="533" t="s">
        <v>28</v>
      </c>
      <c r="C85" s="523">
        <v>75</v>
      </c>
      <c r="D85" s="525" t="s">
        <v>29</v>
      </c>
      <c r="E85" s="23"/>
      <c r="F85" s="520" t="s">
        <v>72</v>
      </c>
      <c r="G85" s="521"/>
      <c r="H85" s="522"/>
      <c r="I85" s="44"/>
      <c r="J85" s="44">
        <f>IF(ROUNDUP(J88/E84,0)&gt;511,"N/A",ROUNDUP(J88/E84,0))</f>
        <v>0</v>
      </c>
      <c r="K85" s="44">
        <v>511</v>
      </c>
      <c r="M85" s="537" t="s">
        <v>28</v>
      </c>
      <c r="N85" s="537"/>
      <c r="O85" s="523">
        <v>180</v>
      </c>
      <c r="P85" s="525" t="s">
        <v>29</v>
      </c>
      <c r="Q85" s="23"/>
      <c r="R85" s="520" t="s">
        <v>72</v>
      </c>
      <c r="S85" s="521"/>
      <c r="T85" s="522"/>
      <c r="U85" s="44"/>
      <c r="V85" s="44">
        <f>IF(ROUNDUP(V88/Q84,0)&gt;511,"N/A",ROUNDUP(V88/Q84,0))</f>
        <v>0</v>
      </c>
      <c r="W85" s="44">
        <v>511</v>
      </c>
    </row>
    <row r="86" spans="2:23" ht="14.25" hidden="1" customHeight="1">
      <c r="B86" s="534"/>
      <c r="C86" s="524"/>
      <c r="D86" s="525"/>
      <c r="E86" s="23"/>
      <c r="F86" s="520" t="s">
        <v>30</v>
      </c>
      <c r="G86" s="521"/>
      <c r="H86" s="522"/>
      <c r="I86" s="62">
        <f ca="1">IF(C87&gt;=500,0,IF(C87&gt;=250,1,IF(C87&gt;=125,2,3)))</f>
        <v>1</v>
      </c>
      <c r="J86" s="62">
        <f>C83-1</f>
        <v>2</v>
      </c>
      <c r="K86" s="62">
        <f ca="1">C87*2^I86/I83-1</f>
        <v>123.875</v>
      </c>
      <c r="M86" s="537"/>
      <c r="N86" s="537"/>
      <c r="O86" s="524"/>
      <c r="P86" s="525"/>
      <c r="Q86" s="23"/>
      <c r="R86" s="520" t="s">
        <v>30</v>
      </c>
      <c r="S86" s="521"/>
      <c r="T86" s="522"/>
      <c r="U86" s="62">
        <f>IF(O68="Same as TX0",I86,IF(O87&gt;=500,0,IF(O87&gt;=250,1,IF(O87&gt;=125,2,3))))</f>
        <v>1</v>
      </c>
      <c r="V86" s="62">
        <f>IF(O68="Same as TX0",J86,O83-1)</f>
        <v>9</v>
      </c>
      <c r="W86" s="62">
        <f>IF(O68="Same as TX0",K86,O87*2^U86/U83-1)</f>
        <v>359</v>
      </c>
    </row>
    <row r="87" spans="2:23" ht="15" hidden="1">
      <c r="B87" s="38" t="s">
        <v>115</v>
      </c>
      <c r="C87" s="39">
        <f ca="1">D39</f>
        <v>499.5</v>
      </c>
      <c r="D87" s="47" t="s">
        <v>31</v>
      </c>
      <c r="E87" s="20" t="str">
        <f ca="1">IF(J87="N/A","NG",IF(J87&lt;=C87,IF(C87&lt;=K87,"OK","NG"),"NG"))</f>
        <v>OK</v>
      </c>
      <c r="F87" s="520" t="s">
        <v>32</v>
      </c>
      <c r="G87" s="521"/>
      <c r="H87" s="522"/>
      <c r="I87" s="62">
        <f>E84*C85</f>
        <v>600</v>
      </c>
      <c r="J87" s="147">
        <v>75</v>
      </c>
      <c r="K87" s="41">
        <f>IF(C84="62.5M-125M",125,IF(C84="125M-250M",250,IF(C84="250M-500M",500,1000)))</f>
        <v>1000</v>
      </c>
      <c r="L87" s="132"/>
      <c r="M87" s="535" t="s">
        <v>115</v>
      </c>
      <c r="N87" s="535"/>
      <c r="O87" s="59">
        <f>U87</f>
        <v>432</v>
      </c>
      <c r="P87" s="47" t="s">
        <v>31</v>
      </c>
      <c r="Q87" s="20" t="str">
        <f>IF(V87="N/A","NG",IF(V87&lt;=O87,IF(O87&lt;=W87,"OK","NG"),"NG"))</f>
        <v>OK</v>
      </c>
      <c r="R87" s="520" t="s">
        <v>32</v>
      </c>
      <c r="S87" s="521"/>
      <c r="T87" s="522"/>
      <c r="U87" s="62">
        <f>IF(O68="Same as TX0",I87,Q84*O85)</f>
        <v>432</v>
      </c>
      <c r="V87" s="147">
        <v>75</v>
      </c>
      <c r="W87" s="41">
        <f>IF(O68="Same as TX0",K87,IF(O84="62.5M-125M",125,IF(O84="125M-250M",250,IF(O84="250M-500M",500,1000))))</f>
        <v>1000</v>
      </c>
    </row>
    <row r="88" spans="2:23" ht="15" hidden="1">
      <c r="B88" s="38" t="s">
        <v>116</v>
      </c>
      <c r="C88" s="39">
        <f>C40</f>
        <v>4</v>
      </c>
      <c r="D88" s="35" t="s">
        <v>33</v>
      </c>
      <c r="E88" s="26">
        <f>IF(C88=1,1,IF(C88=2,2,IF(C88=3,3,4)))</f>
        <v>4</v>
      </c>
      <c r="F88" s="148" t="s">
        <v>110</v>
      </c>
      <c r="G88" s="149"/>
      <c r="H88" s="150"/>
      <c r="I88"/>
      <c r="J88"/>
      <c r="K88"/>
      <c r="L88" s="79">
        <f>IF(O68="Same as TX0",C88,O88)</f>
        <v>4</v>
      </c>
      <c r="M88" s="535" t="s">
        <v>116</v>
      </c>
      <c r="N88" s="535"/>
      <c r="O88" s="42">
        <v>4</v>
      </c>
      <c r="P88" s="35" t="s">
        <v>33</v>
      </c>
      <c r="Q88" s="79">
        <f>IF(O68="Same as TX0",E88,IF(O88=1,1,IF(O88=2,2,IF(O88=3,3,4))))</f>
        <v>4</v>
      </c>
      <c r="R88" s="148" t="s">
        <v>110</v>
      </c>
      <c r="S88" s="149"/>
      <c r="T88" s="150"/>
      <c r="U88"/>
      <c r="V88"/>
      <c r="W88"/>
    </row>
    <row r="89" spans="2:23" ht="15" hidden="1">
      <c r="B89" s="38" t="s">
        <v>34</v>
      </c>
      <c r="C89" s="48" t="s">
        <v>122</v>
      </c>
      <c r="D89" s="24">
        <f>IF(C89="Yes",0,1)</f>
        <v>1</v>
      </c>
      <c r="E89" s="25"/>
      <c r="F89" s="151"/>
      <c r="G89" s="152"/>
      <c r="H89" s="153"/>
      <c r="I89" s="145" t="s">
        <v>108</v>
      </c>
      <c r="J89" s="146">
        <f ca="1">IF(K89&gt;1000,"N/A",K89)</f>
        <v>429.46537050259445</v>
      </c>
      <c r="K89" s="211">
        <f ca="1">1/((F23+G23/1000-B124/1000)*C88/B56/F57)</f>
        <v>429.46537050259445</v>
      </c>
      <c r="L89" s="107"/>
      <c r="M89" s="535" t="s">
        <v>34</v>
      </c>
      <c r="N89" s="535"/>
      <c r="O89" s="48" t="s">
        <v>89</v>
      </c>
      <c r="P89" s="24">
        <f>IF(O68="Same as TX0",D89,IF(O89="Yes",0,1))</f>
        <v>0</v>
      </c>
      <c r="Q89" s="25"/>
      <c r="R89" s="151"/>
      <c r="S89" s="152"/>
      <c r="T89" s="153"/>
      <c r="U89" s="145" t="s">
        <v>108</v>
      </c>
      <c r="V89" s="146">
        <f ca="1">IF(W89&gt;1000,"N/A",W89)</f>
        <v>432.62247838616719</v>
      </c>
      <c r="W89" s="210">
        <f ca="1">1/((F23+G23/1000-M124/1000)*L88/B56/H57)</f>
        <v>432.62247838616719</v>
      </c>
    </row>
    <row r="90" spans="2:23" ht="15" hidden="1">
      <c r="B90" s="49" t="s">
        <v>117</v>
      </c>
      <c r="C90" s="48" t="s">
        <v>35</v>
      </c>
      <c r="E90" s="23"/>
      <c r="F90" s="154"/>
      <c r="G90" s="155"/>
      <c r="H90" s="156"/>
      <c r="I90" s="145" t="s">
        <v>109</v>
      </c>
      <c r="J90" s="157">
        <f ca="1">IF(K90&gt;1000,"N/A",K90)</f>
        <v>396.88115785545864</v>
      </c>
      <c r="K90" s="211">
        <f ca="1">1/((N20-B124/1000-1/(C87*C88)*16*8)*C88/B56/F57)</f>
        <v>396.88115785545864</v>
      </c>
      <c r="L90" s="79"/>
      <c r="M90" s="535" t="s">
        <v>117</v>
      </c>
      <c r="N90" s="535"/>
      <c r="O90" s="48" t="s">
        <v>35</v>
      </c>
      <c r="P90" s="79" t="str">
        <f>IF(O68="Same as TX0",C90,O90)</f>
        <v>Enable</v>
      </c>
      <c r="Q90" s="23"/>
      <c r="R90" s="154"/>
      <c r="S90" s="155"/>
      <c r="T90" s="156"/>
      <c r="U90" s="145" t="s">
        <v>109</v>
      </c>
      <c r="V90" s="157">
        <f ca="1">IF(W90&gt;1000,"N/A",W90)</f>
        <v>400.06975060867268</v>
      </c>
      <c r="W90" s="210">
        <f ca="1">1/((N20-M124/1000-1/(O87*L88)*16*8)*L88/B56/H57)</f>
        <v>400.06975060867268</v>
      </c>
    </row>
    <row r="91" spans="2:23" ht="15" hidden="1">
      <c r="B91" s="38"/>
      <c r="C91" s="209"/>
      <c r="I91" s="63" t="s">
        <v>17</v>
      </c>
      <c r="J91" s="63" t="s">
        <v>18</v>
      </c>
      <c r="K91" s="63" t="s">
        <v>19</v>
      </c>
      <c r="M91" s="535" t="s">
        <v>36</v>
      </c>
      <c r="N91" s="535"/>
      <c r="O91" s="60" t="s">
        <v>37</v>
      </c>
      <c r="U91" s="63" t="s">
        <v>17</v>
      </c>
      <c r="V91" s="63" t="s">
        <v>18</v>
      </c>
      <c r="W91" s="63" t="s">
        <v>19</v>
      </c>
    </row>
    <row r="92" spans="2:23" ht="15" hidden="1">
      <c r="B92" s="38" t="s">
        <v>38</v>
      </c>
      <c r="C92" s="39">
        <f ca="1">C87/8</f>
        <v>62.4375</v>
      </c>
      <c r="D92" s="35" t="s">
        <v>20</v>
      </c>
      <c r="E92" s="27" t="str">
        <f ca="1">IF(C92&lt;=K92,"OK","NG")</f>
        <v>OK</v>
      </c>
      <c r="F92" s="520" t="s">
        <v>39</v>
      </c>
      <c r="G92" s="521"/>
      <c r="H92" s="522"/>
      <c r="I92" s="62">
        <f ca="1">C92</f>
        <v>62.4375</v>
      </c>
      <c r="J92" s="44"/>
      <c r="K92" s="44">
        <v>125</v>
      </c>
      <c r="M92" s="535" t="s">
        <v>38</v>
      </c>
      <c r="N92" s="535"/>
      <c r="O92" s="39">
        <f>O87/8</f>
        <v>54</v>
      </c>
      <c r="P92" s="35" t="s">
        <v>20</v>
      </c>
      <c r="Q92" s="27" t="str">
        <f>IF(O92&lt;=W92,"OK","NG")</f>
        <v>OK</v>
      </c>
      <c r="R92" s="520" t="s">
        <v>39</v>
      </c>
      <c r="S92" s="521"/>
      <c r="T92" s="522"/>
      <c r="U92" s="62">
        <f>O92</f>
        <v>54</v>
      </c>
      <c r="V92" s="44"/>
      <c r="W92" s="44">
        <v>125</v>
      </c>
    </row>
    <row r="93" spans="2:23" ht="15" hidden="1">
      <c r="B93" s="160" t="s">
        <v>112</v>
      </c>
      <c r="C93" s="54">
        <v>50</v>
      </c>
      <c r="D93" s="35" t="s">
        <v>113</v>
      </c>
      <c r="E93" s="31" t="str">
        <f>IF(J93&lt;=I93,"OK","NG")</f>
        <v>OK</v>
      </c>
      <c r="F93" s="520"/>
      <c r="G93" s="521"/>
      <c r="H93" s="522"/>
      <c r="I93" s="62">
        <f>C93</f>
        <v>50</v>
      </c>
      <c r="J93" s="41">
        <v>50</v>
      </c>
      <c r="K93" s="41"/>
      <c r="M93" s="541" t="s">
        <v>112</v>
      </c>
      <c r="N93" s="541"/>
      <c r="O93" s="179">
        <f>C93</f>
        <v>50</v>
      </c>
      <c r="P93" s="35" t="s">
        <v>105</v>
      </c>
      <c r="Q93" s="31" t="str">
        <f>IF(V93&lt;=U93,"OK","NG")</f>
        <v>OK</v>
      </c>
      <c r="R93" s="520"/>
      <c r="S93" s="521"/>
      <c r="T93" s="522"/>
      <c r="U93" s="62">
        <f>O93</f>
        <v>50</v>
      </c>
      <c r="V93" s="41">
        <v>50</v>
      </c>
      <c r="W93" s="41"/>
    </row>
    <row r="94" spans="2:23" ht="15" hidden="1">
      <c r="B94" s="50" t="s">
        <v>40</v>
      </c>
      <c r="C94" s="51"/>
      <c r="D94" s="52"/>
      <c r="E94" s="28"/>
      <c r="F94" s="512" t="s">
        <v>42</v>
      </c>
      <c r="G94" s="513"/>
      <c r="H94" s="514"/>
      <c r="I94" s="63" t="s">
        <v>17</v>
      </c>
      <c r="J94" s="63" t="s">
        <v>18</v>
      </c>
      <c r="K94" s="63" t="s">
        <v>19</v>
      </c>
      <c r="M94" s="510" t="s">
        <v>40</v>
      </c>
      <c r="N94" s="511"/>
      <c r="O94" s="51"/>
      <c r="P94" s="52"/>
      <c r="Q94" s="28"/>
      <c r="R94" s="512" t="s">
        <v>42</v>
      </c>
      <c r="S94" s="513"/>
      <c r="T94" s="514"/>
      <c r="U94" s="63" t="s">
        <v>17</v>
      </c>
      <c r="V94" s="63" t="s">
        <v>18</v>
      </c>
      <c r="W94" s="63" t="s">
        <v>19</v>
      </c>
    </row>
    <row r="95" spans="2:23" ht="15" hidden="1" customHeight="1">
      <c r="B95" s="53" t="s">
        <v>700</v>
      </c>
      <c r="C95" s="54">
        <v>6000</v>
      </c>
      <c r="D95" s="55" t="s">
        <v>41</v>
      </c>
      <c r="E95" s="21" t="str">
        <f ca="1">IF(J95&lt;=I95,"OK","NG")</f>
        <v>OK</v>
      </c>
      <c r="F95" s="515"/>
      <c r="G95" s="516"/>
      <c r="H95" s="517"/>
      <c r="I95" s="140">
        <f ca="1">1/(C92/2)*C95</f>
        <v>192.19219219219218</v>
      </c>
      <c r="J95" s="56">
        <v>100</v>
      </c>
      <c r="K95" s="56"/>
      <c r="M95" s="518" t="s">
        <v>235</v>
      </c>
      <c r="N95" s="519"/>
      <c r="O95" s="54">
        <v>6000</v>
      </c>
      <c r="P95" s="55" t="s">
        <v>41</v>
      </c>
      <c r="Q95" s="21" t="str">
        <f>IF(V95&lt;=U95,"OK","NG")</f>
        <v>OK</v>
      </c>
      <c r="R95" s="515"/>
      <c r="S95" s="516"/>
      <c r="T95" s="517"/>
      <c r="U95" s="140">
        <f>IF(O68="Same as TX0",I95,1/(O92/2)*O95)</f>
        <v>222.2222222222222</v>
      </c>
      <c r="V95" s="56">
        <v>100</v>
      </c>
      <c r="W95" s="56"/>
    </row>
    <row r="96" spans="2:23" ht="15" hidden="1">
      <c r="B96" s="57" t="s">
        <v>208</v>
      </c>
      <c r="C96" s="51"/>
      <c r="D96" s="51"/>
      <c r="E96" s="29" t="str">
        <f ca="1">IF(I97/C93&gt;=2/3,IF(I97/C93&lt;=3/2,"OK","NG"),"NG")</f>
        <v>NG</v>
      </c>
      <c r="F96" s="512" t="s">
        <v>78</v>
      </c>
      <c r="G96" s="513"/>
      <c r="H96" s="514"/>
      <c r="I96" s="63" t="s">
        <v>17</v>
      </c>
      <c r="J96" s="63" t="s">
        <v>18</v>
      </c>
      <c r="K96" s="63" t="s">
        <v>19</v>
      </c>
      <c r="M96" s="510" t="s">
        <v>43</v>
      </c>
      <c r="N96" s="511"/>
      <c r="O96" s="51"/>
      <c r="P96" s="51"/>
      <c r="Q96" s="29" t="str">
        <f>IF(U97/O93&gt;=2/3,IF(U97/O93&lt;=3/2,"OK","NG"),"NG")</f>
        <v>NG</v>
      </c>
      <c r="R96" s="512" t="s">
        <v>78</v>
      </c>
      <c r="S96" s="513"/>
      <c r="T96" s="514"/>
      <c r="U96" s="63" t="s">
        <v>17</v>
      </c>
      <c r="V96" s="63" t="s">
        <v>18</v>
      </c>
      <c r="W96" s="63" t="s">
        <v>19</v>
      </c>
    </row>
    <row r="97" spans="2:23" ht="15" hidden="1" customHeight="1">
      <c r="B97" s="58" t="s">
        <v>699</v>
      </c>
      <c r="C97" s="54">
        <v>5</v>
      </c>
      <c r="D97" s="47" t="s">
        <v>44</v>
      </c>
      <c r="E97" s="21" t="str">
        <f ca="1">IF(J97&lt;=I97,"OK","NG")</f>
        <v>OK</v>
      </c>
      <c r="F97" s="515" t="s">
        <v>45</v>
      </c>
      <c r="G97" s="516"/>
      <c r="H97" s="517"/>
      <c r="I97" s="140">
        <f ca="1">1/C92*(C97+1)*1000</f>
        <v>96.09609609609609</v>
      </c>
      <c r="J97" s="56">
        <v>50</v>
      </c>
      <c r="K97" s="56"/>
      <c r="M97" s="518" t="s">
        <v>221</v>
      </c>
      <c r="N97" s="519"/>
      <c r="O97" s="54">
        <v>5</v>
      </c>
      <c r="P97" s="47" t="s">
        <v>44</v>
      </c>
      <c r="Q97" s="21" t="str">
        <f>IF(V97&lt;=U97,"OK","NG")</f>
        <v>OK</v>
      </c>
      <c r="R97" s="515" t="s">
        <v>45</v>
      </c>
      <c r="S97" s="516"/>
      <c r="T97" s="517"/>
      <c r="U97" s="140">
        <f>IF(O68="Same as TX0",I97,1/O92*(O97+1)*1000)</f>
        <v>111.1111111111111</v>
      </c>
      <c r="V97" s="56">
        <v>50</v>
      </c>
      <c r="W97" s="56"/>
    </row>
    <row r="98" spans="2:23" ht="15" hidden="1">
      <c r="B98" s="57" t="s">
        <v>210</v>
      </c>
      <c r="C98" s="51"/>
      <c r="D98" s="51"/>
      <c r="E98" s="28"/>
      <c r="F98" s="512" t="s">
        <v>47</v>
      </c>
      <c r="G98" s="513"/>
      <c r="H98" s="514"/>
      <c r="I98" s="63" t="s">
        <v>17</v>
      </c>
      <c r="J98" s="63" t="s">
        <v>18</v>
      </c>
      <c r="K98" s="63" t="s">
        <v>19</v>
      </c>
      <c r="M98" s="510" t="s">
        <v>209</v>
      </c>
      <c r="N98" s="511"/>
      <c r="O98" s="51"/>
      <c r="P98" s="51"/>
      <c r="Q98" s="28"/>
      <c r="R98" s="512" t="s">
        <v>47</v>
      </c>
      <c r="S98" s="513"/>
      <c r="T98" s="514"/>
      <c r="U98" s="63" t="s">
        <v>17</v>
      </c>
      <c r="V98" s="63" t="s">
        <v>18</v>
      </c>
      <c r="W98" s="63" t="s">
        <v>19</v>
      </c>
    </row>
    <row r="99" spans="2:23" ht="15" hidden="1" customHeight="1">
      <c r="B99" s="58" t="s">
        <v>698</v>
      </c>
      <c r="C99" s="54">
        <v>5</v>
      </c>
      <c r="D99" s="47" t="s">
        <v>46</v>
      </c>
      <c r="E99" s="21" t="str">
        <f ca="1">IF(J99&lt;=I99-5,IF(I99+5&lt;=K99,"OK","NG"),"NG")</f>
        <v>NG</v>
      </c>
      <c r="F99" s="515"/>
      <c r="G99" s="516"/>
      <c r="H99" s="517"/>
      <c r="I99" s="140">
        <f ca="1">1/C92*(C99+1)*1000</f>
        <v>96.09609609609609</v>
      </c>
      <c r="J99" s="56">
        <v>38</v>
      </c>
      <c r="K99" s="56">
        <v>95</v>
      </c>
      <c r="M99" s="518" t="s">
        <v>222</v>
      </c>
      <c r="N99" s="519"/>
      <c r="O99" s="54">
        <v>4</v>
      </c>
      <c r="P99" s="47" t="s">
        <v>46</v>
      </c>
      <c r="Q99" s="21" t="str">
        <f>IF(V99&lt;=U99-5,IF(U99+5&lt;=W99,"OK","NG"),"NG")</f>
        <v>NG</v>
      </c>
      <c r="R99" s="515"/>
      <c r="S99" s="516"/>
      <c r="T99" s="517"/>
      <c r="U99" s="140">
        <f>IF(O68="Same as TX0",I99,1/O92*(O99+1)*1000)</f>
        <v>92.592592592592581</v>
      </c>
      <c r="V99" s="56">
        <v>38</v>
      </c>
      <c r="W99" s="56">
        <v>95</v>
      </c>
    </row>
    <row r="100" spans="2:23" ht="15" hidden="1">
      <c r="B100" s="57" t="s">
        <v>210</v>
      </c>
      <c r="C100" s="51"/>
      <c r="D100" s="51"/>
      <c r="E100" s="30"/>
      <c r="F100" s="512" t="s">
        <v>48</v>
      </c>
      <c r="G100" s="513"/>
      <c r="H100" s="514"/>
      <c r="I100" s="63" t="s">
        <v>17</v>
      </c>
      <c r="J100" s="63" t="s">
        <v>18</v>
      </c>
      <c r="K100" s="63" t="s">
        <v>19</v>
      </c>
      <c r="M100" s="510" t="s">
        <v>209</v>
      </c>
      <c r="N100" s="511"/>
      <c r="O100" s="51"/>
      <c r="P100" s="51"/>
      <c r="Q100" s="30"/>
      <c r="R100" s="512" t="s">
        <v>48</v>
      </c>
      <c r="S100" s="513"/>
      <c r="T100" s="514"/>
      <c r="U100" s="63" t="s">
        <v>17</v>
      </c>
      <c r="V100" s="63" t="s">
        <v>18</v>
      </c>
      <c r="W100" s="63" t="s">
        <v>19</v>
      </c>
    </row>
    <row r="101" spans="2:23" ht="15" hidden="1" customHeight="1">
      <c r="B101" s="58" t="s">
        <v>697</v>
      </c>
      <c r="C101" s="54">
        <v>37</v>
      </c>
      <c r="D101" s="47" t="s">
        <v>49</v>
      </c>
      <c r="E101" s="31" t="str">
        <f ca="1">IF(J101&lt;=I101-5,"OK","NG")</f>
        <v>OK</v>
      </c>
      <c r="F101" s="515" t="s">
        <v>50</v>
      </c>
      <c r="G101" s="516"/>
      <c r="H101" s="517"/>
      <c r="I101" s="140">
        <f ca="1">1/C92*C101*1000</f>
        <v>592.59259259259261</v>
      </c>
      <c r="J101" s="56">
        <v>300</v>
      </c>
      <c r="K101" s="56"/>
      <c r="M101" s="518" t="s">
        <v>223</v>
      </c>
      <c r="N101" s="519"/>
      <c r="O101" s="54">
        <v>36</v>
      </c>
      <c r="P101" s="47" t="s">
        <v>49</v>
      </c>
      <c r="Q101" s="31" t="str">
        <f>IF(V101&lt;=U101-5,"OK","NG")</f>
        <v>OK</v>
      </c>
      <c r="R101" s="515" t="s">
        <v>50</v>
      </c>
      <c r="S101" s="516"/>
      <c r="T101" s="517"/>
      <c r="U101" s="140">
        <f>IF(O68="Same as TX0",I101,1/O92*O101*1000)</f>
        <v>666.66666666666663</v>
      </c>
      <c r="V101" s="56">
        <v>300</v>
      </c>
      <c r="W101" s="56"/>
    </row>
    <row r="102" spans="2:23" ht="15" hidden="1">
      <c r="B102" s="57" t="s">
        <v>210</v>
      </c>
      <c r="C102" s="51"/>
      <c r="D102" s="51"/>
      <c r="E102" s="28"/>
      <c r="F102" s="512" t="s">
        <v>206</v>
      </c>
      <c r="G102" s="513"/>
      <c r="H102" s="514"/>
      <c r="I102" s="63" t="s">
        <v>17</v>
      </c>
      <c r="J102" s="63" t="s">
        <v>18</v>
      </c>
      <c r="K102" s="63" t="s">
        <v>19</v>
      </c>
      <c r="M102" s="510" t="s">
        <v>209</v>
      </c>
      <c r="N102" s="511"/>
      <c r="O102" s="51"/>
      <c r="P102" s="51"/>
      <c r="Q102" s="28"/>
      <c r="R102" s="512" t="s">
        <v>206</v>
      </c>
      <c r="S102" s="513"/>
      <c r="T102" s="514"/>
      <c r="U102" s="63" t="s">
        <v>17</v>
      </c>
      <c r="V102" s="63" t="s">
        <v>18</v>
      </c>
      <c r="W102" s="63" t="s">
        <v>19</v>
      </c>
    </row>
    <row r="103" spans="2:23" ht="15" hidden="1" customHeight="1">
      <c r="B103" s="58" t="s">
        <v>696</v>
      </c>
      <c r="C103" s="54">
        <v>1</v>
      </c>
      <c r="D103" s="47" t="s">
        <v>211</v>
      </c>
      <c r="E103" s="21" t="str">
        <f>IF(C90="Enable","Don't care",IF(I103-5&gt;J103,"OK","NG"))</f>
        <v>Don't care</v>
      </c>
      <c r="F103" s="515"/>
      <c r="G103" s="516"/>
      <c r="H103" s="517"/>
      <c r="I103" s="140">
        <f ca="1">1/C92*C103*1000</f>
        <v>16.016016016016017</v>
      </c>
      <c r="J103" s="140">
        <f ca="1">1/C87*1000*8</f>
        <v>16.016016016016017</v>
      </c>
      <c r="K103" s="208"/>
      <c r="M103" s="518" t="s">
        <v>224</v>
      </c>
      <c r="N103" s="519"/>
      <c r="O103" s="54">
        <v>3</v>
      </c>
      <c r="P103" s="47" t="s">
        <v>211</v>
      </c>
      <c r="Q103" s="21" t="str">
        <f>IF(P90="Enable","Don't care",IF(V103&lt;=U103-5,"OK","NG"))</f>
        <v>Don't care</v>
      </c>
      <c r="R103" s="515"/>
      <c r="S103" s="516"/>
      <c r="T103" s="517"/>
      <c r="U103" s="140">
        <f>IF(O68="Same as TX0",I103,1/O92*O103*1000)</f>
        <v>55.55555555555555</v>
      </c>
      <c r="V103" s="140">
        <f>1/O87*1000*8</f>
        <v>18.518518518518519</v>
      </c>
      <c r="W103" s="208"/>
    </row>
    <row r="104" spans="2:23" ht="15" hidden="1">
      <c r="B104" s="57" t="s">
        <v>51</v>
      </c>
      <c r="C104" s="51"/>
      <c r="D104" s="51"/>
      <c r="E104" s="28"/>
      <c r="F104" s="512" t="s">
        <v>52</v>
      </c>
      <c r="G104" s="513"/>
      <c r="H104" s="514"/>
      <c r="I104" s="63" t="s">
        <v>17</v>
      </c>
      <c r="J104" s="63" t="s">
        <v>18</v>
      </c>
      <c r="K104" s="63" t="s">
        <v>19</v>
      </c>
      <c r="M104" s="510" t="s">
        <v>215</v>
      </c>
      <c r="N104" s="511"/>
      <c r="O104" s="51"/>
      <c r="P104" s="51"/>
      <c r="Q104" s="28"/>
      <c r="R104" s="512" t="s">
        <v>52</v>
      </c>
      <c r="S104" s="513"/>
      <c r="T104" s="514"/>
      <c r="U104" s="63" t="s">
        <v>17</v>
      </c>
      <c r="V104" s="63" t="s">
        <v>18</v>
      </c>
      <c r="W104" s="63" t="s">
        <v>19</v>
      </c>
    </row>
    <row r="105" spans="2:23" ht="15" hidden="1" customHeight="1">
      <c r="B105" s="58" t="s">
        <v>695</v>
      </c>
      <c r="C105" s="54">
        <v>9</v>
      </c>
      <c r="D105" s="47" t="s">
        <v>49</v>
      </c>
      <c r="E105" s="21" t="str">
        <f>IF(C90="Enable","Don't care",IF(J105&lt;=I105-5,IF(I105+5&lt;=K105,"OK","NG"),"NG"))</f>
        <v>Don't care</v>
      </c>
      <c r="F105" s="515"/>
      <c r="G105" s="516"/>
      <c r="H105" s="517"/>
      <c r="I105" s="140">
        <f ca="1">1/C92*C105*1000</f>
        <v>144.14414414414415</v>
      </c>
      <c r="J105" s="56">
        <v>60</v>
      </c>
      <c r="K105" s="140">
        <f ca="1">105+1/C87*1000*12</f>
        <v>129.02402402402402</v>
      </c>
      <c r="M105" s="518" t="s">
        <v>225</v>
      </c>
      <c r="N105" s="519"/>
      <c r="O105" s="54">
        <v>10</v>
      </c>
      <c r="P105" s="47" t="s">
        <v>49</v>
      </c>
      <c r="Q105" s="21" t="str">
        <f>IF(P90="Enable","Don't care",IF(V105&lt;=U105-5,IF(U105+5&lt;=W105,"OK","NG"),"NG"))</f>
        <v>Don't care</v>
      </c>
      <c r="R105" s="515"/>
      <c r="S105" s="516"/>
      <c r="T105" s="517"/>
      <c r="U105" s="140">
        <f>IF(O68="Same as TX0",I105,1/O92*O105*1000)</f>
        <v>185.18518518518516</v>
      </c>
      <c r="V105" s="56">
        <v>60</v>
      </c>
      <c r="W105" s="140">
        <f>IF(O68="Same as TX0",K105,105+1/O87*1000*12-30)</f>
        <v>102.77777777777777</v>
      </c>
    </row>
    <row r="106" spans="2:23" ht="15" hidden="1">
      <c r="B106" s="57" t="s">
        <v>51</v>
      </c>
      <c r="C106" s="51"/>
      <c r="D106" s="51"/>
      <c r="E106" s="28"/>
      <c r="F106" s="512" t="s">
        <v>207</v>
      </c>
      <c r="G106" s="513"/>
      <c r="H106" s="514"/>
      <c r="I106" s="63" t="s">
        <v>17</v>
      </c>
      <c r="J106" s="63" t="s">
        <v>18</v>
      </c>
      <c r="K106" s="63" t="s">
        <v>19</v>
      </c>
      <c r="M106" s="510" t="s">
        <v>215</v>
      </c>
      <c r="N106" s="511"/>
      <c r="O106" s="51"/>
      <c r="P106" s="51"/>
      <c r="Q106" s="28"/>
      <c r="R106" s="512" t="s">
        <v>207</v>
      </c>
      <c r="S106" s="513"/>
      <c r="T106" s="514"/>
      <c r="U106" s="63" t="s">
        <v>17</v>
      </c>
      <c r="V106" s="63" t="s">
        <v>18</v>
      </c>
      <c r="W106" s="63" t="s">
        <v>19</v>
      </c>
    </row>
    <row r="107" spans="2:23" ht="15" hidden="1" customHeight="1">
      <c r="B107" s="58" t="s">
        <v>694</v>
      </c>
      <c r="C107" s="54">
        <v>13</v>
      </c>
      <c r="D107" s="47" t="s">
        <v>49</v>
      </c>
      <c r="E107" s="21" t="str">
        <f>IF(C90="Enable","Don't care",IF(J107&lt;=I107-5,"OK","NG"))</f>
        <v>Don't care</v>
      </c>
      <c r="F107" s="515"/>
      <c r="G107" s="516"/>
      <c r="H107" s="517"/>
      <c r="I107" s="140">
        <f ca="1">1/C92*C107*1000</f>
        <v>208.20820820820822</v>
      </c>
      <c r="J107" s="56">
        <v>100</v>
      </c>
      <c r="K107" s="208"/>
      <c r="M107" s="518" t="s">
        <v>226</v>
      </c>
      <c r="N107" s="519"/>
      <c r="O107" s="54">
        <v>20</v>
      </c>
      <c r="P107" s="47" t="s">
        <v>49</v>
      </c>
      <c r="Q107" s="21" t="str">
        <f>IF(P90="Enable","Don't care",IF(V107&lt;=U107-5,"OK","NG"))</f>
        <v>Don't care</v>
      </c>
      <c r="R107" s="515"/>
      <c r="S107" s="516"/>
      <c r="T107" s="517"/>
      <c r="U107" s="140">
        <f>IF(O68="Same as TX0",I107,1/O92*O107*1000)</f>
        <v>370.37037037037032</v>
      </c>
      <c r="V107" s="56">
        <v>100</v>
      </c>
      <c r="W107" s="208"/>
    </row>
    <row r="108" spans="2:23" ht="15" hidden="1">
      <c r="B108" s="57" t="s">
        <v>213</v>
      </c>
      <c r="C108" s="51"/>
      <c r="D108" s="51"/>
      <c r="E108" s="28"/>
      <c r="F108" s="512" t="s">
        <v>53</v>
      </c>
      <c r="G108" s="513"/>
      <c r="H108" s="514"/>
      <c r="I108" s="63" t="s">
        <v>17</v>
      </c>
      <c r="J108" s="63" t="s">
        <v>18</v>
      </c>
      <c r="K108" s="63" t="s">
        <v>19</v>
      </c>
      <c r="M108" s="510" t="s">
        <v>212</v>
      </c>
      <c r="N108" s="511"/>
      <c r="O108" s="51"/>
      <c r="P108" s="51"/>
      <c r="Q108" s="28"/>
      <c r="R108" s="512" t="s">
        <v>53</v>
      </c>
      <c r="S108" s="513"/>
      <c r="T108" s="514"/>
      <c r="U108" s="63" t="s">
        <v>17</v>
      </c>
      <c r="V108" s="63" t="s">
        <v>18</v>
      </c>
      <c r="W108" s="63" t="s">
        <v>19</v>
      </c>
    </row>
    <row r="109" spans="2:23" ht="15" hidden="1" customHeight="1">
      <c r="B109" s="58" t="s">
        <v>693</v>
      </c>
      <c r="C109" s="54">
        <v>7</v>
      </c>
      <c r="D109" s="47" t="s">
        <v>46</v>
      </c>
      <c r="E109" s="21" t="str">
        <f ca="1">IF(J109&lt;=I109-5,IF(I109+5&lt;=K109,"OK","NG"),"NG")</f>
        <v>NG</v>
      </c>
      <c r="F109" s="515"/>
      <c r="G109" s="516"/>
      <c r="H109" s="517"/>
      <c r="I109" s="140">
        <f ca="1">1/C92*C109*1000</f>
        <v>112.11211211211211</v>
      </c>
      <c r="J109" s="140">
        <f ca="1">40+1/C87*1000*4</f>
        <v>48.008008008008005</v>
      </c>
      <c r="K109" s="140">
        <f ca="1">85+1/C87*1000*6</f>
        <v>97.012012012012008</v>
      </c>
      <c r="M109" s="518" t="s">
        <v>227</v>
      </c>
      <c r="N109" s="519"/>
      <c r="O109" s="54">
        <v>6</v>
      </c>
      <c r="P109" s="47" t="s">
        <v>46</v>
      </c>
      <c r="Q109" s="21" t="str">
        <f>IF(V109&lt;=U109-5,IF(U109+5&lt;=W109,"OK","NG"),"NG")</f>
        <v>NG</v>
      </c>
      <c r="R109" s="515"/>
      <c r="S109" s="516"/>
      <c r="T109" s="517"/>
      <c r="U109" s="140">
        <f>IF(O68="Same as TX0",I109,1/O92*O109*1000)</f>
        <v>111.1111111111111</v>
      </c>
      <c r="V109" s="140">
        <f>IF(O68="Same as TX0",J109,40+1/O87*1000*4)</f>
        <v>49.25925925925926</v>
      </c>
      <c r="W109" s="140">
        <f>IF(O68="Same as TX0",K109,85+1/O87*1000*6)</f>
        <v>98.888888888888886</v>
      </c>
    </row>
    <row r="110" spans="2:23" ht="15" hidden="1">
      <c r="B110" s="57" t="s">
        <v>213</v>
      </c>
      <c r="C110" s="51"/>
      <c r="D110" s="51"/>
      <c r="E110" s="30"/>
      <c r="F110" s="512" t="s">
        <v>54</v>
      </c>
      <c r="G110" s="513"/>
      <c r="H110" s="514"/>
      <c r="I110" s="63" t="s">
        <v>17</v>
      </c>
      <c r="J110" s="63" t="s">
        <v>18</v>
      </c>
      <c r="K110" s="63" t="s">
        <v>19</v>
      </c>
      <c r="M110" s="510" t="s">
        <v>212</v>
      </c>
      <c r="N110" s="511"/>
      <c r="O110" s="51"/>
      <c r="P110" s="51"/>
      <c r="Q110" s="30"/>
      <c r="R110" s="512" t="s">
        <v>54</v>
      </c>
      <c r="S110" s="513"/>
      <c r="T110" s="514"/>
      <c r="U110" s="63" t="s">
        <v>17</v>
      </c>
      <c r="V110" s="63" t="s">
        <v>18</v>
      </c>
      <c r="W110" s="63" t="s">
        <v>19</v>
      </c>
    </row>
    <row r="111" spans="2:23" ht="15" hidden="1" customHeight="1">
      <c r="B111" s="58" t="s">
        <v>692</v>
      </c>
      <c r="C111" s="54">
        <v>20</v>
      </c>
      <c r="D111" s="47" t="s">
        <v>46</v>
      </c>
      <c r="E111" s="31" t="str">
        <f ca="1">IF(J111&lt;=I111-5,"OK","NG")</f>
        <v>OK</v>
      </c>
      <c r="F111" s="515" t="s">
        <v>55</v>
      </c>
      <c r="G111" s="516"/>
      <c r="H111" s="517"/>
      <c r="I111" s="140">
        <f ca="1">1/C92*C111*1000</f>
        <v>320.32032032032032</v>
      </c>
      <c r="J111" s="140">
        <f ca="1">145+1/C87*1000*10</f>
        <v>165.02002002002001</v>
      </c>
      <c r="K111" s="56"/>
      <c r="M111" s="518" t="s">
        <v>228</v>
      </c>
      <c r="N111" s="519"/>
      <c r="O111" s="54">
        <v>20</v>
      </c>
      <c r="P111" s="47" t="s">
        <v>46</v>
      </c>
      <c r="Q111" s="31" t="str">
        <f>IF(V111&lt;=U111-5,"OK","NG")</f>
        <v>OK</v>
      </c>
      <c r="R111" s="515" t="s">
        <v>55</v>
      </c>
      <c r="S111" s="516"/>
      <c r="T111" s="517"/>
      <c r="U111" s="140">
        <f>IF(O68="Same as TX0",I111,1/O92*O111*1000)</f>
        <v>370.37037037037032</v>
      </c>
      <c r="V111" s="140">
        <f>IF(O68="Same as TX0",J111,145+1/O87*1000*10)</f>
        <v>168.14814814814815</v>
      </c>
      <c r="W111" s="56"/>
    </row>
    <row r="112" spans="2:23" ht="15" hidden="1">
      <c r="B112" s="57" t="s">
        <v>56</v>
      </c>
      <c r="C112" s="51"/>
      <c r="D112" s="51"/>
      <c r="E112" s="28"/>
      <c r="F112" s="512" t="s">
        <v>57</v>
      </c>
      <c r="G112" s="513"/>
      <c r="H112" s="514"/>
      <c r="I112" s="63" t="s">
        <v>17</v>
      </c>
      <c r="J112" s="63" t="s">
        <v>18</v>
      </c>
      <c r="K112" s="63" t="s">
        <v>19</v>
      </c>
      <c r="M112" s="510" t="s">
        <v>216</v>
      </c>
      <c r="N112" s="511"/>
      <c r="O112" s="51"/>
      <c r="P112" s="51"/>
      <c r="Q112" s="28"/>
      <c r="R112" s="512" t="s">
        <v>57</v>
      </c>
      <c r="S112" s="513"/>
      <c r="T112" s="514"/>
      <c r="U112" s="63" t="s">
        <v>17</v>
      </c>
      <c r="V112" s="63" t="s">
        <v>18</v>
      </c>
      <c r="W112" s="63" t="s">
        <v>19</v>
      </c>
    </row>
    <row r="113" spans="2:53" ht="15" hidden="1" customHeight="1">
      <c r="B113" s="58" t="s">
        <v>691</v>
      </c>
      <c r="C113" s="54">
        <v>9000</v>
      </c>
      <c r="D113" s="55" t="s">
        <v>41</v>
      </c>
      <c r="E113" s="21" t="str">
        <f ca="1">IF(J113&lt;=I113,"OK","NG")</f>
        <v>NG</v>
      </c>
      <c r="F113" s="515"/>
      <c r="G113" s="516"/>
      <c r="H113" s="517"/>
      <c r="I113" s="140">
        <f ca="1">I97*C113/10^6</f>
        <v>0.8648648648648648</v>
      </c>
      <c r="J113" s="56">
        <v>1</v>
      </c>
      <c r="K113" s="56"/>
      <c r="M113" s="518" t="s">
        <v>229</v>
      </c>
      <c r="N113" s="519"/>
      <c r="O113" s="54">
        <v>20000</v>
      </c>
      <c r="P113" s="55" t="s">
        <v>41</v>
      </c>
      <c r="Q113" s="21" t="str">
        <f>IF(V113&lt;=U113,"OK","NG")</f>
        <v>OK</v>
      </c>
      <c r="R113" s="515"/>
      <c r="S113" s="516"/>
      <c r="T113" s="517"/>
      <c r="U113" s="140">
        <f>IF(O68="Same as TX0",I113,U97*O113/10^6)</f>
        <v>2.2222222222222219</v>
      </c>
      <c r="V113" s="56">
        <v>1</v>
      </c>
      <c r="W113" s="56"/>
    </row>
    <row r="114" spans="2:53" ht="15" hidden="1">
      <c r="B114" s="57" t="s">
        <v>58</v>
      </c>
      <c r="C114" s="51"/>
      <c r="D114" s="51"/>
      <c r="E114" s="28"/>
      <c r="F114" s="512" t="s">
        <v>60</v>
      </c>
      <c r="G114" s="513"/>
      <c r="H114" s="514"/>
      <c r="I114" s="63" t="s">
        <v>17</v>
      </c>
      <c r="J114" s="63" t="s">
        <v>18</v>
      </c>
      <c r="K114" s="63" t="s">
        <v>19</v>
      </c>
      <c r="M114" s="510" t="s">
        <v>217</v>
      </c>
      <c r="N114" s="511"/>
      <c r="O114" s="51"/>
      <c r="P114" s="51"/>
      <c r="Q114" s="28"/>
      <c r="R114" s="512" t="s">
        <v>60</v>
      </c>
      <c r="S114" s="513"/>
      <c r="T114" s="514"/>
      <c r="U114" s="63" t="s">
        <v>17</v>
      </c>
      <c r="V114" s="63" t="s">
        <v>18</v>
      </c>
      <c r="W114" s="63" t="s">
        <v>19</v>
      </c>
    </row>
    <row r="115" spans="2:53" ht="15" hidden="1" customHeight="1">
      <c r="B115" s="58" t="s">
        <v>690</v>
      </c>
      <c r="C115" s="54">
        <v>15</v>
      </c>
      <c r="D115" s="47" t="s">
        <v>59</v>
      </c>
      <c r="E115" s="21" t="str">
        <f>IF(C90="Enable","Don't care",IF(J115&lt;=I115-5,"OK","NG"))</f>
        <v>Don't care</v>
      </c>
      <c r="F115" s="515"/>
      <c r="G115" s="516"/>
      <c r="H115" s="517"/>
      <c r="I115" s="140">
        <f ca="1">1/C92*C115*1000</f>
        <v>240.24024024024024</v>
      </c>
      <c r="J115" s="140">
        <f ca="1">60+1/C87*1000*52</f>
        <v>164.10410410410412</v>
      </c>
      <c r="K115" s="56"/>
      <c r="M115" s="518" t="s">
        <v>230</v>
      </c>
      <c r="N115" s="519"/>
      <c r="O115" s="54">
        <v>14</v>
      </c>
      <c r="P115" s="47" t="s">
        <v>59</v>
      </c>
      <c r="Q115" s="21" t="str">
        <f>IF(P90="Enable","Don't care",IF(V115&lt;=U115-5,"OK","NG"))</f>
        <v>Don't care</v>
      </c>
      <c r="R115" s="515"/>
      <c r="S115" s="516"/>
      <c r="T115" s="517"/>
      <c r="U115" s="140">
        <f>IF(O68="Same as TX0",I115,1/O92*O115*1000)</f>
        <v>259.25925925925924</v>
      </c>
      <c r="V115" s="140">
        <f>IF(O68="Same as TX0",J115,60+1/O87*1000*52)</f>
        <v>180.37037037037038</v>
      </c>
      <c r="W115" s="56"/>
    </row>
    <row r="116" spans="2:53" ht="15" hidden="1">
      <c r="B116" s="57" t="s">
        <v>61</v>
      </c>
      <c r="C116" s="51"/>
      <c r="D116" s="51"/>
      <c r="E116" s="28"/>
      <c r="F116" s="512" t="s">
        <v>63</v>
      </c>
      <c r="G116" s="513"/>
      <c r="H116" s="514"/>
      <c r="I116" s="63" t="s">
        <v>17</v>
      </c>
      <c r="J116" s="63" t="s">
        <v>18</v>
      </c>
      <c r="K116" s="63" t="s">
        <v>19</v>
      </c>
      <c r="M116" s="510" t="s">
        <v>218</v>
      </c>
      <c r="N116" s="511"/>
      <c r="O116" s="51"/>
      <c r="P116" s="51"/>
      <c r="Q116" s="28"/>
      <c r="R116" s="512" t="s">
        <v>63</v>
      </c>
      <c r="S116" s="513"/>
      <c r="T116" s="514"/>
      <c r="U116" s="63" t="s">
        <v>17</v>
      </c>
      <c r="V116" s="63" t="s">
        <v>18</v>
      </c>
      <c r="W116" s="63" t="s">
        <v>19</v>
      </c>
    </row>
    <row r="117" spans="2:53" ht="15" hidden="1" customHeight="1">
      <c r="B117" s="158" t="s">
        <v>689</v>
      </c>
      <c r="C117" s="54">
        <v>9</v>
      </c>
      <c r="D117" s="47" t="s">
        <v>62</v>
      </c>
      <c r="E117" s="21" t="str">
        <f ca="1">IF(J117&lt;=I117-5,IF(I117+5&lt;=K117,"OK","NG"),"NG")</f>
        <v>NG</v>
      </c>
      <c r="F117" s="515"/>
      <c r="G117" s="516"/>
      <c r="H117" s="517"/>
      <c r="I117" s="140">
        <f ca="1">1/C92*C117*1000</f>
        <v>144.14414414414415</v>
      </c>
      <c r="J117" s="140">
        <f ca="1">MAX(1/C87*1000*8,60+1/C87*1000*4)</f>
        <v>68.008008008008005</v>
      </c>
      <c r="K117" s="140">
        <f ca="1">105+1/C87*1000*12-30</f>
        <v>99.024024024024015</v>
      </c>
      <c r="M117" s="518" t="s">
        <v>231</v>
      </c>
      <c r="N117" s="519"/>
      <c r="O117" s="54">
        <v>8</v>
      </c>
      <c r="P117" s="47" t="s">
        <v>62</v>
      </c>
      <c r="Q117" s="21" t="str">
        <f>IF(V117&lt;=U117-5,IF(U117+5&lt;=W117,"OK","NG"),"NG")</f>
        <v>NG</v>
      </c>
      <c r="R117" s="515"/>
      <c r="S117" s="516"/>
      <c r="T117" s="517"/>
      <c r="U117" s="140">
        <f>IF(O68="Same as TX0",I117,1/O92*O117*1000)</f>
        <v>148.14814814814815</v>
      </c>
      <c r="V117" s="140">
        <f>IF(O68="Same as TX0",J117,MAX(1/O87*1000*8,60+1/O87*1000*4))</f>
        <v>69.259259259259267</v>
      </c>
      <c r="W117" s="140">
        <f>IF(O68="Same as TX0",K117,105+1/O87*1000*12-30)</f>
        <v>102.77777777777777</v>
      </c>
    </row>
    <row r="118" spans="2:53" ht="15" hidden="1">
      <c r="B118" s="57" t="s">
        <v>61</v>
      </c>
      <c r="C118" s="51"/>
      <c r="D118" s="51"/>
      <c r="E118" s="28"/>
      <c r="F118" s="512" t="s">
        <v>214</v>
      </c>
      <c r="G118" s="513"/>
      <c r="H118" s="514"/>
      <c r="I118" s="63" t="s">
        <v>17</v>
      </c>
      <c r="J118" s="63" t="s">
        <v>18</v>
      </c>
      <c r="K118" s="63" t="s">
        <v>19</v>
      </c>
      <c r="M118" s="510" t="s">
        <v>218</v>
      </c>
      <c r="N118" s="511"/>
      <c r="O118" s="51"/>
      <c r="P118" s="51"/>
      <c r="Q118" s="28"/>
      <c r="R118" s="512" t="s">
        <v>214</v>
      </c>
      <c r="S118" s="513"/>
      <c r="T118" s="514"/>
      <c r="U118" s="63" t="s">
        <v>17</v>
      </c>
      <c r="V118" s="63" t="s">
        <v>18</v>
      </c>
      <c r="W118" s="63" t="s">
        <v>19</v>
      </c>
    </row>
    <row r="119" spans="2:53" ht="15" hidden="1" customHeight="1">
      <c r="B119" s="158" t="s">
        <v>688</v>
      </c>
      <c r="C119" s="54">
        <v>14</v>
      </c>
      <c r="D119" s="47" t="s">
        <v>62</v>
      </c>
      <c r="E119" s="21" t="str">
        <f ca="1">IF(J119&lt;=I119-5,"OK","NG")</f>
        <v>OK</v>
      </c>
      <c r="F119" s="515"/>
      <c r="G119" s="516"/>
      <c r="H119" s="517"/>
      <c r="I119" s="140">
        <f ca="1">1/C92*C119*1000</f>
        <v>224.22422422422423</v>
      </c>
      <c r="J119" s="208">
        <v>100</v>
      </c>
      <c r="K119" s="208"/>
      <c r="M119" s="518" t="s">
        <v>232</v>
      </c>
      <c r="N119" s="519"/>
      <c r="O119" s="54">
        <v>12</v>
      </c>
      <c r="P119" s="47" t="s">
        <v>62</v>
      </c>
      <c r="Q119" s="21" t="str">
        <f>IF(V119&lt;=U119-5,"OK","NG")</f>
        <v>OK</v>
      </c>
      <c r="R119" s="515"/>
      <c r="S119" s="516"/>
      <c r="T119" s="517"/>
      <c r="U119" s="140">
        <f>IF(O68="Same as TX0",I119,1/O92*O119*1000)</f>
        <v>222.2222222222222</v>
      </c>
      <c r="V119" s="208">
        <v>100</v>
      </c>
      <c r="W119" s="208"/>
    </row>
    <row r="120" spans="2:53" ht="14.25" hidden="1" customHeight="1">
      <c r="B120" s="159" t="s">
        <v>220</v>
      </c>
      <c r="C120" s="51"/>
      <c r="D120" s="51"/>
      <c r="E120" s="51"/>
      <c r="F120" s="512" t="s">
        <v>120</v>
      </c>
      <c r="G120" s="513"/>
      <c r="H120" s="514"/>
      <c r="I120" s="140">
        <f ca="1">(C121+2)/C92*1000</f>
        <v>224.22422422422423</v>
      </c>
      <c r="J120" s="63" t="s">
        <v>18</v>
      </c>
      <c r="K120" s="63" t="s">
        <v>19</v>
      </c>
      <c r="M120" s="542" t="s">
        <v>219</v>
      </c>
      <c r="N120" s="543"/>
      <c r="O120" s="51"/>
      <c r="P120" s="51"/>
      <c r="Q120" s="51"/>
      <c r="R120" s="512" t="s">
        <v>120</v>
      </c>
      <c r="S120" s="513"/>
      <c r="T120" s="514"/>
      <c r="U120" s="140">
        <f>IF(O68="Same as TX0",I120,(O121+2)/O92*1000)</f>
        <v>111.1111111111111</v>
      </c>
      <c r="V120" s="63" t="s">
        <v>18</v>
      </c>
      <c r="W120" s="63" t="s">
        <v>19</v>
      </c>
    </row>
    <row r="121" spans="2:53" ht="15" hidden="1" customHeight="1">
      <c r="B121" s="158" t="s">
        <v>686</v>
      </c>
      <c r="C121" s="176">
        <v>12</v>
      </c>
      <c r="D121" s="47" t="s">
        <v>111</v>
      </c>
      <c r="E121" s="21" t="str">
        <f ca="1">IF(J121&lt;=I120,IF(I121&lt;=K121,"OK","NG"),"NG")</f>
        <v>NG</v>
      </c>
      <c r="F121" s="515"/>
      <c r="G121" s="516"/>
      <c r="H121" s="517"/>
      <c r="I121" s="140">
        <f ca="1">(C121+3)/C92*1000</f>
        <v>240.24024024024024</v>
      </c>
      <c r="J121" s="140">
        <f ca="1">I97</f>
        <v>96.09609609609609</v>
      </c>
      <c r="K121" s="140">
        <f ca="1">I97*2</f>
        <v>192.19219219219218</v>
      </c>
      <c r="M121" s="518" t="s">
        <v>233</v>
      </c>
      <c r="N121" s="519"/>
      <c r="O121" s="176">
        <v>4</v>
      </c>
      <c r="P121" s="47" t="s">
        <v>59</v>
      </c>
      <c r="Q121" s="21" t="str">
        <f>IF(V121&lt;=U120,IF(U121&lt;=W121,"OK","NG"),"NG")</f>
        <v>OK</v>
      </c>
      <c r="R121" s="515"/>
      <c r="S121" s="516"/>
      <c r="T121" s="517"/>
      <c r="U121" s="140">
        <f>IF(O68="Same as TX0",I121,(O121+3)/O92*1000)</f>
        <v>129.62962962962962</v>
      </c>
      <c r="V121" s="140">
        <f>IF(O68="Same as TX0",J121,U97)</f>
        <v>111.1111111111111</v>
      </c>
      <c r="W121" s="140">
        <f>IF(O68="Same as TX0",K121,U97*2)</f>
        <v>222.2222222222222</v>
      </c>
    </row>
    <row r="122" spans="2:53" ht="14.25" hidden="1" customHeight="1">
      <c r="B122" s="159" t="s">
        <v>220</v>
      </c>
      <c r="C122" s="71"/>
      <c r="D122" s="51"/>
      <c r="E122" s="51"/>
      <c r="F122" s="512" t="s">
        <v>121</v>
      </c>
      <c r="G122" s="513"/>
      <c r="H122" s="514"/>
      <c r="I122" s="63" t="s">
        <v>17</v>
      </c>
      <c r="J122" s="63" t="s">
        <v>18</v>
      </c>
      <c r="K122" s="63" t="s">
        <v>19</v>
      </c>
      <c r="M122" s="542" t="s">
        <v>219</v>
      </c>
      <c r="N122" s="543"/>
      <c r="O122" s="71"/>
      <c r="P122" s="51"/>
      <c r="Q122" s="51"/>
      <c r="R122" s="512" t="s">
        <v>121</v>
      </c>
      <c r="S122" s="513"/>
      <c r="T122" s="514"/>
      <c r="U122" s="63" t="s">
        <v>17</v>
      </c>
      <c r="V122" s="63" t="s">
        <v>18</v>
      </c>
      <c r="W122" s="63" t="s">
        <v>19</v>
      </c>
    </row>
    <row r="123" spans="2:53" ht="15" hidden="1" customHeight="1">
      <c r="B123" s="158" t="s">
        <v>687</v>
      </c>
      <c r="C123" s="215">
        <f>C97</f>
        <v>5</v>
      </c>
      <c r="D123" s="216" t="s">
        <v>111</v>
      </c>
      <c r="E123" s="217"/>
      <c r="F123" s="515"/>
      <c r="G123" s="516"/>
      <c r="H123" s="517"/>
      <c r="I123" s="140">
        <f ca="1">(C123+1)*4/C92*1000</f>
        <v>384.38438438438436</v>
      </c>
      <c r="J123" s="140">
        <f ca="1">I97*4</f>
        <v>384.38438438438436</v>
      </c>
      <c r="K123" s="140">
        <f ca="1">I97*4</f>
        <v>384.38438438438436</v>
      </c>
      <c r="M123" s="518" t="s">
        <v>234</v>
      </c>
      <c r="N123" s="519"/>
      <c r="O123" s="162">
        <f>IF(O68="Same as TX0",C123,O97)</f>
        <v>5</v>
      </c>
      <c r="P123" s="47" t="s">
        <v>59</v>
      </c>
      <c r="Q123" s="21"/>
      <c r="R123" s="515"/>
      <c r="S123" s="516"/>
      <c r="T123" s="517"/>
      <c r="U123" s="140">
        <f>IF(O68="Same as TX0",I123,(O123+1)*4/O92*1000)</f>
        <v>444.4444444444444</v>
      </c>
      <c r="V123" s="140">
        <f>IF(O68="Same as TX0",J123,U97*4)</f>
        <v>444.4444444444444</v>
      </c>
      <c r="W123" s="140">
        <f>IF(O68="Same as TX0",K123,U97*4)</f>
        <v>444.4444444444444</v>
      </c>
    </row>
    <row r="124" spans="2:53" hidden="1">
      <c r="B124" s="214">
        <f ca="1">IF(C47="Non-Continuous",AZ349+AZ347+AZ336+AZ351+AZ325*2+AZ333+AZ330+AZ325+AZ342,AZ349+AZ351+AZ325*4+AZ342)</f>
        <v>944.94494494494506</v>
      </c>
      <c r="C124" s="505" t="s">
        <v>114</v>
      </c>
      <c r="D124" s="506"/>
      <c r="E124" s="507"/>
      <c r="F124" s="493" t="s">
        <v>410</v>
      </c>
      <c r="G124" s="494"/>
      <c r="H124" s="495"/>
      <c r="I124" s="471">
        <f ca="1">IF(C90="Disable",I117+I115+I105+I119+I97*2+I101+I103+I97+I111,I117+I119+I97*4+I111)</f>
        <v>1073.0730730730729</v>
      </c>
      <c r="M124" s="508">
        <f>IF(C39="Original",U124,IF(C39=800,1000,IF(C39=1000,800,IF(C39=1000,1000,1000))))</f>
        <v>1000</v>
      </c>
      <c r="N124" s="509"/>
      <c r="O124" s="50" t="s">
        <v>114</v>
      </c>
      <c r="P124" s="218"/>
      <c r="Q124" s="220"/>
      <c r="R124" s="499" t="s">
        <v>410</v>
      </c>
      <c r="S124" s="500"/>
      <c r="T124" s="501"/>
      <c r="U124" s="276">
        <f>IF(P90="Disable",U117+U115+U105+U119+U97*2+U101+U103+U97+U111,U117+U119+U97*4+U111)</f>
        <v>1185.1851851851852</v>
      </c>
      <c r="BA124" s="35">
        <f>IF(C39="Original",1,IF(C39=800,1,IF(C39=900,1,IF(C39=1000,1,1))))</f>
        <v>1</v>
      </c>
    </row>
    <row r="125" spans="2:53" ht="15" hidden="1" customHeight="1">
      <c r="B125" s="214">
        <f ca="1">IF(C47="Non-Continuous",AZ349+AZ347+AZ336+AZ351+AZ325+AZ333+AZ330+AZ325+AZ342,AZ349+AZ351+AZ325+AZ342)</f>
        <v>608.60860860860862</v>
      </c>
      <c r="C125" s="505" t="s">
        <v>239</v>
      </c>
      <c r="D125" s="506"/>
      <c r="E125" s="507"/>
      <c r="F125" s="496" t="s">
        <v>411</v>
      </c>
      <c r="G125" s="497"/>
      <c r="H125" s="498"/>
      <c r="I125" s="471">
        <f ca="1">IF(C90="Disable",I117+I115+I105+I119+I97+I101+I103+I97+I111,I117+I119+I97+I111)</f>
        <v>784.78478478478473</v>
      </c>
      <c r="M125" s="508">
        <f>IF(C39="Original",U125,IF(C39=800,800,IF(C39=900,800,IF(C39=1000,800,800))))</f>
        <v>800</v>
      </c>
      <c r="N125" s="509"/>
      <c r="O125" s="212" t="s">
        <v>239</v>
      </c>
      <c r="P125" s="219"/>
      <c r="Q125" s="221"/>
      <c r="R125" s="502" t="s">
        <v>411</v>
      </c>
      <c r="S125" s="503"/>
      <c r="T125" s="504"/>
      <c r="U125" s="276">
        <f>IF(P90="Disable",U117+U115+U105+U119+U97+U101+U103+U97+U111,U117+U119+U97+U111)</f>
        <v>851.85185185185173</v>
      </c>
    </row>
    <row r="126" spans="2:53" hidden="1"/>
    <row r="127" spans="2:53" hidden="1">
      <c r="B127" s="77" t="s">
        <v>64</v>
      </c>
      <c r="C127" s="77" t="s">
        <v>65</v>
      </c>
      <c r="D127" s="228"/>
      <c r="E127" s="356" t="s">
        <v>332</v>
      </c>
      <c r="F127" s="356" t="s">
        <v>333</v>
      </c>
      <c r="G127" s="356" t="s">
        <v>334</v>
      </c>
      <c r="H127" s="356" t="s">
        <v>335</v>
      </c>
      <c r="I127" s="356" t="s">
        <v>336</v>
      </c>
      <c r="J127" s="356" t="s">
        <v>337</v>
      </c>
      <c r="K127" s="356" t="s">
        <v>338</v>
      </c>
      <c r="L127" s="356" t="s">
        <v>339</v>
      </c>
      <c r="M127" s="356" t="s">
        <v>340</v>
      </c>
      <c r="N127" s="356" t="s">
        <v>341</v>
      </c>
      <c r="O127" s="356" t="s">
        <v>342</v>
      </c>
      <c r="P127" s="356" t="s">
        <v>343</v>
      </c>
      <c r="Q127" s="356" t="s">
        <v>344</v>
      </c>
      <c r="R127" s="356" t="s">
        <v>345</v>
      </c>
      <c r="S127" s="356" t="s">
        <v>346</v>
      </c>
      <c r="T127" s="356" t="s">
        <v>347</v>
      </c>
      <c r="U127" s="228"/>
    </row>
    <row r="128" spans="2:53" hidden="1">
      <c r="B128" s="66" t="s">
        <v>325</v>
      </c>
      <c r="C128" s="78" t="str">
        <f>DEC2HEX(D128,8)</f>
        <v>00000001</v>
      </c>
      <c r="D128" s="228">
        <f>IF(C34="1.8V",1,0)</f>
        <v>1</v>
      </c>
      <c r="E128" s="238"/>
      <c r="F128" s="238"/>
      <c r="G128" s="238"/>
      <c r="H128" s="238"/>
      <c r="I128" s="238"/>
      <c r="J128" s="238"/>
      <c r="K128" s="238"/>
      <c r="L128" s="238"/>
      <c r="M128" s="238"/>
      <c r="N128" s="238"/>
      <c r="O128" s="238"/>
      <c r="P128" s="238"/>
      <c r="Q128" s="238"/>
      <c r="R128" s="238"/>
      <c r="S128" s="238"/>
      <c r="T128" s="238"/>
      <c r="U128" s="228"/>
    </row>
    <row r="129" spans="2:54" hidden="1">
      <c r="B129"/>
      <c r="C129"/>
      <c r="D129" s="228"/>
      <c r="E129" s="238"/>
      <c r="F129" s="238"/>
      <c r="G129" s="238"/>
      <c r="H129" s="238"/>
      <c r="I129" s="238"/>
      <c r="J129" s="238"/>
      <c r="K129" s="238"/>
      <c r="L129" s="238"/>
      <c r="M129" s="238"/>
      <c r="N129" s="238"/>
      <c r="O129" s="238"/>
      <c r="P129" s="238"/>
      <c r="Q129" s="238"/>
      <c r="R129" s="238"/>
      <c r="S129" s="238"/>
      <c r="T129" s="238"/>
      <c r="U129" s="228"/>
    </row>
    <row r="130" spans="2:54" hidden="1">
      <c r="B130" s="66" t="s">
        <v>326</v>
      </c>
      <c r="C130" s="78" t="str">
        <f>DEC2HEX(D130,8)</f>
        <v>00006978</v>
      </c>
      <c r="D130" s="228">
        <f>1000*C37</f>
        <v>27000</v>
      </c>
      <c r="E130" s="238"/>
      <c r="F130" s="238"/>
      <c r="G130" s="238"/>
      <c r="H130" s="238"/>
      <c r="I130" s="238"/>
      <c r="J130" s="238"/>
      <c r="K130" s="238"/>
      <c r="L130" s="238"/>
      <c r="M130" s="238"/>
      <c r="N130" s="238"/>
      <c r="O130" s="238"/>
      <c r="P130" s="238"/>
      <c r="Q130" s="238"/>
      <c r="R130" s="238"/>
      <c r="S130" s="238"/>
      <c r="T130" s="238"/>
      <c r="U130" s="228"/>
    </row>
    <row r="131" spans="2:54" hidden="1">
      <c r="B131"/>
      <c r="C131"/>
      <c r="D131" s="228"/>
      <c r="E131" s="238"/>
      <c r="F131" s="238"/>
      <c r="G131" s="238"/>
      <c r="H131" s="238"/>
      <c r="I131" s="238"/>
      <c r="J131" s="238"/>
      <c r="K131" s="238"/>
      <c r="L131" s="238"/>
      <c r="M131" s="238"/>
      <c r="N131" s="238"/>
      <c r="O131" s="238"/>
      <c r="P131" s="238"/>
      <c r="Q131" s="238"/>
      <c r="R131" s="238"/>
      <c r="S131" s="238"/>
      <c r="T131" s="238"/>
      <c r="U131" s="228"/>
    </row>
    <row r="132" spans="2:54" hidden="1">
      <c r="B132" s="66" t="s">
        <v>327</v>
      </c>
      <c r="C132" s="78" t="str">
        <f>DEC2HEX(D132+D133,8)</f>
        <v>00040902</v>
      </c>
      <c r="D132" s="228">
        <f>E132*2^15+F132*2^14+G132*2^13+H132*2^12+I132*2^11+J132*2^10+K132*2^9+L132*2^8+M132*2^7+N132*2^6+O132*2^5+P132*2^4+Q132*2^3+R132*2^2+S132*2^1+T132*2^0</f>
        <v>2306</v>
      </c>
      <c r="E132" s="257">
        <v>0</v>
      </c>
      <c r="F132" s="257">
        <v>0</v>
      </c>
      <c r="G132" s="257">
        <v>0</v>
      </c>
      <c r="H132" s="257">
        <v>0</v>
      </c>
      <c r="I132" s="257">
        <v>0</v>
      </c>
      <c r="J132" s="258">
        <f>IF(C37=24,0,IF(C37=25,1,IF(C37=27,2,1)))</f>
        <v>2</v>
      </c>
      <c r="K132" s="258">
        <f>IF(C46="Enable",1,0)</f>
        <v>0</v>
      </c>
      <c r="L132" s="258">
        <f>IF(C41="TX0/1 Enable",1,0)</f>
        <v>1</v>
      </c>
      <c r="M132" s="257">
        <v>0</v>
      </c>
      <c r="N132" s="257">
        <v>0</v>
      </c>
      <c r="O132" s="257">
        <v>0</v>
      </c>
      <c r="P132" s="257">
        <v>0</v>
      </c>
      <c r="Q132" s="257">
        <v>0</v>
      </c>
      <c r="R132" s="257">
        <v>0</v>
      </c>
      <c r="S132" s="257">
        <v>0</v>
      </c>
      <c r="T132" s="258">
        <f>IF(BM1=16,BS1,BM1)</f>
        <v>2</v>
      </c>
      <c r="U132" s="228"/>
      <c r="BA132"/>
      <c r="BB132"/>
    </row>
    <row r="133" spans="2:54" customFormat="1" hidden="1">
      <c r="D133" s="228">
        <f>E133*2^31+F133*2^30+G133*2^29+H133*2^28+I133*2^27+J133*2^26+K133*2^25+L133*2^24+M133*2^23+N133*2^22+O133*2^21+P133*2^20+Q133*2^19+R133*2^18+S133*2^17+T133*2^16</f>
        <v>262144</v>
      </c>
      <c r="E133" s="235">
        <v>0</v>
      </c>
      <c r="F133" s="235">
        <v>0</v>
      </c>
      <c r="G133" s="235">
        <v>0</v>
      </c>
      <c r="H133" s="235">
        <v>0</v>
      </c>
      <c r="I133" s="235">
        <v>0</v>
      </c>
      <c r="J133" s="235">
        <v>0</v>
      </c>
      <c r="K133" s="235">
        <v>0</v>
      </c>
      <c r="L133" s="235">
        <v>0</v>
      </c>
      <c r="M133" s="235">
        <v>0</v>
      </c>
      <c r="N133" s="235">
        <v>0</v>
      </c>
      <c r="O133" s="235">
        <v>0</v>
      </c>
      <c r="P133" s="235">
        <v>0</v>
      </c>
      <c r="Q133" s="235">
        <v>0</v>
      </c>
      <c r="R133" s="235">
        <v>0</v>
      </c>
      <c r="S133" s="235">
        <v>0</v>
      </c>
      <c r="T133" s="259">
        <f>IF(F72&gt;16,16,F72)</f>
        <v>4</v>
      </c>
    </row>
    <row r="134" spans="2:54" hidden="1">
      <c r="B134" s="66" t="s">
        <v>348</v>
      </c>
      <c r="C134" s="78" t="str">
        <f ca="1">DEC2HEX(D134+D135,8)</f>
        <v>027D0006</v>
      </c>
      <c r="D134" s="228">
        <f>E134*2^15+F134*2^14+G134*2^13+H134*2^12+I134*2^11+J134*2^10+K134*2^9+L134*2^8+M134*2^7+N134*2^6+O134*2^5+P134*2^4+Q134*2^3+R134*2^2+S134*2^1+T134*2^0</f>
        <v>6</v>
      </c>
      <c r="E134" s="257">
        <v>0</v>
      </c>
      <c r="F134" s="257">
        <v>0</v>
      </c>
      <c r="G134" s="257">
        <v>0</v>
      </c>
      <c r="H134" s="257">
        <v>0</v>
      </c>
      <c r="I134" s="257">
        <v>0</v>
      </c>
      <c r="J134" s="257">
        <v>0</v>
      </c>
      <c r="K134" s="257">
        <v>0</v>
      </c>
      <c r="L134" s="257">
        <v>0</v>
      </c>
      <c r="M134" s="257">
        <v>0</v>
      </c>
      <c r="N134" s="257">
        <v>0</v>
      </c>
      <c r="O134" s="257">
        <v>0</v>
      </c>
      <c r="P134" s="257">
        <v>0</v>
      </c>
      <c r="Q134" s="257">
        <v>0</v>
      </c>
      <c r="R134" s="257">
        <v>0</v>
      </c>
      <c r="S134" s="257">
        <v>0</v>
      </c>
      <c r="T134" s="258">
        <f>G72</f>
        <v>6</v>
      </c>
      <c r="U134" s="228"/>
    </row>
    <row r="135" spans="2:54" customFormat="1" hidden="1">
      <c r="D135" s="228">
        <f ca="1">E135*2^31+F135*2^30+G135*2^29+H135*2^28+I135*2^27+J135*2^26+K135*2^25+L135*2^24+M135*2^23+N135*2^22+O135*2^21+P135*2^20+Q135*2^19+R135*2^18+S135*2^17+T135*2^16</f>
        <v>41746432</v>
      </c>
      <c r="E135" s="235">
        <v>0</v>
      </c>
      <c r="F135" s="235">
        <v>0</v>
      </c>
      <c r="G135" s="235">
        <v>0</v>
      </c>
      <c r="H135" s="235">
        <v>0</v>
      </c>
      <c r="I135" s="235">
        <v>0</v>
      </c>
      <c r="J135" s="235">
        <v>0</v>
      </c>
      <c r="K135" s="235">
        <v>0</v>
      </c>
      <c r="L135" s="235">
        <v>0</v>
      </c>
      <c r="M135" s="235">
        <v>0</v>
      </c>
      <c r="N135" s="235">
        <v>0</v>
      </c>
      <c r="O135" s="235">
        <v>0</v>
      </c>
      <c r="P135" s="235">
        <v>0</v>
      </c>
      <c r="Q135" s="235">
        <v>0</v>
      </c>
      <c r="R135" s="235">
        <v>0</v>
      </c>
      <c r="S135" s="235">
        <v>0</v>
      </c>
      <c r="T135" s="259">
        <f ca="1">INT((D20+E20+F20+G20)/2)</f>
        <v>637</v>
      </c>
    </row>
    <row r="136" spans="2:54" hidden="1">
      <c r="B136" s="66" t="s">
        <v>329</v>
      </c>
      <c r="C136" s="78" t="str">
        <f ca="1">DEC2HEX(D136+D137,8)</f>
        <v>0300023D</v>
      </c>
      <c r="D136" s="228">
        <f ca="1">E136*2^15+F136*2^14+G136*2^13+H136*2^12+I136*2^11+J136*2^10+K136*2^9+L136*2^8+M136*2^7+N136*2^6+O136*2^5+P136*2^4+Q136*2^3+R136*2^2+S136*2^1+T136*2^0</f>
        <v>573</v>
      </c>
      <c r="E136" s="257">
        <v>0</v>
      </c>
      <c r="F136" s="257">
        <v>0</v>
      </c>
      <c r="G136" s="257">
        <v>0</v>
      </c>
      <c r="H136" s="257">
        <v>0</v>
      </c>
      <c r="I136" s="257">
        <v>0</v>
      </c>
      <c r="J136" s="257">
        <v>0</v>
      </c>
      <c r="K136" s="257">
        <v>0</v>
      </c>
      <c r="L136" s="257">
        <v>0</v>
      </c>
      <c r="M136" s="257">
        <v>0</v>
      </c>
      <c r="N136" s="257">
        <v>0</v>
      </c>
      <c r="O136" s="257">
        <v>0</v>
      </c>
      <c r="P136" s="257">
        <v>0</v>
      </c>
      <c r="Q136" s="257">
        <v>0</v>
      </c>
      <c r="R136" s="257">
        <v>0</v>
      </c>
      <c r="S136" s="257">
        <v>0</v>
      </c>
      <c r="T136" s="258">
        <f ca="1">ROUND((D20+E20+F20+G20)*C92/IF(C29="Color Bar",C24,C20),0)</f>
        <v>573</v>
      </c>
      <c r="U136" s="228"/>
    </row>
    <row r="137" spans="2:54" customFormat="1" hidden="1">
      <c r="D137" s="228">
        <f>E137*2^31+F137*2^30+G137*2^29+H137*2^28+I137*2^27+J137*2^26+K137*2^25+L137*2^24+M137*2^23+N137*2^22+O137*2^21+P137*2^20+Q137*2^19+R137*2^18+S137*2^17+T137*2^16</f>
        <v>50331648</v>
      </c>
      <c r="E137" s="235">
        <v>0</v>
      </c>
      <c r="F137" s="235">
        <v>0</v>
      </c>
      <c r="G137" s="235">
        <v>0</v>
      </c>
      <c r="H137" s="259">
        <f>IF(C39=800,0,IF(C39=900,1,IF(C39=1000,2,IF(C39=1100,3,IF(C39=1200,4,IF(C39=1300,5,IF(C39=1400,6,IF(C39=1500,7,0))))))))</f>
        <v>0</v>
      </c>
      <c r="I137" s="235">
        <v>0</v>
      </c>
      <c r="J137" s="235">
        <v>0</v>
      </c>
      <c r="K137" s="235">
        <v>0</v>
      </c>
      <c r="L137" s="259">
        <f>C40-1</f>
        <v>3</v>
      </c>
      <c r="M137" s="235">
        <v>0</v>
      </c>
      <c r="N137" s="235">
        <v>0</v>
      </c>
      <c r="O137" s="235">
        <v>0</v>
      </c>
      <c r="P137" s="235">
        <v>0</v>
      </c>
      <c r="Q137" s="235">
        <v>0</v>
      </c>
      <c r="R137" s="235">
        <v>0</v>
      </c>
      <c r="S137" s="235">
        <v>0</v>
      </c>
      <c r="T137" s="235">
        <v>0</v>
      </c>
    </row>
    <row r="138" spans="2:54" hidden="1">
      <c r="B138" s="66" t="s">
        <v>350</v>
      </c>
      <c r="C138" s="78" t="str">
        <f>DEC2HEX(D138+D139,8)</f>
        <v>01040020</v>
      </c>
      <c r="D138" s="228">
        <f>E138*2^15+F138*2^14+G138*2^13+H138*2^12+I138*2^11+J138*2^10+K138*2^9+L138*2^8+M138*2^7+N138*2^6+O138*2^5+P138*2^4+Q138*2^3+R138*2^2+S138*2^1+T138*2^0</f>
        <v>32</v>
      </c>
      <c r="E138" s="257">
        <v>0</v>
      </c>
      <c r="F138" s="257">
        <v>0</v>
      </c>
      <c r="G138" s="257">
        <v>0</v>
      </c>
      <c r="H138" s="257">
        <v>0</v>
      </c>
      <c r="I138" s="257">
        <v>0</v>
      </c>
      <c r="J138" s="257">
        <v>0</v>
      </c>
      <c r="K138" s="257">
        <v>0</v>
      </c>
      <c r="L138" s="257">
        <v>0</v>
      </c>
      <c r="M138" s="257">
        <v>0</v>
      </c>
      <c r="N138" s="257">
        <v>0</v>
      </c>
      <c r="O138" s="257">
        <v>0</v>
      </c>
      <c r="P138" s="257">
        <v>0</v>
      </c>
      <c r="Q138" s="257">
        <v>0</v>
      </c>
      <c r="R138" s="257">
        <v>0</v>
      </c>
      <c r="S138" s="257">
        <v>0</v>
      </c>
      <c r="T138" s="258">
        <f>D72</f>
        <v>32</v>
      </c>
      <c r="U138" s="228"/>
    </row>
    <row r="139" spans="2:54" customFormat="1" hidden="1">
      <c r="D139" s="228">
        <f>E139*2^31+F139*2^30+G139*2^29+H139*2^28+I139*2^27+J139*2^26+K139*2^25+L139*2^24+M139*2^23+N139*2^22+O139*2^21+P139*2^20+Q139*2^19+R139*2^18+S139*2^17+T139*2^16</f>
        <v>17039360</v>
      </c>
      <c r="E139" s="235">
        <v>0</v>
      </c>
      <c r="F139" s="235">
        <v>0</v>
      </c>
      <c r="G139" s="235">
        <v>0</v>
      </c>
      <c r="H139" s="257">
        <v>0</v>
      </c>
      <c r="I139" s="235">
        <v>0</v>
      </c>
      <c r="J139" s="235">
        <v>0</v>
      </c>
      <c r="K139" s="235">
        <v>0</v>
      </c>
      <c r="L139" s="257">
        <v>0</v>
      </c>
      <c r="M139" s="235">
        <v>0</v>
      </c>
      <c r="N139" s="235">
        <v>0</v>
      </c>
      <c r="O139" s="235">
        <v>0</v>
      </c>
      <c r="P139" s="235">
        <v>0</v>
      </c>
      <c r="Q139" s="235">
        <v>0</v>
      </c>
      <c r="R139" s="235">
        <v>0</v>
      </c>
      <c r="S139" s="235">
        <v>0</v>
      </c>
      <c r="T139" s="259">
        <f>E72</f>
        <v>260</v>
      </c>
    </row>
    <row r="140" spans="2:54" customFormat="1" ht="13.5" hidden="1">
      <c r="D140" s="222"/>
      <c r="E140" s="222"/>
      <c r="F140" s="222"/>
      <c r="G140" s="222"/>
      <c r="H140" s="222"/>
      <c r="I140" s="222"/>
      <c r="J140" s="222"/>
      <c r="K140" s="222"/>
      <c r="L140" s="222"/>
      <c r="M140" s="222"/>
      <c r="N140" s="222"/>
      <c r="O140" s="222"/>
      <c r="P140" s="222"/>
      <c r="Q140" s="222"/>
      <c r="R140" s="222"/>
      <c r="S140" s="222"/>
      <c r="T140" s="222"/>
    </row>
    <row r="141" spans="2:54" customFormat="1" ht="13.5" hidden="1">
      <c r="D141" s="222"/>
      <c r="E141" s="222"/>
      <c r="F141" s="222"/>
      <c r="G141" s="222"/>
      <c r="H141" s="222"/>
      <c r="I141" s="222"/>
      <c r="J141" s="222"/>
      <c r="K141" s="222"/>
      <c r="L141" s="222"/>
      <c r="M141" s="222"/>
      <c r="N141" s="222"/>
      <c r="O141" s="222"/>
      <c r="P141" s="222"/>
      <c r="Q141" s="222"/>
      <c r="R141" s="222"/>
      <c r="S141" s="222"/>
      <c r="T141" s="222"/>
    </row>
    <row r="142" spans="2:54" customFormat="1" hidden="1">
      <c r="B142" s="66" t="s">
        <v>1634</v>
      </c>
      <c r="C142" s="78" t="str">
        <f>IF($C$21=5.4,"13","11")</f>
        <v>13</v>
      </c>
      <c r="D142" s="222"/>
      <c r="E142" s="222"/>
      <c r="F142" s="222"/>
      <c r="G142" s="222"/>
      <c r="H142" s="222"/>
      <c r="I142" s="222"/>
      <c r="J142" s="222"/>
      <c r="K142" s="222"/>
      <c r="L142" s="222"/>
      <c r="M142" s="222"/>
      <c r="N142" s="222"/>
      <c r="O142" s="222"/>
      <c r="P142" s="222"/>
      <c r="Q142" s="222"/>
      <c r="R142" s="222"/>
      <c r="S142" s="222"/>
      <c r="T142" s="222"/>
    </row>
    <row r="143" spans="2:54" customFormat="1" hidden="1">
      <c r="B143" s="66">
        <v>8001</v>
      </c>
      <c r="C143" s="78" t="str">
        <f>DEC2HEX(D143,2)</f>
        <v>14</v>
      </c>
      <c r="D143" s="293">
        <f>C21/0.27</f>
        <v>20</v>
      </c>
      <c r="E143" s="222"/>
      <c r="F143" s="222"/>
      <c r="G143" s="222"/>
      <c r="H143" s="222"/>
      <c r="I143" s="222"/>
      <c r="J143" s="222"/>
      <c r="K143" s="222"/>
      <c r="L143" s="222"/>
      <c r="M143" s="222"/>
      <c r="N143" s="222"/>
      <c r="O143" s="222"/>
      <c r="P143" s="222"/>
      <c r="Q143" s="222"/>
      <c r="R143" s="222"/>
      <c r="S143" s="222"/>
      <c r="T143" s="222"/>
    </row>
    <row r="144" spans="2:54" customFormat="1" hidden="1">
      <c r="B144" s="66">
        <v>8002</v>
      </c>
      <c r="C144" s="78" t="str">
        <f>DEC2HEX(D144,2)</f>
        <v>02</v>
      </c>
      <c r="D144" s="293">
        <f>C22</f>
        <v>2</v>
      </c>
      <c r="E144" s="222"/>
      <c r="F144" s="222"/>
      <c r="G144" s="222"/>
      <c r="H144" s="222"/>
      <c r="I144" s="222"/>
      <c r="J144" s="222"/>
      <c r="K144" s="222"/>
      <c r="L144" s="222"/>
      <c r="M144" s="222"/>
      <c r="N144" s="222"/>
      <c r="O144" s="222"/>
      <c r="P144" s="222"/>
      <c r="Q144" s="222"/>
      <c r="R144" s="222"/>
      <c r="S144" s="222"/>
      <c r="T144" s="222"/>
    </row>
    <row r="145" spans="2:20" customFormat="1" hidden="1">
      <c r="B145" s="185"/>
      <c r="C145" s="186"/>
      <c r="D145" s="222"/>
      <c r="E145" s="222"/>
      <c r="F145" s="222"/>
      <c r="G145" s="222"/>
      <c r="H145" s="222"/>
      <c r="I145" s="222"/>
      <c r="J145" s="222"/>
      <c r="K145" s="222"/>
      <c r="L145" s="222"/>
      <c r="M145" s="222"/>
      <c r="N145" s="222"/>
      <c r="O145" s="222"/>
      <c r="P145" s="222"/>
      <c r="Q145" s="222"/>
      <c r="R145" s="222"/>
      <c r="S145" s="222"/>
      <c r="T145" s="222"/>
    </row>
    <row r="146" spans="2:20" customFormat="1" hidden="1">
      <c r="B146" s="185"/>
      <c r="C146" s="186"/>
      <c r="D146" s="222"/>
      <c r="E146" s="222"/>
      <c r="F146" s="222"/>
      <c r="G146" s="222"/>
      <c r="H146" s="222"/>
      <c r="I146" s="222"/>
      <c r="J146" s="222"/>
      <c r="K146" s="222"/>
      <c r="L146" s="222"/>
      <c r="M146" s="222"/>
      <c r="N146" s="222"/>
      <c r="O146" s="222"/>
      <c r="P146" s="222"/>
      <c r="Q146" s="222"/>
      <c r="R146" s="222"/>
      <c r="S146" s="222"/>
      <c r="T146" s="222"/>
    </row>
    <row r="147" spans="2:20" customFormat="1" hidden="1">
      <c r="B147" s="66" t="s">
        <v>498</v>
      </c>
      <c r="C147" s="78" t="str">
        <f>DEC2HEX(D147,8)</f>
        <v>005A0005</v>
      </c>
      <c r="D147" s="293">
        <f>E20*2^16+D20*2^0</f>
        <v>5898245</v>
      </c>
      <c r="E147" s="222"/>
      <c r="F147" s="222"/>
      <c r="G147" s="222"/>
      <c r="H147" s="222"/>
      <c r="I147" s="222"/>
      <c r="J147" s="222"/>
      <c r="K147" s="222"/>
      <c r="L147" s="222"/>
      <c r="M147" s="222"/>
      <c r="N147" s="222"/>
      <c r="O147" s="222"/>
      <c r="P147" s="222"/>
      <c r="Q147" s="222"/>
      <c r="R147" s="222"/>
      <c r="S147" s="222"/>
      <c r="T147" s="222"/>
    </row>
    <row r="148" spans="2:20" customFormat="1" hidden="1">
      <c r="B148" s="66" t="s">
        <v>499</v>
      </c>
      <c r="C148" s="78" t="str">
        <f t="shared" ref="C148:C154" ca="1" si="1">DEC2HEX(D148,8)</f>
        <v>00640438</v>
      </c>
      <c r="D148" s="293">
        <f ca="1">G20*2^16+F20*2^0</f>
        <v>6554680</v>
      </c>
      <c r="E148" s="222"/>
      <c r="F148" s="222"/>
      <c r="G148" s="222"/>
      <c r="H148" s="222"/>
      <c r="I148" s="222"/>
      <c r="J148" s="222"/>
      <c r="K148" s="222"/>
      <c r="L148" s="222"/>
      <c r="M148" s="222"/>
      <c r="N148" s="222"/>
      <c r="O148" s="222"/>
      <c r="P148" s="222"/>
      <c r="Q148" s="222"/>
      <c r="R148" s="222"/>
      <c r="S148" s="222"/>
      <c r="T148" s="222"/>
    </row>
    <row r="149" spans="2:20" customFormat="1" hidden="1">
      <c r="B149" s="66" t="s">
        <v>500</v>
      </c>
      <c r="C149" s="78" t="str">
        <f t="shared" si="1"/>
        <v>00030003</v>
      </c>
      <c r="D149" s="293">
        <f>I20*2^16+H20*2^0</f>
        <v>196611</v>
      </c>
      <c r="E149" s="222"/>
      <c r="F149" s="222"/>
      <c r="G149" s="222"/>
      <c r="H149" s="222"/>
      <c r="I149" s="222"/>
      <c r="J149" s="222"/>
      <c r="K149" s="222"/>
      <c r="L149" s="222"/>
      <c r="M149" s="222"/>
      <c r="N149" s="222"/>
      <c r="O149" s="222"/>
      <c r="P149" s="222"/>
      <c r="Q149" s="222"/>
      <c r="R149" s="222"/>
      <c r="S149" s="222"/>
      <c r="T149" s="222"/>
    </row>
    <row r="150" spans="2:20" customFormat="1" hidden="1">
      <c r="B150" s="66" t="s">
        <v>501</v>
      </c>
      <c r="C150" s="78" t="str">
        <f t="shared" ca="1" si="1"/>
        <v>000604B0</v>
      </c>
      <c r="D150" s="293">
        <f ca="1">K20*2^16+J20*2^0</f>
        <v>394416</v>
      </c>
      <c r="E150" s="222"/>
      <c r="F150" s="222"/>
      <c r="G150" s="222"/>
      <c r="H150" s="222"/>
      <c r="I150" s="222"/>
      <c r="J150" s="222"/>
      <c r="K150" s="222"/>
      <c r="L150" s="222"/>
      <c r="M150" s="222"/>
      <c r="N150" s="222"/>
      <c r="O150" s="222"/>
      <c r="P150" s="222"/>
      <c r="Q150" s="222"/>
      <c r="R150" s="222"/>
      <c r="S150" s="222"/>
      <c r="T150" s="222"/>
    </row>
    <row r="151" spans="2:20" customFormat="1" hidden="1">
      <c r="B151" s="66" t="s">
        <v>502</v>
      </c>
      <c r="C151" s="78" t="str">
        <f t="shared" si="1"/>
        <v>00000001</v>
      </c>
      <c r="D151" s="293">
        <f>BK28</f>
        <v>1</v>
      </c>
      <c r="E151" s="222"/>
      <c r="F151" s="222"/>
      <c r="G151" s="222"/>
      <c r="H151" s="222"/>
      <c r="I151" s="222"/>
      <c r="J151" s="222"/>
      <c r="K151" s="222"/>
      <c r="L151" s="222"/>
      <c r="M151" s="222"/>
      <c r="N151" s="222"/>
      <c r="O151" s="222"/>
      <c r="P151" s="222"/>
      <c r="Q151" s="222"/>
      <c r="R151" s="222"/>
      <c r="S151" s="222"/>
      <c r="T151" s="222"/>
    </row>
    <row r="152" spans="2:20" customFormat="1" hidden="1">
      <c r="B152" s="66" t="s">
        <v>503</v>
      </c>
      <c r="C152" s="78" t="str">
        <f t="shared" si="1"/>
        <v>00FF0000</v>
      </c>
      <c r="D152" s="293">
        <f>G29*2^16+H29*2^8+I29*2^0</f>
        <v>16711680</v>
      </c>
      <c r="E152" s="222"/>
      <c r="F152" s="222"/>
      <c r="G152" s="222"/>
      <c r="H152" s="222"/>
      <c r="I152" s="222"/>
      <c r="J152" s="222"/>
      <c r="K152" s="222"/>
      <c r="L152" s="222"/>
      <c r="M152" s="222"/>
      <c r="N152" s="222"/>
      <c r="O152" s="222"/>
      <c r="P152" s="222"/>
      <c r="Q152" s="222"/>
      <c r="R152" s="222"/>
      <c r="S152" s="222"/>
      <c r="T152" s="222"/>
    </row>
    <row r="153" spans="2:20" customFormat="1" hidden="1">
      <c r="B153" s="66" t="s">
        <v>504</v>
      </c>
      <c r="C153" s="78" t="str">
        <f t="shared" si="1"/>
        <v>00000001</v>
      </c>
      <c r="D153" s="293">
        <f>IF($E$28="CB00 En",1,0)</f>
        <v>1</v>
      </c>
      <c r="E153" s="222"/>
      <c r="F153" s="222"/>
      <c r="G153" s="222"/>
      <c r="H153" s="222"/>
      <c r="I153" s="222"/>
      <c r="J153" s="222"/>
      <c r="K153" s="222"/>
      <c r="L153" s="222"/>
      <c r="M153" s="222"/>
      <c r="N153" s="222"/>
      <c r="O153" s="222"/>
      <c r="P153" s="222"/>
      <c r="Q153" s="222"/>
      <c r="R153" s="222"/>
      <c r="S153" s="222"/>
      <c r="T153" s="222"/>
    </row>
    <row r="154" spans="2:20" customFormat="1" hidden="1">
      <c r="B154" s="66" t="s">
        <v>505</v>
      </c>
      <c r="C154" s="78" t="str">
        <f t="shared" si="1"/>
        <v>00000000</v>
      </c>
      <c r="D154" s="293">
        <f>IF(OR(C29="eDP",C29="DP"),0,IF($E$28="CB00 En",1,0))</f>
        <v>0</v>
      </c>
      <c r="E154" s="222"/>
      <c r="F154" s="222"/>
      <c r="G154" s="222"/>
      <c r="H154" s="222"/>
      <c r="I154" s="222"/>
      <c r="J154" s="222"/>
      <c r="K154" s="222"/>
      <c r="L154" s="222"/>
      <c r="M154" s="222"/>
      <c r="N154" s="222"/>
      <c r="O154" s="222"/>
      <c r="P154" s="222"/>
      <c r="Q154" s="222"/>
      <c r="R154" s="222"/>
      <c r="S154" s="222"/>
      <c r="T154" s="222"/>
    </row>
    <row r="155" spans="2:20" customFormat="1" hidden="1">
      <c r="B155" s="66" t="s">
        <v>514</v>
      </c>
      <c r="C155" s="78" t="str">
        <f>DEC2HEX(D155,8)</f>
        <v>005A0005</v>
      </c>
      <c r="D155" s="293">
        <f>E20*2^16+D20*2^0</f>
        <v>5898245</v>
      </c>
      <c r="E155" s="222"/>
      <c r="F155" s="222"/>
      <c r="G155" s="222"/>
      <c r="H155" s="222"/>
      <c r="I155" s="222"/>
      <c r="J155" s="222"/>
      <c r="K155" s="222"/>
      <c r="L155" s="222"/>
      <c r="M155" s="222"/>
      <c r="N155" s="222"/>
      <c r="O155" s="222"/>
      <c r="P155" s="222"/>
      <c r="Q155" s="222"/>
      <c r="R155" s="222"/>
      <c r="S155" s="222"/>
      <c r="T155" s="222"/>
    </row>
    <row r="156" spans="2:20" customFormat="1" hidden="1">
      <c r="B156" s="66" t="s">
        <v>515</v>
      </c>
      <c r="C156" s="78" t="str">
        <f t="shared" ref="C156:C158" ca="1" si="2">DEC2HEX(D156,8)</f>
        <v>00640438</v>
      </c>
      <c r="D156" s="293">
        <f ca="1">G20*2^16+F20*2^0</f>
        <v>6554680</v>
      </c>
      <c r="E156" s="222"/>
      <c r="F156" s="222"/>
      <c r="G156" s="222"/>
      <c r="H156" s="222"/>
      <c r="I156" s="222"/>
      <c r="J156" s="222"/>
      <c r="K156" s="222"/>
      <c r="L156" s="222"/>
      <c r="M156" s="222"/>
      <c r="N156" s="222"/>
      <c r="O156" s="222"/>
      <c r="P156" s="222"/>
      <c r="Q156" s="222"/>
      <c r="R156" s="222"/>
      <c r="S156" s="222"/>
      <c r="T156" s="222"/>
    </row>
    <row r="157" spans="2:20" customFormat="1" hidden="1">
      <c r="B157" s="66" t="s">
        <v>516</v>
      </c>
      <c r="C157" s="78" t="str">
        <f t="shared" si="2"/>
        <v>00030003</v>
      </c>
      <c r="D157" s="293">
        <f>I20*2^16+H20*2^0</f>
        <v>196611</v>
      </c>
      <c r="E157" s="222"/>
      <c r="F157" s="222"/>
      <c r="G157" s="222"/>
      <c r="H157" s="222"/>
      <c r="I157" s="222"/>
      <c r="J157" s="222"/>
      <c r="K157" s="222"/>
      <c r="L157" s="222"/>
      <c r="M157" s="222"/>
      <c r="N157" s="222"/>
      <c r="O157" s="222"/>
      <c r="P157" s="222"/>
      <c r="Q157" s="222"/>
      <c r="R157" s="222"/>
      <c r="S157" s="222"/>
      <c r="T157" s="222"/>
    </row>
    <row r="158" spans="2:20" customFormat="1" hidden="1">
      <c r="B158" s="66" t="s">
        <v>517</v>
      </c>
      <c r="C158" s="78" t="str">
        <f t="shared" ca="1" si="2"/>
        <v>000604B0</v>
      </c>
      <c r="D158" s="293">
        <f ca="1">K20*2^16+J20*2^0</f>
        <v>394416</v>
      </c>
      <c r="E158" s="222"/>
      <c r="F158" s="222"/>
      <c r="G158" s="222"/>
      <c r="H158" s="222"/>
      <c r="I158" s="222"/>
      <c r="J158" s="222"/>
      <c r="K158" s="222"/>
      <c r="L158" s="222"/>
      <c r="M158" s="222"/>
      <c r="N158" s="222"/>
      <c r="O158" s="222"/>
      <c r="P158" s="222"/>
      <c r="Q158" s="222"/>
      <c r="R158" s="222"/>
      <c r="S158" s="222"/>
      <c r="T158" s="222"/>
    </row>
    <row r="159" spans="2:20" customFormat="1" hidden="1">
      <c r="B159" s="66" t="s">
        <v>512</v>
      </c>
      <c r="C159" s="78" t="str">
        <f t="shared" ref="C159:C170" si="3">DEC2HEX(D159,8)</f>
        <v>00000000</v>
      </c>
      <c r="D159" s="293">
        <f>BL28</f>
        <v>0</v>
      </c>
      <c r="E159" s="222"/>
      <c r="F159" s="222"/>
      <c r="G159" s="222"/>
      <c r="H159" s="222"/>
      <c r="I159" s="222"/>
      <c r="J159" s="222"/>
      <c r="K159" s="222"/>
      <c r="L159" s="222"/>
      <c r="M159" s="222"/>
      <c r="N159" s="222"/>
      <c r="O159" s="222"/>
      <c r="P159" s="222"/>
      <c r="Q159" s="222"/>
      <c r="R159" s="222"/>
      <c r="S159" s="222"/>
      <c r="T159" s="222"/>
    </row>
    <row r="160" spans="2:20" customFormat="1" hidden="1">
      <c r="B160" s="66" t="s">
        <v>506</v>
      </c>
      <c r="C160" s="78" t="str">
        <f t="shared" si="3"/>
        <v>00000000</v>
      </c>
      <c r="D160" s="293">
        <f>G30*2^16+H30*2^8+I30*2^0</f>
        <v>0</v>
      </c>
      <c r="E160" s="222"/>
      <c r="F160" s="222"/>
      <c r="G160" s="222"/>
      <c r="H160" s="222"/>
      <c r="I160" s="222"/>
      <c r="J160" s="222"/>
      <c r="K160" s="222"/>
      <c r="L160" s="222"/>
      <c r="M160" s="222"/>
      <c r="N160" s="222"/>
      <c r="O160" s="222"/>
      <c r="P160" s="222"/>
      <c r="Q160" s="222"/>
      <c r="R160" s="222"/>
      <c r="S160" s="222"/>
      <c r="T160" s="222"/>
    </row>
    <row r="161" spans="2:21" customFormat="1" hidden="1">
      <c r="B161" s="66" t="s">
        <v>507</v>
      </c>
      <c r="C161" s="78" t="str">
        <f t="shared" si="3"/>
        <v>00000000</v>
      </c>
      <c r="D161" s="293">
        <f>IF(OR(C29="eDP",C29="DP"),0,IF(AND($E$28&lt;&gt;"CB00 En",$E$28&lt;&gt;"CB11 En"),1,0))</f>
        <v>0</v>
      </c>
      <c r="E161" s="222"/>
      <c r="F161" s="222"/>
      <c r="G161" s="222"/>
      <c r="H161" s="222"/>
      <c r="I161" s="222"/>
      <c r="J161" s="222"/>
      <c r="K161" s="222"/>
      <c r="L161" s="222"/>
      <c r="M161" s="222"/>
      <c r="N161" s="222"/>
      <c r="O161" s="222"/>
      <c r="P161" s="222"/>
      <c r="Q161" s="222"/>
      <c r="R161" s="222"/>
      <c r="S161" s="222"/>
      <c r="T161" s="222"/>
    </row>
    <row r="162" spans="2:21" customFormat="1" hidden="1">
      <c r="B162" s="66" t="s">
        <v>508</v>
      </c>
      <c r="C162" s="78" t="str">
        <f t="shared" si="3"/>
        <v>00000000</v>
      </c>
      <c r="D162" s="293">
        <f>IF(OR(C29="eDP",C29="DP"),0,IF(AND($E$28&lt;&gt;"CB00 En",$E$28&lt;&gt;"CB11 En"),1,0))</f>
        <v>0</v>
      </c>
      <c r="E162" s="222"/>
      <c r="F162" s="222"/>
      <c r="G162" s="222"/>
      <c r="H162" s="222"/>
      <c r="I162" s="222"/>
      <c r="J162" s="222"/>
      <c r="K162" s="222"/>
      <c r="L162" s="222"/>
      <c r="M162" s="222"/>
      <c r="N162" s="222"/>
      <c r="O162" s="222"/>
      <c r="P162" s="222"/>
      <c r="Q162" s="222"/>
      <c r="R162" s="222"/>
      <c r="S162" s="222"/>
      <c r="T162" s="222"/>
    </row>
    <row r="163" spans="2:21" customFormat="1" hidden="1">
      <c r="B163" s="66" t="s">
        <v>518</v>
      </c>
      <c r="C163" s="78" t="str">
        <f>DEC2HEX(D163,8)</f>
        <v>005A0005</v>
      </c>
      <c r="D163" s="293">
        <f>E20*2^16+D20*2^0</f>
        <v>5898245</v>
      </c>
      <c r="E163" s="222"/>
      <c r="F163" s="222"/>
      <c r="G163" s="222"/>
      <c r="H163" s="222"/>
      <c r="I163" s="222"/>
      <c r="J163" s="222"/>
      <c r="K163" s="222"/>
      <c r="L163" s="222"/>
      <c r="M163" s="222"/>
      <c r="N163" s="222"/>
      <c r="O163" s="222"/>
      <c r="P163" s="222"/>
      <c r="Q163" s="222"/>
      <c r="R163" s="222"/>
      <c r="S163" s="222"/>
      <c r="T163" s="222"/>
    </row>
    <row r="164" spans="2:21" customFormat="1" hidden="1">
      <c r="B164" s="66" t="s">
        <v>519</v>
      </c>
      <c r="C164" s="78" t="str">
        <f t="shared" ref="C164:C166" ca="1" si="4">DEC2HEX(D164,8)</f>
        <v>00640438</v>
      </c>
      <c r="D164" s="293">
        <f ca="1">G20*2^16+F20*2^0</f>
        <v>6554680</v>
      </c>
      <c r="E164" s="222"/>
      <c r="F164" s="222"/>
      <c r="G164" s="222"/>
      <c r="H164" s="222"/>
      <c r="I164" s="222"/>
      <c r="J164" s="222"/>
      <c r="K164" s="222"/>
      <c r="L164" s="222"/>
      <c r="M164" s="222"/>
      <c r="N164" s="222"/>
      <c r="O164" s="222"/>
      <c r="P164" s="222"/>
      <c r="Q164" s="222"/>
      <c r="R164" s="222"/>
      <c r="S164" s="222"/>
      <c r="T164" s="222"/>
    </row>
    <row r="165" spans="2:21" customFormat="1" hidden="1">
      <c r="B165" s="66" t="s">
        <v>520</v>
      </c>
      <c r="C165" s="78" t="str">
        <f t="shared" si="4"/>
        <v>00030003</v>
      </c>
      <c r="D165" s="293">
        <f>I20*2^16+H20*2^0</f>
        <v>196611</v>
      </c>
      <c r="E165" s="222"/>
      <c r="F165" s="222"/>
      <c r="G165" s="222"/>
      <c r="H165" s="222"/>
      <c r="I165" s="222"/>
      <c r="J165" s="222"/>
      <c r="K165" s="222"/>
      <c r="L165" s="222"/>
      <c r="M165" s="222"/>
      <c r="N165" s="222"/>
      <c r="O165" s="222"/>
      <c r="P165" s="222"/>
      <c r="Q165" s="222"/>
      <c r="R165" s="222"/>
      <c r="S165" s="222"/>
      <c r="T165" s="222"/>
    </row>
    <row r="166" spans="2:21" customFormat="1" hidden="1">
      <c r="B166" s="66" t="s">
        <v>521</v>
      </c>
      <c r="C166" s="78" t="str">
        <f t="shared" ca="1" si="4"/>
        <v>000604B0</v>
      </c>
      <c r="D166" s="293">
        <f ca="1">K20*2^16+J20*2^0</f>
        <v>394416</v>
      </c>
      <c r="E166" s="222"/>
      <c r="F166" s="222"/>
      <c r="G166" s="222"/>
      <c r="H166" s="222"/>
      <c r="I166" s="222"/>
      <c r="J166" s="222"/>
      <c r="K166" s="222"/>
      <c r="L166" s="222"/>
      <c r="M166" s="222"/>
      <c r="N166" s="222"/>
      <c r="O166" s="222"/>
      <c r="P166" s="222"/>
      <c r="Q166" s="222"/>
      <c r="R166" s="222"/>
      <c r="S166" s="222"/>
      <c r="T166" s="222"/>
    </row>
    <row r="167" spans="2:21" customFormat="1" hidden="1">
      <c r="B167" s="66" t="s">
        <v>513</v>
      </c>
      <c r="C167" s="78" t="str">
        <f t="shared" si="3"/>
        <v>00000000</v>
      </c>
      <c r="D167" s="293">
        <f>BM28</f>
        <v>0</v>
      </c>
      <c r="E167" s="222"/>
      <c r="F167" s="26"/>
      <c r="G167" s="222"/>
      <c r="H167" s="222"/>
      <c r="I167" s="222"/>
      <c r="J167" s="222"/>
      <c r="K167" s="222"/>
      <c r="L167" s="222"/>
      <c r="M167" s="222"/>
      <c r="N167" s="222"/>
      <c r="O167" s="222"/>
      <c r="P167" s="222"/>
      <c r="Q167" s="222"/>
      <c r="R167" s="222"/>
      <c r="S167" s="222"/>
      <c r="T167" s="222"/>
    </row>
    <row r="168" spans="2:21" customFormat="1" hidden="1">
      <c r="B168" s="66" t="s">
        <v>509</v>
      </c>
      <c r="C168" s="78" t="str">
        <f t="shared" si="3"/>
        <v>00000000</v>
      </c>
      <c r="D168" s="293">
        <f>G31*2^16+H31*2^8+I31*2^0</f>
        <v>0</v>
      </c>
      <c r="E168" s="26"/>
      <c r="F168" s="222"/>
      <c r="G168" s="222"/>
      <c r="H168" s="222"/>
      <c r="I168" s="222"/>
      <c r="J168" s="222"/>
      <c r="K168" s="222"/>
      <c r="L168" s="222"/>
      <c r="M168" s="222"/>
      <c r="N168" s="222"/>
      <c r="O168" s="222"/>
      <c r="P168" s="222"/>
      <c r="Q168" s="222"/>
      <c r="R168" s="222"/>
      <c r="S168" s="222"/>
      <c r="T168" s="222"/>
    </row>
    <row r="169" spans="2:21" customFormat="1" hidden="1">
      <c r="B169" s="66" t="s">
        <v>510</v>
      </c>
      <c r="C169" s="78" t="str">
        <f t="shared" si="3"/>
        <v>00000000</v>
      </c>
      <c r="D169" s="293">
        <f>IF(OR(C29="eDP",C29="DP"),0,IF(AND($E$28&lt;&gt;"CB00 En",$E$28&lt;&gt;"CB01 En"),1,0))</f>
        <v>0</v>
      </c>
      <c r="E169" s="222"/>
      <c r="F169" s="222"/>
      <c r="G169" s="222"/>
      <c r="H169" s="222"/>
      <c r="I169" s="222"/>
      <c r="J169" s="222"/>
      <c r="K169" s="222"/>
      <c r="L169" s="222"/>
      <c r="M169" s="222"/>
      <c r="N169" s="222"/>
      <c r="O169" s="222"/>
      <c r="P169" s="222"/>
      <c r="Q169" s="222"/>
      <c r="R169" s="222"/>
      <c r="S169" s="222"/>
      <c r="T169" s="222"/>
    </row>
    <row r="170" spans="2:21" customFormat="1" hidden="1">
      <c r="B170" s="66" t="s">
        <v>511</v>
      </c>
      <c r="C170" s="78" t="str">
        <f t="shared" si="3"/>
        <v>00000000</v>
      </c>
      <c r="D170" s="293">
        <f>IF(OR(C29="eDP",C29="DP"),0,IF(AND($E$28&lt;&gt;"CB00 En",$E$28&lt;&gt;"CB01 En"),1,0))</f>
        <v>0</v>
      </c>
      <c r="E170" s="222"/>
      <c r="F170" s="222"/>
      <c r="G170" s="222"/>
      <c r="H170" s="222"/>
      <c r="I170" s="222"/>
      <c r="J170" s="222"/>
      <c r="K170" s="222"/>
      <c r="L170" s="222"/>
      <c r="M170" s="222"/>
      <c r="N170" s="222"/>
      <c r="O170" s="222"/>
      <c r="P170" s="222"/>
      <c r="Q170" s="222"/>
      <c r="R170" s="222"/>
      <c r="S170" s="222"/>
      <c r="T170" s="222"/>
    </row>
    <row r="171" spans="2:21" customFormat="1" ht="13.5" hidden="1">
      <c r="D171" s="222"/>
      <c r="E171" s="222"/>
      <c r="F171" s="222"/>
      <c r="G171" s="222"/>
      <c r="H171" s="222"/>
      <c r="I171" s="222"/>
      <c r="J171" s="222"/>
      <c r="K171" s="222"/>
      <c r="L171" s="222"/>
      <c r="M171" s="222"/>
      <c r="N171" s="222"/>
      <c r="O171" s="222"/>
      <c r="P171" s="222"/>
      <c r="Q171" s="222"/>
      <c r="R171" s="222"/>
      <c r="S171" s="222"/>
      <c r="T171" s="222"/>
    </row>
    <row r="172" spans="2:21" customFormat="1" ht="13.5" hidden="1">
      <c r="D172" s="222"/>
      <c r="E172" s="222"/>
      <c r="F172" s="222"/>
      <c r="G172" s="222"/>
      <c r="H172" s="222"/>
      <c r="I172" s="222"/>
      <c r="J172" s="222"/>
      <c r="K172" s="222"/>
      <c r="L172" s="222"/>
      <c r="M172" s="222"/>
      <c r="N172" s="222"/>
      <c r="O172" s="222"/>
      <c r="P172" s="222"/>
      <c r="Q172" s="222"/>
      <c r="R172" s="222"/>
      <c r="S172" s="222"/>
      <c r="T172" s="222"/>
    </row>
    <row r="173" spans="2:21" hidden="1">
      <c r="B173" s="66" t="s">
        <v>328</v>
      </c>
      <c r="C173" s="78" t="str">
        <f t="shared" ref="C173:C178" si="5">DEC2HEX(D173,4)</f>
        <v>0000</v>
      </c>
      <c r="D173" s="228"/>
      <c r="E173" s="238"/>
      <c r="F173" s="238"/>
      <c r="G173" s="238"/>
      <c r="H173" s="238"/>
      <c r="I173" s="238"/>
      <c r="J173" s="238"/>
      <c r="K173" s="238"/>
      <c r="L173" s="238"/>
      <c r="M173" s="238"/>
      <c r="N173" s="238"/>
      <c r="O173" s="238"/>
      <c r="P173" s="238"/>
      <c r="Q173" s="238"/>
      <c r="R173" s="238"/>
      <c r="S173" s="238"/>
      <c r="T173" s="238"/>
      <c r="U173" s="228"/>
    </row>
    <row r="174" spans="2:21" hidden="1">
      <c r="B174" s="66" t="s">
        <v>329</v>
      </c>
      <c r="C174" s="78" t="str">
        <f t="shared" si="5"/>
        <v>0004</v>
      </c>
      <c r="D174" s="322">
        <f>E174*2^15+F174*2^14+G174*2^13+H174*2^12+I174*2^11+J174*2^10+K174*2^9+L174*2^8+M174*2^7+N174*2^6+O174*2^5+P174*2^4+Q174*2^3+R174*2^2+S174*2^1+T174*2^0</f>
        <v>4</v>
      </c>
      <c r="E174" s="228">
        <v>0</v>
      </c>
      <c r="F174" s="228">
        <v>0</v>
      </c>
      <c r="G174" s="228">
        <v>0</v>
      </c>
      <c r="H174" s="228">
        <v>0</v>
      </c>
      <c r="I174" s="228">
        <v>0</v>
      </c>
      <c r="J174" s="228">
        <v>0</v>
      </c>
      <c r="K174" s="228">
        <v>0</v>
      </c>
      <c r="L174" s="228">
        <v>0</v>
      </c>
      <c r="M174" s="228">
        <v>0</v>
      </c>
      <c r="N174" s="228">
        <v>0</v>
      </c>
      <c r="O174" s="228">
        <v>0</v>
      </c>
      <c r="P174" s="228">
        <v>0</v>
      </c>
      <c r="Q174" s="228">
        <v>0</v>
      </c>
      <c r="R174" s="228">
        <f>IF(O8="No",0,1)</f>
        <v>1</v>
      </c>
      <c r="S174" s="228">
        <v>0</v>
      </c>
      <c r="T174" s="228">
        <v>0</v>
      </c>
      <c r="U174" s="228"/>
    </row>
    <row r="175" spans="2:21" hidden="1">
      <c r="B175" s="66" t="s">
        <v>330</v>
      </c>
      <c r="C175" s="78" t="str">
        <f t="shared" ca="1" si="5"/>
        <v>1F37</v>
      </c>
      <c r="D175" s="322">
        <f ca="1">E175*2^15+F175*2^14+G175*2^13+H175*2^12+I175*2^11+J175*2^10+K175*2^9+L175*2^8+M175*2^7+N175*2^6+O175*2^5+P175*2^4+Q175*2^3+R175*2^2+S175*2^1+T175*2^0</f>
        <v>7991</v>
      </c>
      <c r="E175" s="228">
        <v>0</v>
      </c>
      <c r="F175" s="228">
        <f>IF(M4="SLIMBus",1,0)</f>
        <v>0</v>
      </c>
      <c r="G175" s="228">
        <v>0</v>
      </c>
      <c r="H175" s="228">
        <f>IF(O6="Free Run",0,1)</f>
        <v>1</v>
      </c>
      <c r="I175" s="228">
        <v>0</v>
      </c>
      <c r="J175" s="228">
        <f>IF(O4=8,0,IF(O4=6,1,IF(O4=4,2,3)))</f>
        <v>3</v>
      </c>
      <c r="K175" s="228">
        <f>IF(N4="Auto",0,1)</f>
        <v>1</v>
      </c>
      <c r="L175" s="228">
        <f>IF(N6="No Delay",0,1)</f>
        <v>1</v>
      </c>
      <c r="M175" s="228">
        <v>0</v>
      </c>
      <c r="N175" s="228">
        <v>0</v>
      </c>
      <c r="O175" s="228">
        <f>IF(M4="Disable",0,1)</f>
        <v>1</v>
      </c>
      <c r="P175" s="228">
        <v>0</v>
      </c>
      <c r="Q175" s="228">
        <f>IF(M4="TDM",3,2)</f>
        <v>2</v>
      </c>
      <c r="R175" s="228">
        <f>IF(O8="No",0,1)</f>
        <v>1</v>
      </c>
      <c r="S175" s="228">
        <f ca="1">IF(C53="TX0 Enable",0,IF(H57&gt;0,1,0))</f>
        <v>1</v>
      </c>
      <c r="T175" s="228">
        <f ca="1">IF(C53="TX1 Enable",0,IF(F57&gt;0,1,0))</f>
        <v>1</v>
      </c>
      <c r="U175" s="228"/>
    </row>
    <row r="176" spans="2:21" hidden="1">
      <c r="B176" s="66" t="s">
        <v>186</v>
      </c>
      <c r="C176" s="78" t="str">
        <f t="shared" si="5"/>
        <v>0008</v>
      </c>
      <c r="D176" s="322">
        <f>E176*2^15+F176*2^14+G176*2^13+H176*2^12+I176*2^11+J176*2^10+K176*2^9+L176*2^8+M176*2^7+N176*2^6+O176*2^5+P176*2^4+Q176*2^3+R176*2^2+S176*2^1+T176*2^0</f>
        <v>8</v>
      </c>
      <c r="E176" s="228">
        <v>0</v>
      </c>
      <c r="F176" s="228">
        <v>0</v>
      </c>
      <c r="G176" s="228">
        <v>0</v>
      </c>
      <c r="H176" s="228">
        <v>0</v>
      </c>
      <c r="I176" s="228">
        <v>0</v>
      </c>
      <c r="J176" s="228">
        <v>0</v>
      </c>
      <c r="K176" s="228">
        <v>0</v>
      </c>
      <c r="L176" s="228">
        <v>0</v>
      </c>
      <c r="M176" s="228">
        <v>0</v>
      </c>
      <c r="N176" s="228">
        <v>0</v>
      </c>
      <c r="O176" s="228">
        <v>0</v>
      </c>
      <c r="P176" s="228">
        <v>0</v>
      </c>
      <c r="Q176" s="228">
        <v>1</v>
      </c>
      <c r="R176" s="228">
        <f>IF(D57="Enable",1,0)</f>
        <v>0</v>
      </c>
      <c r="S176" s="228">
        <v>0</v>
      </c>
      <c r="T176" s="228">
        <f>IF(C55="pRGB666",2,IF(C55="lpRGB666",3,0))</f>
        <v>0</v>
      </c>
      <c r="U176" s="228"/>
    </row>
    <row r="177" spans="2:21" hidden="1">
      <c r="B177" s="66" t="s">
        <v>186</v>
      </c>
      <c r="C177" s="78" t="str">
        <f t="shared" si="5"/>
        <v>0000</v>
      </c>
      <c r="D177" s="322">
        <f>E177*2^15+F177*2^14+G177*2^13+H177*2^12+I177*2^11+J177*2^10+K177*2^9+L177*2^8+M177*2^7+N177*2^6+O177*2^5+P177*2^4+Q177*2^3+R177*2^2+S177*2^1+T177*2^0</f>
        <v>0</v>
      </c>
      <c r="E177" s="228">
        <v>0</v>
      </c>
      <c r="F177" s="228">
        <v>0</v>
      </c>
      <c r="G177" s="228">
        <v>0</v>
      </c>
      <c r="H177" s="228">
        <v>0</v>
      </c>
      <c r="I177" s="228">
        <v>0</v>
      </c>
      <c r="J177" s="228">
        <v>0</v>
      </c>
      <c r="K177" s="228">
        <v>0</v>
      </c>
      <c r="L177" s="228">
        <v>0</v>
      </c>
      <c r="M177" s="228">
        <v>0</v>
      </c>
      <c r="N177" s="228">
        <v>0</v>
      </c>
      <c r="O177" s="228">
        <v>0</v>
      </c>
      <c r="P177" s="228">
        <v>0</v>
      </c>
      <c r="Q177" s="228">
        <v>0</v>
      </c>
      <c r="R177" s="228">
        <f>IF(D57="Enable",1,0)</f>
        <v>0</v>
      </c>
      <c r="S177" s="228">
        <v>0</v>
      </c>
      <c r="T177" s="228">
        <f>IF(C55="pRGB666",2,IF(C55="lpRGB666",3,0))</f>
        <v>0</v>
      </c>
      <c r="U177" s="228"/>
    </row>
    <row r="178" spans="2:21" hidden="1">
      <c r="B178" s="66" t="s">
        <v>90</v>
      </c>
      <c r="C178" s="78" t="str">
        <f t="shared" ca="1" si="5"/>
        <v>0CA8</v>
      </c>
      <c r="D178" s="322">
        <f ca="1">F20*B56/8</f>
        <v>3240</v>
      </c>
      <c r="E178" s="228"/>
      <c r="F178" s="228"/>
      <c r="G178" s="228"/>
      <c r="H178" s="228"/>
      <c r="I178" s="228"/>
      <c r="J178" s="228"/>
      <c r="K178" s="228"/>
      <c r="L178" s="228"/>
      <c r="M178" s="228"/>
      <c r="N178" s="228"/>
      <c r="O178" s="228"/>
      <c r="P178" s="228"/>
      <c r="Q178" s="228"/>
      <c r="R178" s="228"/>
      <c r="S178" s="228"/>
      <c r="T178" s="228"/>
      <c r="U178" s="228"/>
    </row>
    <row r="179" spans="2:21" hidden="1">
      <c r="B179"/>
      <c r="C179"/>
      <c r="D179" s="228"/>
      <c r="E179" s="228"/>
      <c r="F179" s="228"/>
      <c r="G179" s="228"/>
      <c r="H179" s="228"/>
      <c r="I179" s="228"/>
      <c r="J179" s="228"/>
      <c r="K179" s="228"/>
      <c r="L179" s="228"/>
      <c r="M179" s="228"/>
      <c r="N179" s="228"/>
      <c r="O179" s="228"/>
      <c r="P179" s="228"/>
      <c r="Q179" s="228"/>
      <c r="R179" s="228"/>
      <c r="S179" s="228"/>
      <c r="T179" s="228"/>
      <c r="U179" s="228"/>
    </row>
    <row r="180" spans="2:21" hidden="1">
      <c r="B180" s="66" t="s">
        <v>138</v>
      </c>
      <c r="C180" s="78" t="str">
        <f ca="1">DEC2HEX(D180,8)</f>
        <v>0000247B</v>
      </c>
      <c r="D180" s="322">
        <f ca="1">J86*2^12+I86*2^10+K86</f>
        <v>9339.875</v>
      </c>
      <c r="E180" s="228"/>
      <c r="F180" s="228"/>
      <c r="G180" s="228"/>
      <c r="H180" s="228"/>
      <c r="I180" s="228"/>
      <c r="J180" s="228"/>
      <c r="K180" s="228"/>
      <c r="L180" s="228"/>
      <c r="M180" s="228"/>
      <c r="N180" s="228"/>
      <c r="O180" s="228"/>
      <c r="P180" s="228"/>
      <c r="Q180" s="228"/>
      <c r="R180" s="228"/>
      <c r="S180" s="228"/>
      <c r="T180" s="228"/>
      <c r="U180" s="228"/>
    </row>
    <row r="181" spans="2:21" hidden="1">
      <c r="D181" s="228"/>
      <c r="E181" s="228"/>
      <c r="F181" s="228"/>
      <c r="G181" s="228"/>
      <c r="H181" s="228"/>
      <c r="I181" s="228"/>
      <c r="J181" s="228"/>
      <c r="K181" s="228"/>
      <c r="L181" s="228"/>
      <c r="M181" s="228"/>
      <c r="N181" s="228"/>
      <c r="O181" s="228"/>
      <c r="P181" s="228"/>
      <c r="Q181" s="228"/>
      <c r="R181" s="228"/>
      <c r="S181" s="228"/>
      <c r="T181" s="228"/>
      <c r="U181" s="228"/>
    </row>
    <row r="182" spans="2:21" hidden="1">
      <c r="B182" s="66" t="s">
        <v>168</v>
      </c>
      <c r="C182" s="78" t="str">
        <f>DEC2HEX(D182,8)</f>
        <v>00000000</v>
      </c>
      <c r="D182" s="322">
        <f>0*2^4+0*2^3+N23*2^2+N24*2^1+0*2^0</f>
        <v>0</v>
      </c>
      <c r="E182" s="228"/>
      <c r="F182" s="228"/>
      <c r="G182" s="228"/>
      <c r="H182" s="228"/>
      <c r="I182" s="228"/>
      <c r="J182" s="228"/>
      <c r="K182" s="228"/>
      <c r="L182" s="228"/>
      <c r="M182" s="228"/>
      <c r="N182" s="228"/>
      <c r="O182" s="228"/>
      <c r="P182" s="228"/>
      <c r="Q182" s="228"/>
      <c r="R182" s="228"/>
      <c r="S182" s="228"/>
      <c r="T182" s="228"/>
      <c r="U182" s="228"/>
    </row>
    <row r="183" spans="2:21" hidden="1">
      <c r="B183" s="66" t="s">
        <v>162</v>
      </c>
      <c r="C183" s="78" t="str">
        <f>DEC2HEX(D183,8)</f>
        <v>00000014</v>
      </c>
      <c r="D183" s="322">
        <f>1*2^4+E88</f>
        <v>20</v>
      </c>
      <c r="E183" s="228"/>
      <c r="F183" s="229"/>
      <c r="G183" s="228"/>
      <c r="H183" s="228"/>
      <c r="I183" s="228"/>
      <c r="J183" s="228"/>
      <c r="K183" s="228"/>
      <c r="L183" s="228"/>
      <c r="M183" s="228"/>
      <c r="N183" s="228"/>
      <c r="O183" s="228"/>
      <c r="P183" s="228"/>
      <c r="Q183" s="228"/>
      <c r="R183" s="228"/>
      <c r="S183" s="228"/>
      <c r="T183" s="228"/>
      <c r="U183" s="228"/>
    </row>
    <row r="184" spans="2:21" hidden="1">
      <c r="B184" s="66" t="s">
        <v>153</v>
      </c>
      <c r="C184" s="78" t="str">
        <f>DEC2HEX(D184,8)</f>
        <v>00001770</v>
      </c>
      <c r="D184" s="322">
        <f>C95</f>
        <v>6000</v>
      </c>
      <c r="E184" s="228"/>
      <c r="F184" s="229"/>
      <c r="G184" s="228"/>
      <c r="H184" s="228"/>
      <c r="I184" s="228"/>
      <c r="J184" s="228"/>
      <c r="K184" s="228"/>
      <c r="L184" s="228"/>
      <c r="M184" s="228"/>
      <c r="N184" s="228"/>
      <c r="O184" s="228"/>
      <c r="P184" s="228"/>
      <c r="Q184" s="228"/>
      <c r="R184" s="228"/>
      <c r="S184" s="228"/>
      <c r="T184" s="228"/>
      <c r="U184" s="228"/>
    </row>
    <row r="185" spans="2:21" hidden="1">
      <c r="B185"/>
      <c r="C185"/>
      <c r="D185" s="228"/>
      <c r="E185" s="228"/>
      <c r="F185" s="229"/>
      <c r="G185" s="228"/>
      <c r="H185" s="228"/>
      <c r="I185" s="228"/>
      <c r="J185" s="228"/>
      <c r="K185" s="228"/>
      <c r="L185" s="228"/>
      <c r="M185" s="228"/>
      <c r="N185" s="228"/>
      <c r="O185" s="228"/>
      <c r="P185" s="228"/>
      <c r="Q185" s="228"/>
      <c r="R185" s="228"/>
      <c r="S185" s="228"/>
      <c r="T185" s="228"/>
      <c r="U185" s="228"/>
    </row>
    <row r="186" spans="2:21" hidden="1">
      <c r="B186" s="66" t="s">
        <v>245</v>
      </c>
      <c r="C186" s="78" t="str">
        <f ca="1">DEC2HEX(D186,8)</f>
        <v>00000226</v>
      </c>
      <c r="D186" s="322">
        <f ca="1">ROUND((D20+E20+F20+G20/2)*C92/C20,0)</f>
        <v>550</v>
      </c>
      <c r="E186" s="228"/>
      <c r="F186" s="229"/>
      <c r="G186" s="228"/>
      <c r="H186" s="228"/>
      <c r="I186" s="228"/>
      <c r="J186" s="228"/>
      <c r="K186" s="228"/>
      <c r="L186" s="228"/>
      <c r="M186" s="228"/>
      <c r="N186" s="228"/>
      <c r="O186" s="228"/>
      <c r="P186" s="228"/>
      <c r="Q186" s="228"/>
      <c r="R186" s="228"/>
      <c r="S186" s="228"/>
      <c r="T186" s="228"/>
      <c r="U186" s="228"/>
    </row>
    <row r="187" spans="2:21" hidden="1">
      <c r="B187" s="66" t="s">
        <v>246</v>
      </c>
      <c r="C187" s="78" t="str">
        <f ca="1">DEC2HEX(D187,8)</f>
        <v>00000219</v>
      </c>
      <c r="D187" s="322">
        <f ca="1">ROUND(((D20+E20+F20+20)*C92/C20),0)</f>
        <v>537</v>
      </c>
      <c r="E187" s="228"/>
      <c r="F187" s="229"/>
      <c r="G187" s="228"/>
      <c r="H187" s="228"/>
      <c r="I187" s="228"/>
      <c r="J187" s="228"/>
      <c r="K187" s="228"/>
      <c r="L187" s="228"/>
      <c r="M187" s="228"/>
      <c r="N187" s="228"/>
      <c r="O187" s="228"/>
      <c r="P187" s="228"/>
      <c r="Q187" s="228"/>
      <c r="R187" s="228"/>
      <c r="S187" s="228"/>
      <c r="T187" s="228"/>
      <c r="U187" s="228"/>
    </row>
    <row r="188" spans="2:21" hidden="1">
      <c r="B188" s="66" t="s">
        <v>204</v>
      </c>
      <c r="C188" s="78" t="str">
        <f>DEC2HEX(D188,8)</f>
        <v>00000081</v>
      </c>
      <c r="D188" s="322">
        <f>E188*2^15+F188*2^14+G188*2^13+H188*2^12+I188*2^11+J188*2^10+K188*2^9+L188*2^8+M188*2^7+N188*2^6+O188*2^5+P188*2^4+Q188*2^3+R188*2^2+S188*2^1+T188*2^0</f>
        <v>129</v>
      </c>
      <c r="E188" s="228">
        <v>0</v>
      </c>
      <c r="F188" s="229">
        <v>0</v>
      </c>
      <c r="G188" s="228">
        <v>0</v>
      </c>
      <c r="H188" s="228">
        <v>0</v>
      </c>
      <c r="I188" s="228">
        <v>0</v>
      </c>
      <c r="J188" s="228">
        <v>0</v>
      </c>
      <c r="K188" s="228">
        <v>0</v>
      </c>
      <c r="L188" s="228">
        <v>0</v>
      </c>
      <c r="M188" s="228">
        <f>IF(C70="LP",0,1)</f>
        <v>1</v>
      </c>
      <c r="N188" s="228">
        <v>0</v>
      </c>
      <c r="O188" s="228">
        <v>0</v>
      </c>
      <c r="P188" s="228">
        <v>0</v>
      </c>
      <c r="Q188" s="228">
        <v>0</v>
      </c>
      <c r="R188" s="228">
        <v>0</v>
      </c>
      <c r="S188" s="228">
        <v>0</v>
      </c>
      <c r="T188" s="228">
        <f>IF(D55="SyncEvent",1,0)</f>
        <v>1</v>
      </c>
      <c r="U188" s="228"/>
    </row>
    <row r="189" spans="2:21" hidden="1">
      <c r="B189" s="66" t="s">
        <v>139</v>
      </c>
      <c r="C189" s="78" t="str">
        <f>DEC2HEX(D189,8)</f>
        <v>00000020</v>
      </c>
      <c r="D189" s="322">
        <f>D72</f>
        <v>32</v>
      </c>
      <c r="E189" s="228"/>
      <c r="F189" s="228"/>
      <c r="G189" s="228"/>
      <c r="H189" s="228"/>
      <c r="I189" s="228"/>
      <c r="J189" s="228"/>
      <c r="K189" s="228"/>
      <c r="L189" s="228"/>
      <c r="M189" s="228"/>
      <c r="N189" s="228"/>
      <c r="O189" s="228"/>
      <c r="P189" s="228"/>
      <c r="Q189" s="228"/>
      <c r="R189" s="228"/>
      <c r="S189" s="228"/>
      <c r="T189" s="228"/>
      <c r="U189" s="228"/>
    </row>
    <row r="190" spans="2:21" hidden="1">
      <c r="B190" s="66" t="s">
        <v>140</v>
      </c>
      <c r="C190" s="78" t="str">
        <f>DEC2HEX(D190,8)</f>
        <v>00000104</v>
      </c>
      <c r="D190" s="322">
        <f>E72</f>
        <v>260</v>
      </c>
      <c r="E190" s="228"/>
      <c r="F190" s="228"/>
      <c r="G190" s="228"/>
      <c r="H190" s="228"/>
      <c r="I190" s="228"/>
      <c r="J190" s="228"/>
      <c r="K190" s="228"/>
      <c r="L190" s="228"/>
      <c r="M190" s="228"/>
      <c r="N190" s="228"/>
      <c r="O190" s="228"/>
      <c r="P190" s="228"/>
      <c r="Q190" s="228"/>
      <c r="R190" s="228"/>
      <c r="S190" s="228"/>
      <c r="T190" s="228"/>
      <c r="U190" s="228"/>
    </row>
    <row r="191" spans="2:21" hidden="1">
      <c r="B191" s="185"/>
      <c r="C191" s="186"/>
      <c r="D191" s="228"/>
      <c r="E191" s="228"/>
      <c r="F191" s="228"/>
      <c r="G191" s="228"/>
      <c r="H191" s="228"/>
      <c r="I191" s="228"/>
      <c r="J191" s="228"/>
      <c r="K191" s="228"/>
      <c r="L191" s="228"/>
      <c r="M191" s="228"/>
      <c r="N191" s="228"/>
      <c r="O191" s="228"/>
      <c r="P191" s="228"/>
      <c r="Q191" s="228"/>
      <c r="R191" s="228"/>
      <c r="S191" s="228"/>
      <c r="T191" s="228"/>
      <c r="U191" s="228"/>
    </row>
    <row r="192" spans="2:21" hidden="1">
      <c r="B192" s="66" t="s">
        <v>154</v>
      </c>
      <c r="C192" s="78" t="str">
        <f t="shared" ref="C192:C198" si="6">DEC2HEX(D192,8)</f>
        <v>00000005</v>
      </c>
      <c r="D192" s="322">
        <f>C97</f>
        <v>5</v>
      </c>
      <c r="E192" s="228"/>
      <c r="F192" s="228"/>
      <c r="G192" s="228"/>
      <c r="H192" s="228"/>
      <c r="I192" s="228"/>
      <c r="J192" s="228"/>
      <c r="K192" s="228"/>
      <c r="L192" s="228"/>
      <c r="M192" s="228"/>
      <c r="N192" s="228"/>
      <c r="O192" s="228"/>
      <c r="P192" s="228"/>
      <c r="Q192" s="228"/>
      <c r="R192" s="228"/>
      <c r="S192" s="228"/>
      <c r="T192" s="228"/>
      <c r="U192" s="228"/>
    </row>
    <row r="193" spans="2:21" hidden="1">
      <c r="B193" s="66" t="s">
        <v>155</v>
      </c>
      <c r="C193" s="78" t="str">
        <f t="shared" si="6"/>
        <v>00250105</v>
      </c>
      <c r="D193" s="322">
        <f>C101*2^16+C103*2^8+C99</f>
        <v>2425093</v>
      </c>
      <c r="E193" s="228"/>
      <c r="F193" s="228"/>
      <c r="G193" s="228"/>
      <c r="H193" s="228"/>
      <c r="I193" s="228"/>
      <c r="J193" s="228"/>
      <c r="K193" s="228"/>
      <c r="L193" s="228"/>
      <c r="M193" s="228"/>
      <c r="N193" s="228"/>
      <c r="O193" s="228"/>
      <c r="P193" s="228"/>
      <c r="Q193" s="228"/>
      <c r="R193" s="228"/>
      <c r="S193" s="228"/>
      <c r="T193" s="228"/>
      <c r="U193" s="228"/>
    </row>
    <row r="194" spans="2:21" hidden="1">
      <c r="B194" s="66" t="s">
        <v>156</v>
      </c>
      <c r="C194" s="78" t="str">
        <f t="shared" si="6"/>
        <v>000D0009</v>
      </c>
      <c r="D194" s="322">
        <f>C107*2^16+C105</f>
        <v>851977</v>
      </c>
      <c r="E194" s="228"/>
      <c r="F194" s="228"/>
      <c r="G194" s="228"/>
      <c r="H194" s="228"/>
      <c r="I194" s="228"/>
      <c r="J194" s="228"/>
      <c r="K194" s="228"/>
      <c r="L194" s="228"/>
      <c r="M194" s="228"/>
      <c r="N194" s="228"/>
      <c r="O194" s="228"/>
      <c r="P194" s="228"/>
      <c r="Q194" s="228"/>
      <c r="R194" s="228"/>
      <c r="S194" s="228"/>
      <c r="T194" s="228"/>
      <c r="U194" s="228"/>
    </row>
    <row r="195" spans="2:21" hidden="1">
      <c r="B195" s="66" t="s">
        <v>157</v>
      </c>
      <c r="C195" s="78" t="str">
        <f t="shared" si="6"/>
        <v>00140007</v>
      </c>
      <c r="D195" s="322">
        <f>C111*2^16+C109</f>
        <v>1310727</v>
      </c>
      <c r="E195" s="228"/>
      <c r="F195" s="228"/>
      <c r="G195" s="228"/>
      <c r="H195" s="228"/>
      <c r="I195" s="228"/>
      <c r="J195" s="228"/>
      <c r="K195" s="228"/>
      <c r="L195" s="228"/>
      <c r="M195" s="228"/>
      <c r="N195" s="228"/>
      <c r="O195" s="228"/>
      <c r="P195" s="228"/>
      <c r="Q195" s="228"/>
      <c r="R195" s="228"/>
      <c r="S195" s="228"/>
      <c r="T195" s="228"/>
      <c r="U195" s="228"/>
    </row>
    <row r="196" spans="2:21" hidden="1">
      <c r="B196" s="66" t="s">
        <v>158</v>
      </c>
      <c r="C196" s="78" t="str">
        <f t="shared" si="6"/>
        <v>00002328</v>
      </c>
      <c r="D196" s="322">
        <f>C113</f>
        <v>9000</v>
      </c>
      <c r="E196" s="228"/>
      <c r="F196" s="228"/>
      <c r="G196" s="228"/>
      <c r="H196" s="228"/>
      <c r="I196" s="228"/>
      <c r="J196" s="228"/>
      <c r="K196" s="228"/>
      <c r="L196" s="228"/>
      <c r="M196" s="228"/>
      <c r="N196" s="228"/>
      <c r="O196" s="228"/>
      <c r="P196" s="228"/>
      <c r="Q196" s="228"/>
      <c r="R196" s="228"/>
      <c r="S196" s="228"/>
      <c r="T196" s="228"/>
      <c r="U196" s="228"/>
    </row>
    <row r="197" spans="2:21" hidden="1">
      <c r="B197" s="66" t="s">
        <v>159</v>
      </c>
      <c r="C197" s="78" t="str">
        <f t="shared" si="6"/>
        <v>0000000F</v>
      </c>
      <c r="D197" s="322">
        <f>C115</f>
        <v>15</v>
      </c>
      <c r="E197" s="228"/>
      <c r="F197" s="228"/>
      <c r="G197" s="228"/>
      <c r="H197" s="228"/>
      <c r="I197" s="228"/>
      <c r="J197" s="228"/>
      <c r="K197" s="228"/>
      <c r="L197" s="228"/>
      <c r="M197" s="228"/>
      <c r="N197" s="228"/>
      <c r="O197" s="228"/>
      <c r="P197" s="228"/>
      <c r="Q197" s="228"/>
      <c r="R197" s="228"/>
      <c r="S197" s="228"/>
      <c r="T197" s="228"/>
      <c r="U197" s="228"/>
    </row>
    <row r="198" spans="2:21" hidden="1">
      <c r="B198" s="66" t="s">
        <v>160</v>
      </c>
      <c r="C198" s="78" t="str">
        <f t="shared" si="6"/>
        <v>000E0009</v>
      </c>
      <c r="D198" s="322">
        <f>C119*2^16+C117</f>
        <v>917513</v>
      </c>
      <c r="E198" s="228"/>
      <c r="F198" s="228"/>
      <c r="G198" s="228"/>
      <c r="H198" s="228"/>
      <c r="I198" s="228"/>
      <c r="J198" s="228"/>
      <c r="K198" s="228"/>
      <c r="L198" s="228"/>
      <c r="M198" s="228"/>
      <c r="N198" s="228"/>
      <c r="O198" s="228"/>
      <c r="P198" s="228"/>
      <c r="Q198" s="228"/>
      <c r="R198" s="228"/>
      <c r="S198" s="228"/>
      <c r="T198" s="228"/>
      <c r="U198" s="228"/>
    </row>
    <row r="199" spans="2:21" hidden="1">
      <c r="B199"/>
      <c r="C199"/>
      <c r="D199" s="228"/>
      <c r="E199" s="228"/>
      <c r="F199" s="228"/>
      <c r="G199" s="228"/>
      <c r="H199" s="228"/>
      <c r="I199" s="228"/>
      <c r="J199" s="228"/>
      <c r="K199" s="228"/>
      <c r="L199" s="228"/>
      <c r="M199" s="228"/>
      <c r="N199" s="228"/>
      <c r="O199" s="228"/>
      <c r="P199" s="228"/>
      <c r="Q199" s="228"/>
      <c r="R199" s="228"/>
      <c r="S199" s="228"/>
      <c r="T199" s="228"/>
      <c r="U199" s="228"/>
    </row>
    <row r="200" spans="2:21" hidden="1">
      <c r="B200" s="66" t="s">
        <v>172</v>
      </c>
      <c r="C200" s="78" t="str">
        <f>DEC2HEX(D200,8)</f>
        <v>0000001F</v>
      </c>
      <c r="D200" s="322">
        <f>IF(C88=1,3,IF(C88=2,7,IF(C88=3,15,31)))</f>
        <v>31</v>
      </c>
      <c r="E200" s="228"/>
      <c r="F200" s="228"/>
      <c r="G200" s="228"/>
      <c r="H200" s="228"/>
      <c r="I200" s="228"/>
      <c r="J200" s="228"/>
      <c r="K200" s="228"/>
      <c r="L200" s="228"/>
      <c r="M200" s="228"/>
      <c r="N200" s="228"/>
      <c r="O200" s="228"/>
      <c r="P200" s="228"/>
      <c r="Q200" s="228"/>
      <c r="R200" s="228"/>
      <c r="S200" s="228"/>
      <c r="T200" s="228"/>
      <c r="U200" s="228"/>
    </row>
    <row r="201" spans="2:21" hidden="1">
      <c r="B201" s="66" t="s">
        <v>163</v>
      </c>
      <c r="C201" s="78" t="str">
        <f>DEC2HEX(D201,8)</f>
        <v>0005000C</v>
      </c>
      <c r="D201" s="322">
        <f>C123*2^16+C121</f>
        <v>327692</v>
      </c>
      <c r="E201" s="228"/>
      <c r="F201" s="228"/>
      <c r="G201" s="228"/>
      <c r="H201" s="228"/>
      <c r="I201" s="228"/>
      <c r="J201" s="228"/>
      <c r="K201" s="228"/>
      <c r="L201" s="228"/>
      <c r="M201" s="228"/>
      <c r="N201" s="228"/>
      <c r="O201" s="228"/>
      <c r="P201" s="228"/>
      <c r="Q201" s="228"/>
      <c r="R201" s="228"/>
      <c r="S201" s="228"/>
      <c r="T201" s="228"/>
      <c r="U201" s="228"/>
    </row>
    <row r="202" spans="2:21" hidden="1">
      <c r="B202" s="185"/>
      <c r="C202" s="186"/>
      <c r="D202" s="228"/>
      <c r="E202" s="228"/>
      <c r="F202" s="228"/>
      <c r="G202" s="228"/>
      <c r="H202" s="228"/>
      <c r="I202" s="228"/>
      <c r="J202" s="228"/>
      <c r="K202" s="228"/>
      <c r="L202" s="228"/>
      <c r="M202" s="228"/>
      <c r="N202" s="228"/>
      <c r="O202" s="228"/>
      <c r="P202" s="228"/>
      <c r="Q202" s="228"/>
      <c r="R202" s="228"/>
      <c r="S202" s="228"/>
      <c r="T202" s="228"/>
      <c r="U202" s="228"/>
    </row>
    <row r="203" spans="2:21" hidden="1">
      <c r="D203" s="228"/>
      <c r="E203" s="228"/>
      <c r="F203" s="228"/>
      <c r="G203" s="228"/>
      <c r="H203" s="228"/>
      <c r="I203" s="228"/>
      <c r="J203" s="228"/>
      <c r="K203" s="228"/>
      <c r="L203" s="228"/>
      <c r="M203" s="228"/>
      <c r="N203" s="228"/>
      <c r="O203" s="228"/>
      <c r="P203" s="228"/>
      <c r="Q203" s="228"/>
      <c r="R203" s="228"/>
      <c r="S203" s="228"/>
      <c r="T203" s="228"/>
      <c r="U203" s="228"/>
    </row>
    <row r="204" spans="2:21" hidden="1">
      <c r="B204" s="66" t="s">
        <v>175</v>
      </c>
      <c r="C204" s="78" t="str">
        <f>DEC2HEX(D204,8)</f>
        <v>00009567</v>
      </c>
      <c r="D204" s="322">
        <f>V86*2^12+U86*2^10+W86</f>
        <v>38247</v>
      </c>
      <c r="E204" s="228"/>
      <c r="F204" s="228"/>
      <c r="G204" s="228"/>
      <c r="H204" s="228"/>
      <c r="I204" s="228"/>
      <c r="J204" s="228"/>
      <c r="K204" s="228"/>
      <c r="L204" s="228"/>
      <c r="M204" s="228"/>
      <c r="N204" s="228"/>
      <c r="O204" s="228"/>
      <c r="P204" s="228"/>
      <c r="Q204" s="228"/>
      <c r="R204" s="228"/>
      <c r="S204" s="228"/>
      <c r="T204" s="228"/>
      <c r="U204" s="228"/>
    </row>
    <row r="205" spans="2:21" hidden="1">
      <c r="B205"/>
      <c r="C205"/>
      <c r="D205" s="228"/>
      <c r="E205" s="228"/>
      <c r="F205" s="228"/>
      <c r="G205" s="228"/>
      <c r="H205" s="228"/>
      <c r="I205" s="228"/>
      <c r="J205" s="228"/>
      <c r="K205" s="228"/>
      <c r="L205" s="228"/>
      <c r="M205" s="228"/>
      <c r="N205" s="228"/>
      <c r="O205" s="228"/>
      <c r="P205" s="228"/>
      <c r="Q205" s="228"/>
      <c r="R205" s="228"/>
      <c r="S205" s="228"/>
      <c r="T205" s="228"/>
      <c r="U205" s="228"/>
    </row>
    <row r="206" spans="2:21" hidden="1">
      <c r="B206" s="66" t="s">
        <v>169</v>
      </c>
      <c r="C206" s="78" t="str">
        <f>DEC2HEX(D206,8)</f>
        <v>00000000</v>
      </c>
      <c r="D206" s="322">
        <f>0*2^4+0*2^3+N23*2^2+N24*2^1+0*2^0</f>
        <v>0</v>
      </c>
      <c r="E206" s="228"/>
      <c r="F206" s="228"/>
      <c r="G206" s="228"/>
      <c r="H206" s="228"/>
      <c r="I206" s="228"/>
      <c r="J206" s="228"/>
      <c r="K206" s="228"/>
      <c r="L206" s="228"/>
      <c r="M206" s="228"/>
      <c r="N206" s="228"/>
      <c r="O206" s="228"/>
      <c r="P206" s="228"/>
      <c r="Q206" s="228"/>
      <c r="R206" s="228"/>
      <c r="S206" s="228"/>
      <c r="T206" s="228"/>
      <c r="U206" s="228"/>
    </row>
    <row r="207" spans="2:21" hidden="1">
      <c r="B207" s="66" t="s">
        <v>161</v>
      </c>
      <c r="C207" s="78" t="str">
        <f>DEC2HEX(D207,8)</f>
        <v>00000014</v>
      </c>
      <c r="D207" s="322">
        <f>1*2^4+Q88</f>
        <v>20</v>
      </c>
      <c r="E207" s="228"/>
      <c r="F207" s="229"/>
      <c r="G207" s="228"/>
      <c r="H207" s="228"/>
      <c r="I207" s="228"/>
      <c r="J207" s="228"/>
      <c r="K207" s="228"/>
      <c r="L207" s="228"/>
      <c r="M207" s="228"/>
      <c r="N207" s="228"/>
      <c r="O207" s="228"/>
      <c r="P207" s="228"/>
      <c r="Q207" s="228"/>
      <c r="R207" s="228"/>
      <c r="S207" s="228"/>
      <c r="T207" s="228"/>
      <c r="U207" s="228"/>
    </row>
    <row r="208" spans="2:21" hidden="1">
      <c r="B208" s="66" t="s">
        <v>148</v>
      </c>
      <c r="C208" s="78" t="str">
        <f>DEC2HEX(D208,8)</f>
        <v>00001770</v>
      </c>
      <c r="D208" s="322">
        <f>IF(O68="Same as TX0",C95,O95)</f>
        <v>6000</v>
      </c>
      <c r="E208" s="228"/>
      <c r="F208" s="229"/>
      <c r="G208" s="228"/>
      <c r="H208" s="228"/>
      <c r="I208" s="228"/>
      <c r="J208" s="228"/>
      <c r="K208" s="228"/>
      <c r="L208" s="228"/>
      <c r="M208" s="228"/>
      <c r="N208" s="228"/>
      <c r="O208" s="228"/>
      <c r="P208" s="228"/>
      <c r="Q208" s="228"/>
      <c r="R208" s="228"/>
      <c r="S208" s="228"/>
      <c r="T208" s="228"/>
      <c r="U208" s="228"/>
    </row>
    <row r="209" spans="2:21" hidden="1">
      <c r="B209"/>
      <c r="C209"/>
      <c r="D209" s="228"/>
      <c r="E209" s="228"/>
      <c r="F209" s="229"/>
      <c r="G209" s="228"/>
      <c r="H209" s="228"/>
      <c r="I209" s="228"/>
      <c r="J209" s="228"/>
      <c r="K209" s="228"/>
      <c r="L209" s="228"/>
      <c r="M209" s="228"/>
      <c r="N209" s="228"/>
      <c r="O209" s="228"/>
      <c r="P209" s="228"/>
      <c r="Q209" s="228"/>
      <c r="R209" s="228"/>
      <c r="S209" s="228"/>
      <c r="T209" s="228"/>
      <c r="U209" s="228"/>
    </row>
    <row r="210" spans="2:21" hidden="1">
      <c r="B210" s="66" t="s">
        <v>834</v>
      </c>
      <c r="C210" s="78" t="str">
        <f ca="1">DEC2HEX(D210,8)</f>
        <v>000001DC</v>
      </c>
      <c r="D210" s="322">
        <f ca="1">ROUND((D20+E20+F20+G20/2)*O92/C20,0)</f>
        <v>476</v>
      </c>
      <c r="E210" s="228"/>
      <c r="F210" s="229"/>
      <c r="G210" s="228"/>
      <c r="H210" s="228"/>
      <c r="I210" s="228"/>
      <c r="J210" s="228"/>
      <c r="K210" s="228"/>
      <c r="L210" s="228"/>
      <c r="M210" s="228"/>
      <c r="N210" s="228"/>
      <c r="O210" s="228"/>
      <c r="P210" s="228"/>
      <c r="Q210" s="228"/>
      <c r="R210" s="228"/>
      <c r="S210" s="228"/>
      <c r="T210" s="228"/>
      <c r="U210" s="228"/>
    </row>
    <row r="211" spans="2:21" hidden="1">
      <c r="B211" s="66" t="s">
        <v>247</v>
      </c>
      <c r="C211" s="78" t="str">
        <f ca="1">DEC2HEX(D211,8)</f>
        <v>000001D0</v>
      </c>
      <c r="D211" s="322">
        <f ca="1">ROUND(((D20+E20+F20+20)*O92/C20),0)</f>
        <v>464</v>
      </c>
      <c r="E211" s="228"/>
      <c r="F211" s="229"/>
      <c r="G211" s="228"/>
      <c r="H211" s="228"/>
      <c r="I211" s="228"/>
      <c r="J211" s="228"/>
      <c r="K211" s="228"/>
      <c r="L211" s="228"/>
      <c r="M211" s="228"/>
      <c r="N211" s="228"/>
      <c r="O211" s="228"/>
      <c r="P211" s="228"/>
      <c r="Q211" s="228"/>
      <c r="R211" s="228"/>
      <c r="S211" s="228"/>
      <c r="T211" s="228"/>
      <c r="U211" s="228"/>
    </row>
    <row r="212" spans="2:21" hidden="1">
      <c r="B212" s="66" t="s">
        <v>205</v>
      </c>
      <c r="C212" s="78" t="str">
        <f>DEC2HEX(D212,8)</f>
        <v>00000081</v>
      </c>
      <c r="D212" s="322">
        <f>E212*2^15+F212*2^14+G212*2^13+H212*2^12+I212*2^11+J212*2^10+K212*2^9+L212*2^8+M212*2^7+N212*2^6+O212*2^5+P212*2^4+Q212*2^3+R212*2^2+S212*2^1+T212*2^0</f>
        <v>129</v>
      </c>
      <c r="E212" s="228">
        <v>0</v>
      </c>
      <c r="F212" s="229">
        <v>0</v>
      </c>
      <c r="G212" s="228">
        <v>0</v>
      </c>
      <c r="H212" s="228">
        <v>0</v>
      </c>
      <c r="I212" s="228">
        <v>0</v>
      </c>
      <c r="J212" s="228">
        <v>0</v>
      </c>
      <c r="K212" s="228">
        <v>0</v>
      </c>
      <c r="L212" s="228">
        <v>0</v>
      </c>
      <c r="M212" s="228">
        <f>IF(O70="LP",0,1)</f>
        <v>1</v>
      </c>
      <c r="N212" s="228">
        <v>0</v>
      </c>
      <c r="O212" s="228">
        <v>0</v>
      </c>
      <c r="P212" s="228">
        <v>0</v>
      </c>
      <c r="Q212" s="228">
        <v>0</v>
      </c>
      <c r="R212" s="228">
        <v>0</v>
      </c>
      <c r="S212" s="228">
        <v>0</v>
      </c>
      <c r="T212" s="228">
        <f>IF(D55="SyncEvent",1,0)</f>
        <v>1</v>
      </c>
      <c r="U212" s="228"/>
    </row>
    <row r="213" spans="2:21" hidden="1">
      <c r="B213" s="66" t="s">
        <v>164</v>
      </c>
      <c r="C213" s="78" t="str">
        <f>DEC2HEX(D213,8)</f>
        <v>00000000</v>
      </c>
      <c r="D213" s="322">
        <f>P72</f>
        <v>0</v>
      </c>
      <c r="E213" s="228"/>
      <c r="F213" s="228"/>
      <c r="G213" s="228"/>
      <c r="H213" s="228"/>
      <c r="I213" s="228"/>
      <c r="J213" s="228"/>
      <c r="K213" s="228"/>
      <c r="L213" s="228"/>
      <c r="M213" s="228"/>
      <c r="N213" s="228"/>
      <c r="O213" s="228"/>
      <c r="P213" s="228"/>
      <c r="Q213" s="228"/>
      <c r="R213" s="228"/>
      <c r="S213" s="228"/>
      <c r="T213" s="228"/>
      <c r="U213" s="228"/>
    </row>
    <row r="214" spans="2:21" hidden="1">
      <c r="B214" s="66" t="s">
        <v>165</v>
      </c>
      <c r="C214" s="78" t="str">
        <f>DEC2HEX(D214,8)</f>
        <v>00000000</v>
      </c>
      <c r="D214" s="322">
        <f>Q72</f>
        <v>0</v>
      </c>
      <c r="E214" s="228"/>
      <c r="F214" s="228"/>
      <c r="G214" s="228"/>
      <c r="H214" s="228"/>
      <c r="I214" s="228"/>
      <c r="J214" s="228"/>
      <c r="K214" s="228"/>
      <c r="L214" s="228"/>
      <c r="M214" s="228"/>
      <c r="N214" s="228"/>
      <c r="O214" s="228"/>
      <c r="P214" s="228"/>
      <c r="Q214" s="228"/>
      <c r="R214" s="228"/>
      <c r="S214" s="228"/>
      <c r="T214" s="228"/>
      <c r="U214" s="228"/>
    </row>
    <row r="215" spans="2:21" hidden="1">
      <c r="D215" s="228"/>
      <c r="E215" s="228"/>
      <c r="F215" s="228"/>
      <c r="G215" s="228"/>
      <c r="H215" s="228"/>
      <c r="I215" s="228"/>
      <c r="J215" s="228"/>
      <c r="K215" s="228"/>
      <c r="L215" s="228"/>
      <c r="M215" s="228"/>
      <c r="N215" s="228"/>
      <c r="O215" s="228"/>
      <c r="P215" s="228"/>
      <c r="Q215" s="228"/>
      <c r="R215" s="228"/>
      <c r="S215" s="228"/>
      <c r="T215" s="228"/>
      <c r="U215" s="228"/>
    </row>
    <row r="216" spans="2:21" hidden="1">
      <c r="B216" s="66" t="s">
        <v>141</v>
      </c>
      <c r="C216" s="78" t="str">
        <f t="shared" ref="C216:C225" si="7">DEC2HEX(D216,8)</f>
        <v>00000005</v>
      </c>
      <c r="D216" s="322">
        <f>IF(O68="Same as TX0",C97,O97)</f>
        <v>5</v>
      </c>
      <c r="E216" s="228"/>
      <c r="F216" s="228"/>
      <c r="G216" s="228"/>
      <c r="H216" s="228"/>
      <c r="I216" s="228"/>
      <c r="J216" s="228"/>
      <c r="K216" s="228"/>
      <c r="L216" s="228"/>
      <c r="M216" s="228"/>
      <c r="N216" s="228"/>
      <c r="O216" s="228"/>
      <c r="P216" s="228"/>
      <c r="Q216" s="228"/>
      <c r="R216" s="228"/>
      <c r="S216" s="228"/>
      <c r="T216" s="228"/>
      <c r="U216" s="228"/>
    </row>
    <row r="217" spans="2:21" hidden="1">
      <c r="B217" s="66" t="s">
        <v>142</v>
      </c>
      <c r="C217" s="78" t="str">
        <f t="shared" si="7"/>
        <v>00240304</v>
      </c>
      <c r="D217" s="322">
        <f>IF(O68="Same as TX0",C101*2^16+C103*2^8+C99,O101*2^16+O103*2^8+O99)</f>
        <v>2360068</v>
      </c>
      <c r="E217" s="228"/>
      <c r="F217" s="228"/>
      <c r="G217" s="228"/>
      <c r="H217" s="228"/>
      <c r="I217" s="228"/>
      <c r="J217" s="228"/>
      <c r="K217" s="228"/>
      <c r="L217" s="228"/>
      <c r="M217" s="228"/>
      <c r="N217" s="228"/>
      <c r="O217" s="228"/>
      <c r="P217" s="228"/>
      <c r="Q217" s="228"/>
      <c r="R217" s="228"/>
      <c r="S217" s="228"/>
      <c r="T217" s="228"/>
      <c r="U217" s="228"/>
    </row>
    <row r="218" spans="2:21" hidden="1">
      <c r="B218" s="66" t="s">
        <v>143</v>
      </c>
      <c r="C218" s="78" t="str">
        <f t="shared" si="7"/>
        <v>0014000A</v>
      </c>
      <c r="D218" s="322">
        <f>IF(O68="Same as TX0",C107*2^16+C105,O107*2^16+O105)</f>
        <v>1310730</v>
      </c>
      <c r="E218" s="228"/>
      <c r="F218" s="228"/>
      <c r="G218" s="228"/>
      <c r="H218" s="228"/>
      <c r="I218" s="228"/>
      <c r="J218" s="228"/>
      <c r="K218" s="228"/>
      <c r="L218" s="228"/>
      <c r="M218" s="228"/>
      <c r="N218" s="228"/>
      <c r="O218" s="228"/>
      <c r="P218" s="228"/>
      <c r="Q218" s="228"/>
      <c r="R218" s="228"/>
      <c r="S218" s="228"/>
      <c r="T218" s="228"/>
    </row>
    <row r="219" spans="2:21" hidden="1">
      <c r="B219" s="66" t="s">
        <v>144</v>
      </c>
      <c r="C219" s="78" t="str">
        <f t="shared" si="7"/>
        <v>00140006</v>
      </c>
      <c r="D219" s="322">
        <f>IF(O68="Same as TX0",C111*2^16+C109,O111*2^16+O109)</f>
        <v>1310726</v>
      </c>
      <c r="E219" s="228"/>
      <c r="F219" s="228"/>
      <c r="G219" s="228"/>
      <c r="H219" s="228"/>
      <c r="I219" s="228"/>
      <c r="J219" s="228"/>
      <c r="K219" s="228"/>
      <c r="L219" s="228"/>
      <c r="M219" s="228"/>
      <c r="N219" s="228"/>
      <c r="O219" s="228"/>
      <c r="P219" s="228"/>
      <c r="Q219" s="228"/>
      <c r="R219" s="228"/>
      <c r="S219" s="228"/>
      <c r="T219" s="228"/>
    </row>
    <row r="220" spans="2:21" hidden="1">
      <c r="B220" s="66" t="s">
        <v>145</v>
      </c>
      <c r="C220" s="78" t="str">
        <f t="shared" si="7"/>
        <v>00004E20</v>
      </c>
      <c r="D220" s="322">
        <f>IF(O68="Same as TX0",C113,O113)</f>
        <v>20000</v>
      </c>
      <c r="E220" s="228"/>
      <c r="F220" s="228"/>
      <c r="G220" s="228"/>
      <c r="H220" s="228"/>
      <c r="I220" s="228"/>
      <c r="J220" s="228"/>
      <c r="K220" s="228"/>
      <c r="L220" s="228"/>
      <c r="M220" s="228"/>
      <c r="N220" s="228"/>
      <c r="O220" s="228"/>
      <c r="P220" s="228"/>
      <c r="Q220" s="228"/>
      <c r="R220" s="228"/>
      <c r="S220" s="228"/>
      <c r="T220" s="228"/>
    </row>
    <row r="221" spans="2:21" hidden="1">
      <c r="B221" s="66" t="s">
        <v>146</v>
      </c>
      <c r="C221" s="78" t="str">
        <f t="shared" si="7"/>
        <v>0000000E</v>
      </c>
      <c r="D221" s="322">
        <f>IF(O68="Same as TX0",C115,O115)</f>
        <v>14</v>
      </c>
      <c r="E221" s="228"/>
      <c r="F221" s="228"/>
      <c r="G221" s="228"/>
      <c r="H221" s="228"/>
      <c r="I221" s="228"/>
      <c r="J221" s="228"/>
      <c r="K221" s="228"/>
      <c r="L221" s="228"/>
      <c r="M221" s="228"/>
      <c r="N221" s="228"/>
      <c r="O221" s="228"/>
      <c r="P221" s="228"/>
      <c r="Q221" s="228"/>
      <c r="R221" s="228"/>
      <c r="S221" s="228"/>
      <c r="T221" s="228"/>
    </row>
    <row r="222" spans="2:21" hidden="1">
      <c r="B222" s="66" t="s">
        <v>147</v>
      </c>
      <c r="C222" s="78" t="str">
        <f t="shared" si="7"/>
        <v>000C0008</v>
      </c>
      <c r="D222" s="322">
        <f>IF(O68="Same as TX0",C119*2^16+C117,O119*2^16+O117)</f>
        <v>786440</v>
      </c>
      <c r="E222" s="228"/>
      <c r="F222" s="228"/>
      <c r="G222" s="228"/>
      <c r="H222" s="228"/>
      <c r="I222" s="228"/>
      <c r="J222" s="228"/>
      <c r="K222" s="228"/>
      <c r="L222" s="228"/>
      <c r="M222" s="228"/>
      <c r="N222" s="228"/>
      <c r="O222" s="228"/>
      <c r="P222" s="228"/>
      <c r="Q222" s="228"/>
      <c r="R222" s="228"/>
      <c r="S222" s="228"/>
      <c r="T222" s="228"/>
    </row>
    <row r="223" spans="2:21" hidden="1">
      <c r="B223"/>
      <c r="C223"/>
      <c r="D223" s="228"/>
      <c r="E223" s="228"/>
      <c r="F223" s="228"/>
      <c r="G223" s="228"/>
      <c r="H223" s="228"/>
      <c r="I223" s="228"/>
      <c r="J223" s="228"/>
      <c r="K223" s="228"/>
      <c r="L223" s="228"/>
      <c r="M223" s="228"/>
      <c r="N223" s="228"/>
      <c r="O223" s="228"/>
      <c r="P223" s="228"/>
      <c r="Q223" s="228"/>
      <c r="R223" s="228"/>
      <c r="S223" s="228"/>
      <c r="T223" s="228"/>
    </row>
    <row r="224" spans="2:21" hidden="1">
      <c r="B224" s="66" t="s">
        <v>173</v>
      </c>
      <c r="C224" s="78" t="str">
        <f>DEC2HEX(D224,8)</f>
        <v>0000001F</v>
      </c>
      <c r="D224" s="322">
        <f>IF(L88=1,3,IF(L88=2,7,IF(L88=3,15,31)))</f>
        <v>31</v>
      </c>
      <c r="E224" s="228"/>
      <c r="F224" s="228"/>
      <c r="G224" s="228"/>
      <c r="H224" s="228"/>
      <c r="I224" s="228"/>
      <c r="J224" s="228"/>
      <c r="K224" s="228"/>
      <c r="L224" s="228"/>
      <c r="M224" s="228"/>
      <c r="N224" s="228"/>
      <c r="O224" s="228"/>
      <c r="P224" s="228"/>
      <c r="Q224" s="228"/>
      <c r="R224" s="228"/>
      <c r="S224" s="228"/>
      <c r="T224" s="228"/>
    </row>
    <row r="225" spans="2:20" hidden="1">
      <c r="B225" s="66" t="s">
        <v>166</v>
      </c>
      <c r="C225" s="78" t="str">
        <f t="shared" si="7"/>
        <v>00050004</v>
      </c>
      <c r="D225" s="322">
        <f>IF(O68="Same as TX0",C123*2^16+C121,O123*2^16+O121)</f>
        <v>327684</v>
      </c>
      <c r="E225" s="228"/>
      <c r="F225" s="228"/>
      <c r="G225" s="228"/>
      <c r="H225" s="228"/>
      <c r="I225" s="228"/>
      <c r="J225" s="228"/>
      <c r="K225" s="228"/>
      <c r="L225" s="228"/>
      <c r="M225" s="228"/>
      <c r="N225" s="228"/>
      <c r="O225" s="228"/>
      <c r="P225" s="228"/>
      <c r="Q225" s="228"/>
      <c r="R225" s="228"/>
      <c r="S225" s="228"/>
      <c r="T225" s="228"/>
    </row>
    <row r="226" spans="2:20" hidden="1">
      <c r="D226" s="228"/>
      <c r="E226" s="228"/>
      <c r="F226" s="228"/>
      <c r="G226" s="228"/>
      <c r="H226" s="228"/>
      <c r="I226" s="228"/>
      <c r="J226" s="228"/>
      <c r="K226" s="228"/>
      <c r="L226" s="228"/>
      <c r="M226" s="228"/>
      <c r="N226" s="228"/>
      <c r="O226" s="228"/>
      <c r="P226" s="228"/>
      <c r="Q226" s="228"/>
      <c r="R226" s="228"/>
      <c r="S226" s="228"/>
      <c r="T226" s="228"/>
    </row>
    <row r="227" spans="2:20" hidden="1">
      <c r="D227" s="228"/>
      <c r="E227" s="228"/>
      <c r="F227" s="228"/>
      <c r="G227" s="228"/>
      <c r="H227" s="228"/>
      <c r="I227" s="228"/>
      <c r="J227" s="228"/>
      <c r="K227" s="228"/>
      <c r="L227" s="228"/>
      <c r="M227" s="228"/>
      <c r="N227" s="228"/>
      <c r="O227" s="228"/>
      <c r="P227" s="228"/>
      <c r="Q227" s="228"/>
      <c r="R227" s="228"/>
      <c r="S227" s="228"/>
      <c r="T227" s="228"/>
    </row>
    <row r="228" spans="2:20" hidden="1">
      <c r="B228" s="66" t="s">
        <v>170</v>
      </c>
      <c r="C228" s="78" t="str">
        <f>IF(F50="Bypass","0100","0000")</f>
        <v>0000</v>
      </c>
      <c r="D228" s="228"/>
      <c r="E228" s="228"/>
      <c r="F228" s="228"/>
      <c r="G228" s="228"/>
      <c r="H228" s="228"/>
      <c r="I228" s="228"/>
      <c r="J228" s="228"/>
      <c r="K228" s="228"/>
      <c r="L228" s="228"/>
      <c r="M228" s="228"/>
      <c r="N228" s="228"/>
      <c r="O228" s="228"/>
      <c r="P228" s="228"/>
      <c r="Q228" s="228"/>
      <c r="R228" s="228"/>
      <c r="S228" s="228"/>
      <c r="T228" s="228"/>
    </row>
    <row r="229" spans="2:20" hidden="1">
      <c r="B229" s="66">
        <v>5002</v>
      </c>
      <c r="C229" s="78" t="str">
        <f>J53&amp;I53</f>
        <v/>
      </c>
      <c r="D229" s="228"/>
      <c r="E229" s="228"/>
      <c r="F229" s="228"/>
      <c r="G229" s="228"/>
      <c r="H229" s="228"/>
      <c r="I229" s="228"/>
      <c r="J229" s="228"/>
      <c r="K229" s="228"/>
      <c r="L229" s="228"/>
      <c r="M229" s="228"/>
      <c r="N229" s="228"/>
      <c r="O229" s="228"/>
      <c r="P229" s="228"/>
      <c r="Q229" s="228"/>
      <c r="R229" s="228"/>
      <c r="S229" s="228"/>
      <c r="T229" s="228"/>
    </row>
    <row r="230" spans="2:20" hidden="1">
      <c r="B230" s="66" t="s">
        <v>149</v>
      </c>
      <c r="C230" s="78" t="str">
        <f ca="1">DEC2HEX(D230,4)</f>
        <v>0654</v>
      </c>
      <c r="D230" s="322">
        <f ca="1">F57*B56/8</f>
        <v>1620</v>
      </c>
      <c r="E230" s="228"/>
      <c r="F230" s="228"/>
      <c r="G230" s="228"/>
      <c r="H230" s="228"/>
      <c r="I230" s="228"/>
      <c r="J230" s="228"/>
      <c r="K230" s="228"/>
      <c r="L230" s="228"/>
      <c r="M230" s="228"/>
      <c r="N230" s="228"/>
      <c r="O230" s="228"/>
      <c r="P230" s="228"/>
      <c r="Q230" s="228"/>
      <c r="R230" s="228"/>
      <c r="S230" s="228"/>
      <c r="T230" s="228"/>
    </row>
    <row r="231" spans="2:20" hidden="1">
      <c r="B231" s="66" t="s">
        <v>151</v>
      </c>
      <c r="C231" s="78" t="str">
        <f>DEC2HEX(D231,4)</f>
        <v>0000</v>
      </c>
      <c r="D231" s="322">
        <f>E231*2^15+F231*2^14+G231*2^13+H231*2^12+I231*2^11+J231*2^10+K231*2^9+L231*2^8+M231*2^7+N231*2^6+O231*2^5+P231*2^4+Q231*2^3+R231*2^2+S231*2^1+T231*2^0</f>
        <v>0</v>
      </c>
      <c r="E231" s="228">
        <f>IF(C52="Manual",0,1)</f>
        <v>0</v>
      </c>
      <c r="F231" s="228">
        <f>IF(D52="DSI0",0,1)</f>
        <v>0</v>
      </c>
      <c r="G231" s="228">
        <v>0</v>
      </c>
      <c r="H231" s="228">
        <v>0</v>
      </c>
      <c r="I231" s="228">
        <v>0</v>
      </c>
      <c r="J231" s="228">
        <v>0</v>
      </c>
      <c r="K231" s="228">
        <v>0</v>
      </c>
      <c r="L231" s="228">
        <v>0</v>
      </c>
      <c r="M231" s="228">
        <v>0</v>
      </c>
      <c r="N231" s="228">
        <v>0</v>
      </c>
      <c r="O231" s="228">
        <v>0</v>
      </c>
      <c r="P231" s="228">
        <v>0</v>
      </c>
      <c r="Q231" s="228">
        <v>0</v>
      </c>
      <c r="R231" s="228">
        <v>0</v>
      </c>
      <c r="S231" s="228">
        <v>0</v>
      </c>
      <c r="T231" s="228">
        <f>E52-1</f>
        <v>0</v>
      </c>
    </row>
    <row r="232" spans="2:20" hidden="1">
      <c r="B232" s="66" t="s">
        <v>180</v>
      </c>
      <c r="C232" s="78" t="str">
        <f>DEC2HEX(D232,4)</f>
        <v>04FF</v>
      </c>
      <c r="D232" s="322">
        <f>E55-1</f>
        <v>1279</v>
      </c>
      <c r="E232" s="228"/>
      <c r="F232" s="228"/>
      <c r="G232" s="228"/>
      <c r="H232" s="228"/>
      <c r="I232" s="228"/>
      <c r="J232" s="228"/>
      <c r="K232" s="228"/>
      <c r="L232" s="228"/>
      <c r="M232" s="228"/>
      <c r="N232" s="228"/>
      <c r="O232" s="228"/>
      <c r="P232" s="228"/>
      <c r="Q232" s="228"/>
      <c r="R232" s="228"/>
      <c r="S232" s="228"/>
      <c r="T232" s="228"/>
    </row>
    <row r="233" spans="2:20" hidden="1">
      <c r="B233" s="185"/>
      <c r="C233" s="186"/>
      <c r="D233" s="228"/>
      <c r="E233" s="228"/>
      <c r="F233" s="228"/>
      <c r="G233" s="228"/>
      <c r="H233" s="228"/>
      <c r="I233" s="228"/>
      <c r="J233" s="228"/>
      <c r="K233" s="228"/>
      <c r="L233" s="228"/>
      <c r="M233" s="228"/>
      <c r="N233" s="228"/>
      <c r="O233" s="228"/>
      <c r="P233" s="228"/>
      <c r="Q233" s="228"/>
      <c r="R233" s="228"/>
      <c r="S233" s="228"/>
      <c r="T233" s="228"/>
    </row>
    <row r="234" spans="2:20" hidden="1">
      <c r="D234" s="228"/>
      <c r="E234" s="228"/>
      <c r="F234" s="228"/>
      <c r="G234" s="228"/>
      <c r="H234" s="228"/>
      <c r="I234" s="228"/>
      <c r="J234" s="228"/>
      <c r="K234" s="228"/>
      <c r="L234" s="228"/>
      <c r="M234" s="228"/>
      <c r="N234" s="228"/>
      <c r="O234" s="228"/>
      <c r="P234" s="228"/>
      <c r="Q234" s="228"/>
      <c r="R234" s="228"/>
      <c r="S234" s="228"/>
      <c r="T234" s="228"/>
    </row>
    <row r="235" spans="2:20" hidden="1">
      <c r="B235" s="66" t="s">
        <v>184</v>
      </c>
      <c r="C235" s="78" t="str">
        <f>IF(H50="Bypass","0100","0000")</f>
        <v>0000</v>
      </c>
      <c r="D235" s="228"/>
      <c r="E235" s="228"/>
      <c r="F235" s="228"/>
      <c r="G235" s="228"/>
      <c r="H235" s="228"/>
      <c r="I235" s="228"/>
      <c r="J235" s="228"/>
      <c r="K235" s="228"/>
      <c r="L235" s="228"/>
      <c r="M235" s="228"/>
      <c r="N235" s="228"/>
      <c r="O235" s="228"/>
      <c r="P235" s="228"/>
      <c r="Q235" s="228"/>
      <c r="R235" s="228"/>
      <c r="S235" s="228"/>
      <c r="T235" s="228"/>
    </row>
    <row r="236" spans="2:20" hidden="1">
      <c r="B236" s="66">
        <v>5082</v>
      </c>
      <c r="C236" s="78" t="str">
        <f>J53&amp;I53</f>
        <v/>
      </c>
      <c r="D236" s="228"/>
      <c r="E236" s="228"/>
      <c r="F236" s="228"/>
      <c r="G236" s="228"/>
      <c r="H236" s="228"/>
      <c r="I236" s="228"/>
      <c r="J236" s="228"/>
      <c r="K236" s="228"/>
      <c r="L236" s="228"/>
      <c r="M236" s="228"/>
      <c r="N236" s="228"/>
      <c r="O236" s="228"/>
      <c r="P236" s="228"/>
      <c r="Q236" s="228"/>
      <c r="R236" s="228"/>
      <c r="S236" s="228"/>
      <c r="T236" s="228"/>
    </row>
    <row r="237" spans="2:20" hidden="1">
      <c r="B237" s="66" t="s">
        <v>150</v>
      </c>
      <c r="C237" s="78" t="str">
        <f ca="1">DEC2HEX(D237,4)</f>
        <v>0654</v>
      </c>
      <c r="D237" s="322">
        <f ca="1">H57*B56/8</f>
        <v>1620</v>
      </c>
      <c r="E237" s="228"/>
      <c r="F237" s="228"/>
      <c r="G237" s="228"/>
      <c r="H237" s="228"/>
      <c r="I237" s="228"/>
      <c r="J237" s="228"/>
      <c r="K237" s="228"/>
      <c r="L237" s="228"/>
      <c r="M237" s="228"/>
      <c r="N237" s="228"/>
      <c r="O237" s="228"/>
      <c r="P237" s="228"/>
      <c r="Q237" s="228"/>
      <c r="R237" s="228"/>
      <c r="S237" s="228"/>
      <c r="T237" s="228"/>
    </row>
    <row r="238" spans="2:20" hidden="1">
      <c r="B238" s="66" t="s">
        <v>152</v>
      </c>
      <c r="C238" s="78" t="str">
        <f>DEC2HEX(D238,4)</f>
        <v>0500</v>
      </c>
      <c r="D238" s="322">
        <f>G52-1</f>
        <v>1280</v>
      </c>
      <c r="E238" s="228"/>
      <c r="F238" s="228"/>
      <c r="G238" s="228"/>
      <c r="H238" s="228"/>
      <c r="I238" s="228"/>
      <c r="J238" s="228"/>
      <c r="K238" s="228"/>
      <c r="L238" s="228"/>
      <c r="M238" s="228"/>
      <c r="N238" s="228"/>
      <c r="O238" s="228"/>
      <c r="P238" s="228"/>
      <c r="Q238" s="228"/>
      <c r="R238" s="228"/>
      <c r="S238" s="228"/>
      <c r="T238" s="228"/>
    </row>
    <row r="239" spans="2:20" hidden="1">
      <c r="B239" s="66" t="s">
        <v>185</v>
      </c>
      <c r="C239" s="78" t="str">
        <f>DEC2HEX(D239,4)</f>
        <v>09FF</v>
      </c>
      <c r="D239" s="322">
        <f>G55-1</f>
        <v>2559</v>
      </c>
      <c r="E239" s="228"/>
      <c r="F239" s="228"/>
      <c r="G239" s="228"/>
      <c r="H239" s="228"/>
      <c r="I239" s="228"/>
      <c r="J239" s="228"/>
      <c r="K239" s="228"/>
      <c r="L239" s="228"/>
      <c r="M239" s="228"/>
      <c r="N239" s="228"/>
      <c r="O239" s="228"/>
      <c r="P239" s="228"/>
      <c r="Q239" s="228"/>
      <c r="R239" s="228"/>
      <c r="S239" s="228"/>
      <c r="T239" s="228"/>
    </row>
    <row r="240" spans="2:20" hidden="1">
      <c r="D240" s="228"/>
      <c r="E240" s="228"/>
      <c r="F240" s="228"/>
      <c r="G240" s="228"/>
      <c r="H240" s="228"/>
      <c r="I240" s="228"/>
      <c r="J240" s="228"/>
      <c r="K240" s="228"/>
      <c r="L240" s="228"/>
      <c r="M240" s="228"/>
      <c r="N240" s="228"/>
      <c r="O240" s="228"/>
      <c r="P240" s="228"/>
      <c r="Q240" s="228"/>
      <c r="R240" s="228"/>
      <c r="S240" s="228"/>
      <c r="T240" s="228"/>
    </row>
    <row r="241" spans="2:177" hidden="1">
      <c r="D241" s="228"/>
      <c r="E241" s="228"/>
      <c r="F241" s="228"/>
      <c r="G241" s="228"/>
      <c r="H241" s="228"/>
      <c r="I241" s="228"/>
      <c r="J241" s="228"/>
      <c r="K241" s="228"/>
      <c r="L241" s="228"/>
      <c r="M241" s="228"/>
      <c r="N241" s="228"/>
      <c r="O241" s="228"/>
      <c r="P241" s="228"/>
      <c r="Q241" s="228"/>
      <c r="R241" s="228"/>
      <c r="S241" s="228"/>
      <c r="T241" s="228"/>
    </row>
    <row r="242" spans="2:177" hidden="1">
      <c r="B242" s="66" t="s">
        <v>176</v>
      </c>
      <c r="C242" s="78" t="str">
        <f>IF(B63=0,"02",IF(B63&lt;4,"01","00"))</f>
        <v>02</v>
      </c>
      <c r="D242" s="228"/>
      <c r="E242" s="228"/>
      <c r="F242" s="228"/>
      <c r="G242" s="228"/>
      <c r="H242" s="228"/>
      <c r="I242" s="228"/>
      <c r="J242" s="228"/>
      <c r="K242" s="228"/>
      <c r="L242" s="228"/>
      <c r="M242" s="228"/>
      <c r="N242" s="228"/>
      <c r="O242" s="228"/>
      <c r="P242" s="228"/>
      <c r="Q242" s="228"/>
      <c r="R242" s="228"/>
      <c r="S242" s="228"/>
      <c r="T242" s="228"/>
    </row>
    <row r="243" spans="2:177" hidden="1">
      <c r="B243" s="66" t="s">
        <v>178</v>
      </c>
      <c r="C243" s="195" t="s">
        <v>179</v>
      </c>
      <c r="D243" s="228"/>
      <c r="E243" s="228"/>
      <c r="F243" s="228"/>
      <c r="G243" s="228"/>
      <c r="H243" s="228"/>
      <c r="I243" s="228"/>
      <c r="J243" s="228"/>
      <c r="K243" s="228"/>
      <c r="L243" s="228"/>
      <c r="M243" s="228"/>
      <c r="N243" s="228"/>
      <c r="O243" s="228"/>
      <c r="P243" s="228"/>
      <c r="Q243" s="228"/>
      <c r="R243" s="228"/>
      <c r="S243" s="228"/>
      <c r="T243" s="228"/>
    </row>
    <row r="244" spans="2:177" hidden="1">
      <c r="B244"/>
      <c r="C244"/>
      <c r="D244" s="228"/>
      <c r="E244" s="228"/>
      <c r="F244" s="228"/>
      <c r="G244" s="228"/>
      <c r="H244" s="228"/>
      <c r="I244" s="228"/>
      <c r="J244" s="228"/>
      <c r="K244" s="228"/>
      <c r="L244" s="228"/>
      <c r="M244" s="228"/>
      <c r="N244" s="228"/>
      <c r="O244" s="228"/>
      <c r="P244" s="228"/>
      <c r="Q244" s="228"/>
      <c r="R244" s="228"/>
      <c r="S244" s="228"/>
      <c r="T244" s="228"/>
    </row>
    <row r="245" spans="2:177" hidden="1">
      <c r="B245" s="66" t="s">
        <v>177</v>
      </c>
      <c r="C245" s="78" t="str">
        <f>IF(B63=1,"31",IF(B63=3,"31","11"))</f>
        <v>11</v>
      </c>
      <c r="D245" s="228"/>
      <c r="E245" s="228"/>
      <c r="F245" s="228"/>
      <c r="G245" s="228"/>
      <c r="H245" s="228"/>
      <c r="I245" s="228"/>
      <c r="J245" s="228"/>
      <c r="K245" s="228"/>
      <c r="L245" s="228"/>
      <c r="M245" s="228"/>
      <c r="N245" s="228"/>
      <c r="O245" s="228"/>
      <c r="P245" s="228"/>
      <c r="Q245" s="228"/>
      <c r="R245" s="228"/>
      <c r="S245" s="228"/>
      <c r="T245" s="228"/>
    </row>
    <row r="246" spans="2:177" hidden="1">
      <c r="D246" s="228"/>
      <c r="E246" s="228"/>
      <c r="F246" s="228"/>
      <c r="G246" s="228"/>
      <c r="H246" s="228"/>
      <c r="I246" s="228"/>
      <c r="J246" s="228"/>
      <c r="K246" s="228"/>
      <c r="L246" s="228"/>
      <c r="M246" s="228"/>
      <c r="N246" s="228"/>
      <c r="O246" s="228"/>
      <c r="P246" s="228"/>
      <c r="Q246" s="228"/>
      <c r="R246" s="228"/>
      <c r="S246" s="228"/>
      <c r="T246" s="228"/>
    </row>
    <row r="247" spans="2:177" hidden="1">
      <c r="D247" s="228"/>
      <c r="E247" s="228"/>
      <c r="F247" s="228"/>
      <c r="G247" s="228"/>
      <c r="H247" s="228"/>
      <c r="I247" s="228"/>
      <c r="J247" s="228"/>
      <c r="K247" s="228"/>
      <c r="L247" s="228"/>
      <c r="M247" s="228"/>
      <c r="N247" s="228"/>
      <c r="O247" s="228"/>
      <c r="P247" s="228"/>
      <c r="Q247" s="228"/>
      <c r="R247" s="228"/>
      <c r="S247" s="228"/>
      <c r="T247" s="228"/>
    </row>
    <row r="248" spans="2:177" hidden="1">
      <c r="B248" s="66" t="s">
        <v>202</v>
      </c>
      <c r="C248" s="78" t="str">
        <f>DEC2HEX(D248,4)</f>
        <v>0000</v>
      </c>
      <c r="D248" s="353" t="s">
        <v>833</v>
      </c>
      <c r="E248" s="228"/>
      <c r="F248" s="228"/>
      <c r="G248" s="228"/>
      <c r="H248" s="228"/>
      <c r="I248" s="228"/>
      <c r="J248" s="228"/>
      <c r="K248" s="228"/>
      <c r="L248" s="228"/>
      <c r="M248" s="228"/>
      <c r="N248" s="228"/>
      <c r="O248" s="228"/>
      <c r="P248" s="228"/>
      <c r="Q248" s="228"/>
      <c r="R248" s="228"/>
      <c r="S248" s="228"/>
      <c r="T248" s="228"/>
    </row>
    <row r="249" spans="2:177" hidden="1">
      <c r="B249" s="66" t="s">
        <v>194</v>
      </c>
      <c r="C249" s="78" t="str">
        <f>DEC2HEX(D20,4)</f>
        <v>0005</v>
      </c>
      <c r="D249" s="228"/>
      <c r="E249" s="228"/>
      <c r="F249" s="228"/>
      <c r="G249" s="228"/>
      <c r="H249" s="228"/>
      <c r="I249" s="228"/>
      <c r="J249" s="228"/>
      <c r="K249" s="228"/>
      <c r="L249" s="228"/>
      <c r="M249" s="228"/>
      <c r="N249" s="228"/>
      <c r="O249" s="228"/>
      <c r="P249" s="228"/>
      <c r="Q249" s="228"/>
      <c r="R249" s="228"/>
      <c r="S249" s="228"/>
      <c r="T249" s="228"/>
    </row>
    <row r="250" spans="2:177" hidden="1">
      <c r="B250" s="66" t="s">
        <v>195</v>
      </c>
      <c r="C250" s="78" t="str">
        <f>DEC2HEX(H20,4)</f>
        <v>0003</v>
      </c>
      <c r="D250" s="228"/>
      <c r="E250" s="228"/>
      <c r="F250" s="228"/>
      <c r="G250" s="228"/>
      <c r="H250" s="228"/>
      <c r="I250" s="228"/>
      <c r="J250" s="228"/>
      <c r="K250" s="228"/>
      <c r="L250" s="228"/>
      <c r="M250" s="228"/>
      <c r="N250" s="228"/>
      <c r="O250" s="228"/>
      <c r="P250" s="228"/>
      <c r="Q250" s="228"/>
      <c r="R250" s="228"/>
      <c r="S250" s="228"/>
      <c r="T250" s="228"/>
      <c r="FG250"/>
      <c r="FH250"/>
      <c r="FI250"/>
      <c r="FJ250"/>
      <c r="FK250"/>
      <c r="FL250"/>
      <c r="FM250"/>
      <c r="FN250"/>
      <c r="FO250"/>
      <c r="FP250"/>
      <c r="FQ250"/>
      <c r="FR250"/>
      <c r="FS250"/>
      <c r="FT250"/>
      <c r="FU250"/>
    </row>
    <row r="251" spans="2:177" hidden="1">
      <c r="B251" s="66" t="s">
        <v>196</v>
      </c>
      <c r="C251" s="78" t="str">
        <f ca="1">DEC2HEX(D251,4)</f>
        <v>04FB</v>
      </c>
      <c r="D251" s="322">
        <f ca="1">D20+E20+F20+G20</f>
        <v>1275</v>
      </c>
      <c r="E251" s="228"/>
      <c r="F251" s="228"/>
      <c r="G251" s="228"/>
      <c r="H251" s="228"/>
      <c r="I251" s="228"/>
      <c r="J251" s="228"/>
      <c r="K251" s="228"/>
      <c r="L251" s="228"/>
      <c r="M251" s="228"/>
      <c r="N251" s="228"/>
      <c r="O251" s="228"/>
      <c r="P251" s="228"/>
      <c r="Q251" s="228"/>
      <c r="R251" s="228"/>
      <c r="S251" s="228"/>
      <c r="T251" s="228"/>
      <c r="FG251"/>
      <c r="FH251"/>
      <c r="FI251"/>
      <c r="FJ251"/>
      <c r="FK251"/>
      <c r="FL251"/>
      <c r="FM251"/>
      <c r="FN251"/>
      <c r="FO251"/>
      <c r="FP251"/>
      <c r="FQ251"/>
      <c r="FR251"/>
      <c r="FS251"/>
      <c r="FT251"/>
      <c r="FU251"/>
    </row>
    <row r="252" spans="2:177" hidden="1">
      <c r="B252" s="66" t="s">
        <v>197</v>
      </c>
      <c r="C252" s="78" t="str">
        <f ca="1">DEC2HEX(D252,4)</f>
        <v>04BC</v>
      </c>
      <c r="D252" s="322">
        <f ca="1">H20+I20+J20+K20</f>
        <v>1212</v>
      </c>
      <c r="E252" s="228"/>
      <c r="F252" s="228"/>
      <c r="G252" s="228"/>
      <c r="H252" s="228"/>
      <c r="I252" s="228"/>
      <c r="J252" s="228"/>
      <c r="K252" s="228"/>
      <c r="L252" s="228"/>
      <c r="M252" s="228"/>
      <c r="N252" s="228"/>
      <c r="O252" s="228"/>
      <c r="P252" s="228"/>
      <c r="Q252" s="228"/>
      <c r="R252" s="228"/>
      <c r="S252" s="228"/>
      <c r="T252" s="228"/>
      <c r="FG252"/>
      <c r="FH252"/>
      <c r="FI252"/>
      <c r="FJ252"/>
      <c r="FK252"/>
      <c r="FL252"/>
      <c r="FM252"/>
      <c r="FN252"/>
      <c r="FO252"/>
      <c r="FP252"/>
      <c r="FQ252"/>
      <c r="FR252"/>
      <c r="FS252"/>
      <c r="FT252"/>
      <c r="FU252"/>
    </row>
    <row r="253" spans="2:177" hidden="1">
      <c r="B253" s="66" t="s">
        <v>198</v>
      </c>
      <c r="C253" s="78" t="str">
        <f ca="1">DEC2HEX(F20,4)</f>
        <v>0438</v>
      </c>
      <c r="D253" s="228"/>
      <c r="E253" s="228"/>
      <c r="F253" s="228"/>
      <c r="G253" s="228"/>
      <c r="H253" s="228"/>
      <c r="I253" s="228"/>
      <c r="J253" s="228"/>
      <c r="K253" s="228"/>
      <c r="L253" s="228"/>
      <c r="M253" s="228"/>
      <c r="N253" s="228"/>
      <c r="O253" s="228"/>
      <c r="P253" s="228"/>
      <c r="Q253" s="228"/>
      <c r="R253" s="228"/>
      <c r="S253" s="228"/>
      <c r="T253" s="228"/>
      <c r="FG253"/>
      <c r="FH253"/>
      <c r="FI253"/>
      <c r="FJ253"/>
      <c r="FK253"/>
      <c r="FL253"/>
      <c r="FM253"/>
      <c r="FN253"/>
      <c r="FO253"/>
      <c r="FP253"/>
      <c r="FQ253"/>
      <c r="FR253"/>
      <c r="FS253"/>
      <c r="FT253"/>
      <c r="FU253"/>
    </row>
    <row r="254" spans="2:177" hidden="1">
      <c r="B254" s="66" t="s">
        <v>199</v>
      </c>
      <c r="C254" s="78" t="str">
        <f ca="1">DEC2HEX(J20,4)</f>
        <v>04B0</v>
      </c>
      <c r="D254" s="228"/>
      <c r="E254" s="228"/>
      <c r="F254" s="228"/>
      <c r="G254" s="228"/>
      <c r="H254" s="228"/>
      <c r="I254" s="228"/>
      <c r="J254" s="228"/>
      <c r="K254" s="228"/>
      <c r="L254" s="228"/>
      <c r="M254" s="228"/>
      <c r="N254" s="228"/>
      <c r="O254" s="228"/>
      <c r="P254" s="228"/>
      <c r="Q254" s="228"/>
      <c r="R254" s="228"/>
      <c r="S254" s="228"/>
      <c r="T254" s="228"/>
      <c r="FG254"/>
      <c r="FH254"/>
      <c r="FI254"/>
      <c r="FJ254"/>
      <c r="FK254"/>
      <c r="FL254"/>
      <c r="FM254"/>
      <c r="FN254"/>
      <c r="FO254"/>
      <c r="FP254"/>
      <c r="FQ254"/>
      <c r="FR254"/>
      <c r="FS254"/>
      <c r="FT254"/>
      <c r="FU254"/>
    </row>
    <row r="255" spans="2:177" hidden="1">
      <c r="B255" s="66" t="s">
        <v>200</v>
      </c>
      <c r="C255" s="78" t="str">
        <f>DEC2HEX(D255,4)</f>
        <v>005F</v>
      </c>
      <c r="D255" s="322">
        <f>D20+E20</f>
        <v>95</v>
      </c>
      <c r="E255" s="228"/>
      <c r="F255" s="228"/>
      <c r="G255" s="228"/>
      <c r="H255" s="228"/>
      <c r="I255" s="228"/>
      <c r="J255" s="228"/>
      <c r="K255" s="228"/>
      <c r="L255" s="228"/>
      <c r="M255" s="228"/>
      <c r="N255" s="228"/>
      <c r="O255" s="228"/>
      <c r="P255" s="228"/>
      <c r="Q255" s="228"/>
      <c r="R255" s="228"/>
      <c r="S255" s="228"/>
      <c r="T255" s="228"/>
      <c r="FG255"/>
      <c r="FH255"/>
      <c r="FI255"/>
      <c r="FJ255"/>
      <c r="FK255"/>
      <c r="FL255"/>
      <c r="FM255"/>
      <c r="FN255"/>
      <c r="FO255"/>
      <c r="FP255"/>
      <c r="FQ255"/>
      <c r="FR255"/>
      <c r="FS255"/>
      <c r="FT255"/>
      <c r="FU255"/>
    </row>
    <row r="256" spans="2:177" hidden="1">
      <c r="B256" s="66" t="s">
        <v>201</v>
      </c>
      <c r="C256" s="78" t="str">
        <f>DEC2HEX(D256,4)</f>
        <v>0006</v>
      </c>
      <c r="D256" s="322">
        <f>H20+I20</f>
        <v>6</v>
      </c>
      <c r="E256" s="228"/>
      <c r="F256" s="228"/>
      <c r="G256" s="228"/>
      <c r="H256" s="228"/>
      <c r="I256" s="228"/>
      <c r="J256" s="228"/>
      <c r="K256" s="228"/>
      <c r="L256" s="228"/>
      <c r="M256" s="228"/>
      <c r="N256" s="228"/>
      <c r="O256" s="228"/>
      <c r="P256" s="228"/>
      <c r="Q256" s="228"/>
      <c r="R256" s="228"/>
      <c r="S256" s="228"/>
      <c r="T256" s="228"/>
    </row>
    <row r="257" spans="2:186" hidden="1">
      <c r="B257" s="185"/>
      <c r="C257" s="186"/>
      <c r="D257" s="228"/>
      <c r="E257" s="228"/>
      <c r="F257" s="228"/>
      <c r="G257" s="228"/>
      <c r="H257" s="228"/>
      <c r="I257" s="228"/>
      <c r="J257" s="228"/>
      <c r="K257" s="228"/>
      <c r="L257" s="228"/>
      <c r="M257" s="228"/>
      <c r="N257" s="228"/>
      <c r="O257" s="228"/>
      <c r="P257" s="228"/>
      <c r="Q257" s="228"/>
      <c r="R257" s="228"/>
      <c r="S257" s="228"/>
      <c r="T257" s="228"/>
    </row>
    <row r="258" spans="2:186" hidden="1">
      <c r="D258" s="228"/>
      <c r="E258" s="228"/>
      <c r="F258" s="228"/>
      <c r="G258" s="228"/>
      <c r="H258" s="228"/>
      <c r="I258" s="228"/>
      <c r="J258" s="228"/>
      <c r="K258" s="228"/>
      <c r="L258" s="228"/>
      <c r="M258" s="228"/>
      <c r="N258" s="228"/>
      <c r="O258" s="228"/>
      <c r="P258" s="228"/>
      <c r="Q258" s="228"/>
      <c r="R258" s="228"/>
      <c r="S258" s="228"/>
      <c r="T258" s="228"/>
      <c r="BA258" s="313" t="s">
        <v>669</v>
      </c>
      <c r="BB258" s="35">
        <v>24</v>
      </c>
      <c r="BC258" s="276">
        <f>IF($C$37&lt;&gt;24,0,MATCH($C$24,BB266:BU266,0)-1)</f>
        <v>0</v>
      </c>
      <c r="CC258"/>
      <c r="CD258"/>
      <c r="CE258"/>
      <c r="CF258"/>
      <c r="CG258"/>
      <c r="CH258"/>
      <c r="CI258"/>
      <c r="CJ258"/>
      <c r="CK258" s="313" t="s">
        <v>669</v>
      </c>
      <c r="CL258" s="35">
        <v>25</v>
      </c>
      <c r="CM258" s="315">
        <f>IF($C$37&lt;&gt;25,0,MATCH($C$24,CL266:DE266,0)-1)</f>
        <v>0</v>
      </c>
      <c r="DU258" s="313" t="s">
        <v>669</v>
      </c>
      <c r="DV258" s="35">
        <v>27</v>
      </c>
      <c r="DW258" s="315">
        <f ca="1">IF($C$37&lt;&gt;27,0,MATCH($C$24,DV266:EO266,0)-1)</f>
        <v>6</v>
      </c>
      <c r="FE258" s="313" t="s">
        <v>669</v>
      </c>
      <c r="FF258" s="35">
        <v>26</v>
      </c>
      <c r="FG258" s="315">
        <f>IF($C$37&lt;&gt;26,0,MATCH($C$24,FF266:FY266,0)-1)</f>
        <v>0</v>
      </c>
      <c r="FK258" s="398"/>
      <c r="FM258" s="398"/>
      <c r="FO258"/>
      <c r="FP258" s="398"/>
      <c r="FS258"/>
      <c r="FT258"/>
      <c r="FU258" s="398"/>
      <c r="FV258"/>
      <c r="FW258"/>
      <c r="FX258"/>
    </row>
    <row r="259" spans="2:186" ht="15" hidden="1">
      <c r="D259" s="228"/>
      <c r="E259" s="228"/>
      <c r="F259" s="228"/>
      <c r="G259" s="228"/>
      <c r="H259" s="228"/>
      <c r="I259" s="228"/>
      <c r="J259" s="228"/>
      <c r="K259" s="228"/>
      <c r="L259" s="228"/>
      <c r="M259" s="228"/>
      <c r="N259" s="228"/>
      <c r="O259" s="228"/>
      <c r="P259" s="228"/>
      <c r="Q259" s="228"/>
      <c r="R259" s="228"/>
      <c r="S259" s="228"/>
      <c r="T259" s="228"/>
      <c r="BA259" s="327" t="s">
        <v>670</v>
      </c>
      <c r="BB259" s="329" t="s">
        <v>671</v>
      </c>
      <c r="BC259" s="323">
        <v>31</v>
      </c>
      <c r="BD259" s="323">
        <v>72</v>
      </c>
      <c r="BE259" s="323">
        <v>83.5</v>
      </c>
      <c r="BF259" s="323">
        <v>138.5</v>
      </c>
      <c r="BG259" s="323">
        <v>148.5</v>
      </c>
      <c r="BH259" s="323">
        <v>154</v>
      </c>
      <c r="BI259" s="323">
        <v>193.16</v>
      </c>
      <c r="BJ259" s="323">
        <v>209.25</v>
      </c>
      <c r="BK259" s="323">
        <v>241.5</v>
      </c>
      <c r="BL259" s="323">
        <v>260</v>
      </c>
      <c r="BM259" s="323">
        <v>268.5</v>
      </c>
      <c r="BN259" s="323">
        <v>315</v>
      </c>
      <c r="BO259" s="323">
        <v>365</v>
      </c>
      <c r="BP259" s="323">
        <v>405</v>
      </c>
      <c r="BQ259" s="323">
        <v>497.75</v>
      </c>
      <c r="BR259" s="323">
        <v>522</v>
      </c>
      <c r="BS259" s="323">
        <v>527.4</v>
      </c>
      <c r="BT259" s="323">
        <v>556.18799999999999</v>
      </c>
      <c r="BU259" s="323">
        <v>594</v>
      </c>
      <c r="CC259"/>
      <c r="CD259"/>
      <c r="CE259"/>
      <c r="CF259"/>
      <c r="CG259"/>
      <c r="CH259"/>
      <c r="CI259"/>
      <c r="CJ259"/>
      <c r="CK259" s="327" t="s">
        <v>670</v>
      </c>
      <c r="CL259" s="329" t="s">
        <v>671</v>
      </c>
      <c r="CM259" s="323">
        <v>31</v>
      </c>
      <c r="CN259" s="323">
        <v>72</v>
      </c>
      <c r="CO259" s="323">
        <v>83.5</v>
      </c>
      <c r="CP259" s="323">
        <v>138.5</v>
      </c>
      <c r="CQ259" s="323">
        <v>148.5</v>
      </c>
      <c r="CR259" s="323">
        <v>154</v>
      </c>
      <c r="CS259" s="323">
        <v>193.16</v>
      </c>
      <c r="CT259" s="323">
        <v>209.25</v>
      </c>
      <c r="CU259" s="323">
        <v>241.5</v>
      </c>
      <c r="CV259" s="323">
        <v>260</v>
      </c>
      <c r="CW259" s="323">
        <v>268.5</v>
      </c>
      <c r="CX259" s="323">
        <v>315</v>
      </c>
      <c r="CY259" s="323">
        <v>365</v>
      </c>
      <c r="CZ259" s="323">
        <v>405</v>
      </c>
      <c r="DA259" s="323">
        <v>497.75</v>
      </c>
      <c r="DB259" s="323">
        <v>522</v>
      </c>
      <c r="DC259" s="323">
        <v>527.4</v>
      </c>
      <c r="DD259" s="323">
        <v>556.18799999999999</v>
      </c>
      <c r="DE259" s="323">
        <v>594</v>
      </c>
      <c r="DU259" s="327" t="s">
        <v>670</v>
      </c>
      <c r="DV259" s="329" t="s">
        <v>671</v>
      </c>
      <c r="DW259" s="323">
        <v>31</v>
      </c>
      <c r="DX259" s="323">
        <v>72</v>
      </c>
      <c r="DY259" s="323">
        <v>83.5</v>
      </c>
      <c r="DZ259" s="323">
        <v>138.5</v>
      </c>
      <c r="EA259" s="323">
        <v>148.5</v>
      </c>
      <c r="EB259" s="323">
        <v>154</v>
      </c>
      <c r="EC259" s="323">
        <v>193.16</v>
      </c>
      <c r="ED259" s="323">
        <v>209.25</v>
      </c>
      <c r="EE259" s="323">
        <v>241.5</v>
      </c>
      <c r="EF259" s="323">
        <v>260</v>
      </c>
      <c r="EG259" s="323">
        <v>268.5</v>
      </c>
      <c r="EH259" s="323">
        <v>315</v>
      </c>
      <c r="EI259" s="323">
        <v>365</v>
      </c>
      <c r="EJ259" s="323">
        <v>405</v>
      </c>
      <c r="EK259" s="323">
        <v>497.75</v>
      </c>
      <c r="EL259" s="323">
        <v>522</v>
      </c>
      <c r="EM259" s="323">
        <v>527.4</v>
      </c>
      <c r="EN259" s="323">
        <v>556.18799999999999</v>
      </c>
      <c r="EO259" s="323">
        <v>594</v>
      </c>
      <c r="FE259" s="327" t="s">
        <v>670</v>
      </c>
      <c r="FF259" s="329" t="s">
        <v>671</v>
      </c>
      <c r="FG259" s="323">
        <v>31</v>
      </c>
      <c r="FH259" s="323">
        <v>72</v>
      </c>
      <c r="FI259" s="323">
        <v>83.5</v>
      </c>
      <c r="FJ259" s="323">
        <v>138.5</v>
      </c>
      <c r="FK259" s="323">
        <v>148.5</v>
      </c>
      <c r="FL259" s="323">
        <v>154</v>
      </c>
      <c r="FM259" s="323">
        <v>193.16</v>
      </c>
      <c r="FN259" s="323">
        <v>209.25</v>
      </c>
      <c r="FO259" s="323">
        <v>241.5</v>
      </c>
      <c r="FP259" s="323">
        <v>260</v>
      </c>
      <c r="FQ259" s="323">
        <v>268.5</v>
      </c>
      <c r="FR259" s="323">
        <v>315</v>
      </c>
      <c r="FS259" s="323">
        <v>365</v>
      </c>
      <c r="FT259" s="323">
        <v>405</v>
      </c>
      <c r="FU259" s="323">
        <v>497.75</v>
      </c>
      <c r="FV259" s="323">
        <v>522</v>
      </c>
      <c r="FW259" s="323">
        <v>527.4</v>
      </c>
      <c r="FX259" s="323">
        <v>556.18799999999999</v>
      </c>
      <c r="FY259" s="323">
        <v>594</v>
      </c>
    </row>
    <row r="260" spans="2:186" hidden="1">
      <c r="B260" s="66" t="s">
        <v>658</v>
      </c>
      <c r="C260" s="78" t="str">
        <f ca="1">DEC2HEX(D260,2)</f>
        <v>0A</v>
      </c>
      <c r="D260" s="322">
        <f t="shared" ref="D260:D265" ca="1" si="8">IF($C$37=24,OFFSET(BB260,0,$BC$258),IF($C$37=25,OFFSET(CL260,0,$CM$258),IF($C$37=27,OFFSET(DV260,0,$DW$258),OFFSET(FF260,0,$FG$258))))</f>
        <v>10</v>
      </c>
      <c r="E260" s="228"/>
      <c r="F260" s="228"/>
      <c r="G260" s="228"/>
      <c r="H260" s="228"/>
      <c r="I260" s="228"/>
      <c r="J260" s="228"/>
      <c r="K260" s="228"/>
      <c r="L260" s="228"/>
      <c r="M260" s="228"/>
      <c r="N260" s="228"/>
      <c r="O260" s="228"/>
      <c r="P260" s="228"/>
      <c r="Q260" s="228"/>
      <c r="R260" s="228"/>
      <c r="S260" s="228"/>
      <c r="T260" s="228"/>
      <c r="BA260" s="313" t="s">
        <v>663</v>
      </c>
      <c r="BB260" s="35">
        <v>0</v>
      </c>
      <c r="BC260" s="35">
        <v>58</v>
      </c>
      <c r="BD260" s="35">
        <v>50</v>
      </c>
      <c r="BE260" s="35">
        <v>50</v>
      </c>
      <c r="BF260" s="35">
        <v>34</v>
      </c>
      <c r="BG260" s="35">
        <v>10</v>
      </c>
      <c r="BH260" s="35">
        <v>10</v>
      </c>
      <c r="BI260" s="35">
        <v>10</v>
      </c>
      <c r="BJ260" s="35">
        <v>22</v>
      </c>
      <c r="BK260" s="35">
        <v>34</v>
      </c>
      <c r="BL260" s="35">
        <v>6</v>
      </c>
      <c r="BM260" s="35">
        <v>6</v>
      </c>
      <c r="BN260" s="35">
        <v>6</v>
      </c>
      <c r="BO260" s="35">
        <v>6</v>
      </c>
      <c r="BP260" s="35">
        <v>6</v>
      </c>
      <c r="BQ260" s="35">
        <v>18</v>
      </c>
      <c r="BR260" s="35">
        <v>2</v>
      </c>
      <c r="BS260" s="35">
        <v>2</v>
      </c>
      <c r="BT260" s="35">
        <v>2</v>
      </c>
      <c r="BU260" s="35">
        <v>2</v>
      </c>
      <c r="CC260"/>
      <c r="CD260"/>
      <c r="CE260"/>
      <c r="CF260"/>
      <c r="CG260"/>
      <c r="CH260"/>
      <c r="CI260"/>
      <c r="CJ260"/>
      <c r="CK260" s="313" t="s">
        <v>663</v>
      </c>
      <c r="CL260" s="35">
        <v>0</v>
      </c>
      <c r="CM260" s="35">
        <v>58</v>
      </c>
      <c r="CN260" s="35">
        <v>14</v>
      </c>
      <c r="CO260" s="35">
        <v>14</v>
      </c>
      <c r="CP260" s="35">
        <v>10</v>
      </c>
      <c r="CQ260" s="35">
        <v>22</v>
      </c>
      <c r="CR260" s="35">
        <v>10</v>
      </c>
      <c r="CS260" s="35">
        <v>10</v>
      </c>
      <c r="CT260" s="35">
        <v>10</v>
      </c>
      <c r="CU260" s="35">
        <v>34</v>
      </c>
      <c r="CV260" s="35">
        <v>6</v>
      </c>
      <c r="CW260" s="35">
        <v>6</v>
      </c>
      <c r="CX260" s="35">
        <v>6</v>
      </c>
      <c r="CY260" s="35">
        <v>6</v>
      </c>
      <c r="CZ260" s="35">
        <v>6</v>
      </c>
      <c r="DA260" s="35">
        <v>2</v>
      </c>
      <c r="DB260" s="35">
        <v>2</v>
      </c>
      <c r="DC260" s="35">
        <v>2</v>
      </c>
      <c r="DD260" s="35">
        <v>2</v>
      </c>
      <c r="DE260" s="35">
        <v>2</v>
      </c>
      <c r="DU260" s="313" t="s">
        <v>663</v>
      </c>
      <c r="DV260" s="35">
        <v>0</v>
      </c>
      <c r="DW260" s="35">
        <v>58</v>
      </c>
      <c r="DX260" s="35">
        <v>50</v>
      </c>
      <c r="DY260" s="35">
        <v>14</v>
      </c>
      <c r="DZ260" s="35">
        <v>10</v>
      </c>
      <c r="EA260" s="35">
        <v>10</v>
      </c>
      <c r="EB260" s="35">
        <v>10</v>
      </c>
      <c r="EC260" s="35">
        <v>10</v>
      </c>
      <c r="ED260" s="35">
        <v>34</v>
      </c>
      <c r="EE260" s="35">
        <v>22</v>
      </c>
      <c r="EF260" s="35">
        <v>6</v>
      </c>
      <c r="EG260" s="35">
        <v>6</v>
      </c>
      <c r="EH260" s="35">
        <v>6</v>
      </c>
      <c r="EI260" s="35">
        <v>6</v>
      </c>
      <c r="EJ260" s="35">
        <v>6</v>
      </c>
      <c r="EK260" s="35">
        <v>6</v>
      </c>
      <c r="EL260" s="35">
        <v>2</v>
      </c>
      <c r="EM260" s="35">
        <v>2</v>
      </c>
      <c r="EN260" s="35">
        <v>2</v>
      </c>
      <c r="EO260" s="35">
        <v>2</v>
      </c>
      <c r="FE260" s="313" t="s">
        <v>663</v>
      </c>
      <c r="FF260" s="35">
        <v>0</v>
      </c>
      <c r="FG260" s="35">
        <v>58</v>
      </c>
      <c r="FH260" s="35">
        <v>14</v>
      </c>
      <c r="FI260" s="35">
        <v>14</v>
      </c>
      <c r="FJ260" s="35">
        <v>10</v>
      </c>
      <c r="FK260" s="35"/>
      <c r="FL260" s="35">
        <v>10</v>
      </c>
      <c r="FM260" s="35"/>
      <c r="FN260" s="35">
        <v>22</v>
      </c>
      <c r="FO260" s="35">
        <v>22</v>
      </c>
      <c r="FP260" s="35"/>
      <c r="FQ260" s="35">
        <v>22</v>
      </c>
      <c r="FR260" s="35">
        <v>18</v>
      </c>
      <c r="FS260" s="35">
        <v>18</v>
      </c>
      <c r="FT260" s="35">
        <v>18</v>
      </c>
      <c r="FU260" s="35"/>
      <c r="FV260" s="35">
        <v>2</v>
      </c>
      <c r="FW260" s="35">
        <v>2</v>
      </c>
      <c r="FX260" s="35">
        <v>2</v>
      </c>
      <c r="FY260" s="35">
        <v>2</v>
      </c>
    </row>
    <row r="261" spans="2:186" hidden="1">
      <c r="B261" s="66" t="s">
        <v>659</v>
      </c>
      <c r="C261" s="78" t="str">
        <f t="shared" ref="C261:C265" ca="1" si="9">DEC2HEX(D261,2)</f>
        <v>03</v>
      </c>
      <c r="D261" s="322">
        <f t="shared" ca="1" si="8"/>
        <v>3</v>
      </c>
      <c r="E261" s="228"/>
      <c r="F261" s="228"/>
      <c r="G261" s="228"/>
      <c r="H261" s="228"/>
      <c r="I261" s="228"/>
      <c r="J261" s="228"/>
      <c r="K261" s="228"/>
      <c r="L261" s="228"/>
      <c r="M261" s="228"/>
      <c r="N261" s="228"/>
      <c r="O261" s="228"/>
      <c r="P261" s="228"/>
      <c r="Q261" s="228"/>
      <c r="R261" s="228"/>
      <c r="S261" s="228"/>
      <c r="T261" s="228"/>
      <c r="BA261" s="313" t="s">
        <v>664</v>
      </c>
      <c r="BB261" s="35">
        <v>0</v>
      </c>
      <c r="BC261" s="35">
        <v>3</v>
      </c>
      <c r="BD261" s="35">
        <v>0</v>
      </c>
      <c r="BE261" s="35">
        <v>0</v>
      </c>
      <c r="BF261" s="35">
        <v>5</v>
      </c>
      <c r="BG261" s="35">
        <v>3</v>
      </c>
      <c r="BH261" s="35">
        <v>1</v>
      </c>
      <c r="BI261" s="35">
        <v>3</v>
      </c>
      <c r="BJ261" s="35">
        <v>1</v>
      </c>
      <c r="BK261" s="35">
        <v>2</v>
      </c>
      <c r="BL261" s="35">
        <v>0</v>
      </c>
      <c r="BM261" s="35">
        <v>3</v>
      </c>
      <c r="BN261" s="35">
        <v>3</v>
      </c>
      <c r="BO261" s="35">
        <v>3</v>
      </c>
      <c r="BP261" s="35">
        <v>3</v>
      </c>
      <c r="BQ261" s="35">
        <v>1</v>
      </c>
      <c r="BR261" s="35">
        <v>3</v>
      </c>
      <c r="BS261" s="35">
        <v>0</v>
      </c>
      <c r="BT261" s="35">
        <v>3</v>
      </c>
      <c r="BU261" s="35">
        <v>3</v>
      </c>
      <c r="CC261"/>
      <c r="CD261"/>
      <c r="CE261"/>
      <c r="CF261"/>
      <c r="CG261"/>
      <c r="CH261"/>
      <c r="CI261"/>
      <c r="CJ261"/>
      <c r="CK261" s="313" t="s">
        <v>664</v>
      </c>
      <c r="CL261" s="35">
        <v>0</v>
      </c>
      <c r="CM261" s="35">
        <v>4</v>
      </c>
      <c r="CN261" s="35">
        <v>0</v>
      </c>
      <c r="CO261" s="35">
        <v>4</v>
      </c>
      <c r="CP261" s="35">
        <v>4</v>
      </c>
      <c r="CQ261" s="35">
        <v>0</v>
      </c>
      <c r="CR261" s="35">
        <v>4</v>
      </c>
      <c r="CS261" s="35">
        <v>3</v>
      </c>
      <c r="CT261" s="35">
        <v>4</v>
      </c>
      <c r="CU261" s="35">
        <v>0</v>
      </c>
      <c r="CV261" s="35">
        <v>4</v>
      </c>
      <c r="CW261" s="35">
        <v>3</v>
      </c>
      <c r="CX261" s="35">
        <v>3</v>
      </c>
      <c r="CY261" s="35">
        <v>3</v>
      </c>
      <c r="CZ261" s="35">
        <v>3</v>
      </c>
      <c r="DA261" s="35">
        <v>0</v>
      </c>
      <c r="DB261" s="35">
        <v>0</v>
      </c>
      <c r="DC261" s="35">
        <v>4</v>
      </c>
      <c r="DD261" s="35">
        <v>4</v>
      </c>
      <c r="DE261" s="35">
        <v>4</v>
      </c>
      <c r="DU261" s="313" t="s">
        <v>664</v>
      </c>
      <c r="DV261" s="35">
        <v>0</v>
      </c>
      <c r="DW261" s="35">
        <v>4</v>
      </c>
      <c r="DX261" s="35">
        <v>2</v>
      </c>
      <c r="DY261" s="35">
        <v>8</v>
      </c>
      <c r="DZ261" s="35">
        <v>8</v>
      </c>
      <c r="EA261" s="35">
        <v>1</v>
      </c>
      <c r="EB261" s="35">
        <v>3</v>
      </c>
      <c r="EC261" s="35">
        <v>4</v>
      </c>
      <c r="ED261" s="35">
        <v>0</v>
      </c>
      <c r="EE261" s="35">
        <v>0</v>
      </c>
      <c r="EF261" s="35">
        <v>2</v>
      </c>
      <c r="EG261" s="35">
        <v>0</v>
      </c>
      <c r="EH261" s="35">
        <v>4</v>
      </c>
      <c r="EI261" s="35">
        <v>4</v>
      </c>
      <c r="EJ261" s="35">
        <v>4</v>
      </c>
      <c r="EK261" s="35">
        <v>8</v>
      </c>
      <c r="EL261" s="35">
        <v>2</v>
      </c>
      <c r="EM261" s="35">
        <v>8</v>
      </c>
      <c r="EN261" s="35">
        <v>2</v>
      </c>
      <c r="EO261" s="35">
        <v>0</v>
      </c>
      <c r="FE261" s="313" t="s">
        <v>664</v>
      </c>
      <c r="FF261" s="35">
        <v>0</v>
      </c>
      <c r="FG261" s="35">
        <v>4</v>
      </c>
      <c r="FH261" s="35">
        <v>4</v>
      </c>
      <c r="FI261" s="35">
        <v>3</v>
      </c>
      <c r="FJ261" s="35">
        <v>4</v>
      </c>
      <c r="FK261" s="35"/>
      <c r="FL261" s="35">
        <v>4</v>
      </c>
      <c r="FM261" s="35"/>
      <c r="FN261" s="35">
        <v>4</v>
      </c>
      <c r="FO261" s="35">
        <v>3</v>
      </c>
      <c r="FP261" s="35"/>
      <c r="FQ261" s="35">
        <v>3</v>
      </c>
      <c r="FR261" s="35">
        <v>4</v>
      </c>
      <c r="FS261" s="35">
        <v>4</v>
      </c>
      <c r="FT261" s="35">
        <v>4</v>
      </c>
      <c r="FU261" s="35"/>
      <c r="FV261" s="35">
        <v>4</v>
      </c>
      <c r="FW261" s="35">
        <v>4</v>
      </c>
      <c r="FX261" s="35">
        <v>4</v>
      </c>
      <c r="FY261" s="35">
        <v>4</v>
      </c>
    </row>
    <row r="262" spans="2:186" hidden="1">
      <c r="B262" s="66" t="s">
        <v>660</v>
      </c>
      <c r="C262" s="78" t="str">
        <f t="shared" ca="1" si="9"/>
        <v>16</v>
      </c>
      <c r="D262" s="322">
        <f t="shared" ca="1" si="8"/>
        <v>22</v>
      </c>
      <c r="E262" s="228"/>
      <c r="F262" s="228"/>
      <c r="G262" s="228"/>
      <c r="H262" s="228"/>
      <c r="I262" s="228"/>
      <c r="J262" s="228"/>
      <c r="K262" s="228"/>
      <c r="L262" s="228"/>
      <c r="M262" s="228"/>
      <c r="N262" s="228"/>
      <c r="O262" s="228"/>
      <c r="P262" s="228"/>
      <c r="Q262" s="228"/>
      <c r="R262" s="228"/>
      <c r="S262" s="228"/>
      <c r="T262" s="228"/>
      <c r="BA262" s="313" t="s">
        <v>665</v>
      </c>
      <c r="BB262" s="35">
        <v>0</v>
      </c>
      <c r="BC262" s="35">
        <v>41</v>
      </c>
      <c r="BD262" s="35">
        <v>23</v>
      </c>
      <c r="BE262" s="35">
        <v>27</v>
      </c>
      <c r="BF262" s="35">
        <v>138</v>
      </c>
      <c r="BG262" s="35">
        <v>24</v>
      </c>
      <c r="BH262" s="35">
        <v>12</v>
      </c>
      <c r="BI262" s="35">
        <v>32</v>
      </c>
      <c r="BJ262" s="35">
        <v>34</v>
      </c>
      <c r="BK262" s="35">
        <v>120</v>
      </c>
      <c r="BL262" s="35">
        <v>10</v>
      </c>
      <c r="BM262" s="35">
        <v>44</v>
      </c>
      <c r="BN262" s="35">
        <v>52</v>
      </c>
      <c r="BO262" s="35">
        <v>60</v>
      </c>
      <c r="BP262" s="35">
        <v>67</v>
      </c>
      <c r="BQ262" s="35">
        <v>82</v>
      </c>
      <c r="BR262" s="35">
        <v>86</v>
      </c>
      <c r="BS262" s="35">
        <v>21</v>
      </c>
      <c r="BT262" s="35">
        <v>92</v>
      </c>
      <c r="BU262" s="35">
        <v>98</v>
      </c>
      <c r="CC262"/>
      <c r="CD262"/>
      <c r="CE262"/>
      <c r="CF262"/>
      <c r="CG262"/>
      <c r="CH262"/>
      <c r="CI262"/>
      <c r="CJ262"/>
      <c r="CK262" s="313" t="s">
        <v>665</v>
      </c>
      <c r="CL262" s="35">
        <v>0</v>
      </c>
      <c r="CM262" s="35">
        <v>49</v>
      </c>
      <c r="CN262" s="35">
        <v>2</v>
      </c>
      <c r="CO262" s="35">
        <v>16</v>
      </c>
      <c r="CP262" s="35">
        <v>27</v>
      </c>
      <c r="CQ262" s="35">
        <v>11</v>
      </c>
      <c r="CR262" s="35">
        <v>30</v>
      </c>
      <c r="CS262" s="35">
        <v>30</v>
      </c>
      <c r="CT262" s="35">
        <v>41</v>
      </c>
      <c r="CU262" s="35">
        <v>38</v>
      </c>
      <c r="CV262" s="35">
        <v>51</v>
      </c>
      <c r="CW262" s="35">
        <v>42</v>
      </c>
      <c r="CX262" s="35">
        <v>50</v>
      </c>
      <c r="CY262" s="35">
        <v>58</v>
      </c>
      <c r="CZ262" s="35">
        <v>64</v>
      </c>
      <c r="DA262" s="35">
        <v>19</v>
      </c>
      <c r="DB262" s="35">
        <v>20</v>
      </c>
      <c r="DC262" s="35">
        <v>105</v>
      </c>
      <c r="DD262" s="35">
        <v>111</v>
      </c>
      <c r="DE262" s="35">
        <v>118</v>
      </c>
      <c r="DU262" s="313" t="s">
        <v>665</v>
      </c>
      <c r="DV262" s="35">
        <v>0</v>
      </c>
      <c r="DW262" s="35">
        <v>45</v>
      </c>
      <c r="DX262" s="35">
        <v>63</v>
      </c>
      <c r="DY262" s="35">
        <v>27</v>
      </c>
      <c r="DZ262" s="35">
        <v>46</v>
      </c>
      <c r="EA262" s="35">
        <v>10</v>
      </c>
      <c r="EB262" s="35">
        <v>22</v>
      </c>
      <c r="EC262" s="35">
        <v>35</v>
      </c>
      <c r="ED262" s="35">
        <v>30</v>
      </c>
      <c r="EE262" s="35">
        <v>17</v>
      </c>
      <c r="EF262" s="35">
        <v>28</v>
      </c>
      <c r="EG262" s="35">
        <v>9</v>
      </c>
      <c r="EH262" s="35">
        <v>58</v>
      </c>
      <c r="EI262" s="35">
        <v>67</v>
      </c>
      <c r="EJ262" s="35">
        <v>74</v>
      </c>
      <c r="EK262" s="35">
        <v>165</v>
      </c>
      <c r="EL262" s="35">
        <v>57</v>
      </c>
      <c r="EM262" s="35">
        <v>175</v>
      </c>
      <c r="EN262" s="35">
        <v>61</v>
      </c>
      <c r="EO262" s="35">
        <v>21</v>
      </c>
      <c r="FE262" s="313" t="s">
        <v>665</v>
      </c>
      <c r="FF262" s="35">
        <v>0</v>
      </c>
      <c r="FG262" s="35">
        <v>47</v>
      </c>
      <c r="FH262" s="35">
        <v>13</v>
      </c>
      <c r="FI262" s="35">
        <v>12</v>
      </c>
      <c r="FJ262" s="35">
        <v>26</v>
      </c>
      <c r="FK262" s="35"/>
      <c r="FL262" s="35">
        <v>29</v>
      </c>
      <c r="FM262" s="35"/>
      <c r="FN262" s="35">
        <v>80</v>
      </c>
      <c r="FO262" s="35">
        <v>74</v>
      </c>
      <c r="FP262" s="35"/>
      <c r="FQ262" s="35">
        <v>82</v>
      </c>
      <c r="FR262" s="35">
        <v>121</v>
      </c>
      <c r="FS262" s="35">
        <v>140</v>
      </c>
      <c r="FT262" s="35">
        <v>155</v>
      </c>
      <c r="FU262" s="35"/>
      <c r="FV262" s="35">
        <v>100</v>
      </c>
      <c r="FW262" s="35">
        <v>101</v>
      </c>
      <c r="FX262" s="35">
        <v>107</v>
      </c>
      <c r="FY262" s="35">
        <v>114</v>
      </c>
    </row>
    <row r="263" spans="2:186" hidden="1">
      <c r="B263" s="66" t="s">
        <v>642</v>
      </c>
      <c r="C263" s="78" t="str">
        <f t="shared" ca="1" si="9"/>
        <v>00</v>
      </c>
      <c r="D263" s="322">
        <f t="shared" ca="1" si="8"/>
        <v>0</v>
      </c>
      <c r="E263" s="228"/>
      <c r="F263" s="228"/>
      <c r="G263" s="228"/>
      <c r="H263" s="228"/>
      <c r="I263" s="228"/>
      <c r="J263" s="228"/>
      <c r="K263" s="228"/>
      <c r="L263" s="228"/>
      <c r="M263" s="228"/>
      <c r="N263" s="228"/>
      <c r="O263" s="228"/>
      <c r="P263" s="228"/>
      <c r="Q263" s="228"/>
      <c r="R263" s="228"/>
      <c r="S263" s="228"/>
      <c r="T263" s="228"/>
      <c r="BA263" s="313" t="s">
        <v>666</v>
      </c>
      <c r="BB263" s="35">
        <v>0</v>
      </c>
      <c r="BC263" s="35">
        <v>0</v>
      </c>
      <c r="BD263" s="35">
        <v>0</v>
      </c>
      <c r="BE263" s="35">
        <v>0</v>
      </c>
      <c r="BF263" s="35">
        <v>0</v>
      </c>
      <c r="BG263" s="35">
        <v>0</v>
      </c>
      <c r="BH263" s="35">
        <v>0</v>
      </c>
      <c r="BI263" s="35">
        <v>0</v>
      </c>
      <c r="BJ263" s="35">
        <v>0</v>
      </c>
      <c r="BK263" s="35">
        <v>0</v>
      </c>
      <c r="BL263" s="35">
        <v>0</v>
      </c>
      <c r="BM263" s="35">
        <v>0</v>
      </c>
      <c r="BN263" s="35">
        <v>0</v>
      </c>
      <c r="BO263" s="35">
        <v>0</v>
      </c>
      <c r="BP263" s="35">
        <v>0</v>
      </c>
      <c r="BQ263" s="35">
        <v>0</v>
      </c>
      <c r="BR263" s="35">
        <v>0</v>
      </c>
      <c r="BS263" s="35">
        <v>0</v>
      </c>
      <c r="BT263" s="35">
        <v>0</v>
      </c>
      <c r="BU263" s="35">
        <v>0</v>
      </c>
      <c r="CC263"/>
      <c r="CD263"/>
      <c r="CE263"/>
      <c r="CF263"/>
      <c r="CG263"/>
      <c r="CH263"/>
      <c r="CI263"/>
      <c r="CJ263"/>
      <c r="CK263" s="313" t="s">
        <v>666</v>
      </c>
      <c r="CL263" s="35">
        <v>0</v>
      </c>
      <c r="CM263" s="35">
        <v>0</v>
      </c>
      <c r="CN263" s="35">
        <v>0</v>
      </c>
      <c r="CO263" s="35">
        <v>0</v>
      </c>
      <c r="CP263" s="35">
        <v>0</v>
      </c>
      <c r="CQ263" s="35">
        <v>0</v>
      </c>
      <c r="CR263" s="35">
        <v>0</v>
      </c>
      <c r="CS263" s="35">
        <v>0</v>
      </c>
      <c r="CT263" s="35">
        <v>0</v>
      </c>
      <c r="CU263" s="35">
        <v>0</v>
      </c>
      <c r="CV263" s="35">
        <v>0</v>
      </c>
      <c r="CW263" s="35">
        <v>0</v>
      </c>
      <c r="CX263" s="35">
        <v>0</v>
      </c>
      <c r="CY263" s="35">
        <v>0</v>
      </c>
      <c r="CZ263" s="35">
        <v>0</v>
      </c>
      <c r="DA263" s="35">
        <v>0</v>
      </c>
      <c r="DB263" s="35">
        <v>0</v>
      </c>
      <c r="DC263" s="35">
        <v>0</v>
      </c>
      <c r="DD263" s="35">
        <v>0</v>
      </c>
      <c r="DE263" s="35">
        <v>0</v>
      </c>
      <c r="DU263" s="313" t="s">
        <v>666</v>
      </c>
      <c r="DV263" s="35">
        <v>0</v>
      </c>
      <c r="DW263" s="35">
        <v>0</v>
      </c>
      <c r="DX263" s="35">
        <v>0</v>
      </c>
      <c r="DY263" s="35">
        <v>0</v>
      </c>
      <c r="DZ263" s="35">
        <v>0</v>
      </c>
      <c r="EA263" s="35">
        <v>0</v>
      </c>
      <c r="EB263" s="35">
        <v>0</v>
      </c>
      <c r="EC263" s="35">
        <v>0</v>
      </c>
      <c r="ED263" s="35">
        <v>0</v>
      </c>
      <c r="EE263" s="35">
        <v>0</v>
      </c>
      <c r="EF263" s="35">
        <v>0</v>
      </c>
      <c r="EG263" s="35">
        <v>0</v>
      </c>
      <c r="EH263" s="35">
        <v>0</v>
      </c>
      <c r="EI263" s="35">
        <v>0</v>
      </c>
      <c r="EJ263" s="35">
        <v>0</v>
      </c>
      <c r="EK263" s="35">
        <v>0</v>
      </c>
      <c r="EL263" s="35">
        <v>0</v>
      </c>
      <c r="EM263" s="35">
        <v>0</v>
      </c>
      <c r="EN263" s="35">
        <v>0</v>
      </c>
      <c r="EO263" s="35">
        <v>0</v>
      </c>
      <c r="FE263" s="313" t="s">
        <v>666</v>
      </c>
      <c r="FF263" s="35">
        <v>0</v>
      </c>
      <c r="FG263" s="35">
        <v>0</v>
      </c>
      <c r="FH263" s="35">
        <v>0</v>
      </c>
      <c r="FI263" s="35">
        <v>0</v>
      </c>
      <c r="FJ263" s="35">
        <v>0</v>
      </c>
      <c r="FK263" s="35"/>
      <c r="FL263" s="35">
        <v>0</v>
      </c>
      <c r="FM263" s="35"/>
      <c r="FN263" s="35">
        <v>0</v>
      </c>
      <c r="FO263" s="35">
        <v>0</v>
      </c>
      <c r="FP263" s="35"/>
      <c r="FQ263" s="35">
        <v>0</v>
      </c>
      <c r="FR263" s="35">
        <v>0</v>
      </c>
      <c r="FS263" s="35">
        <v>0</v>
      </c>
      <c r="FT263" s="35">
        <v>0</v>
      </c>
      <c r="FU263" s="35"/>
      <c r="FV263" s="35">
        <v>0</v>
      </c>
      <c r="FW263" s="35">
        <v>0</v>
      </c>
      <c r="FX263" s="35">
        <v>0</v>
      </c>
      <c r="FY263" s="35">
        <v>0</v>
      </c>
    </row>
    <row r="264" spans="2:186" hidden="1">
      <c r="B264" s="66" t="s">
        <v>661</v>
      </c>
      <c r="C264" s="78" t="str">
        <f t="shared" ca="1" si="9"/>
        <v>21</v>
      </c>
      <c r="D264" s="322">
        <f t="shared" ca="1" si="8"/>
        <v>33</v>
      </c>
      <c r="E264" s="228"/>
      <c r="F264" s="228"/>
      <c r="G264" s="228"/>
      <c r="H264" s="228"/>
      <c r="I264" s="228"/>
      <c r="J264" s="228"/>
      <c r="K264" s="228"/>
      <c r="L264" s="228"/>
      <c r="M264" s="228"/>
      <c r="N264" s="228"/>
      <c r="O264" s="228"/>
      <c r="P264" s="228"/>
      <c r="Q264" s="228"/>
      <c r="R264" s="228"/>
      <c r="S264" s="228"/>
      <c r="T264" s="228"/>
      <c r="BA264" s="313" t="s">
        <v>667</v>
      </c>
      <c r="BB264" s="35">
        <v>0</v>
      </c>
      <c r="BC264" s="35">
        <v>33</v>
      </c>
      <c r="BD264" s="35">
        <v>33</v>
      </c>
      <c r="BE264" s="35">
        <v>33</v>
      </c>
      <c r="BF264" s="35">
        <v>34</v>
      </c>
      <c r="BG264" s="35">
        <v>33</v>
      </c>
      <c r="BH264" s="35">
        <v>33</v>
      </c>
      <c r="BI264" s="35">
        <v>33</v>
      </c>
      <c r="BJ264" s="35">
        <v>33</v>
      </c>
      <c r="BK264" s="35">
        <v>33</v>
      </c>
      <c r="BL264" s="35">
        <v>33</v>
      </c>
      <c r="BM264" s="35">
        <v>33</v>
      </c>
      <c r="BN264" s="35">
        <v>33</v>
      </c>
      <c r="BO264" s="35">
        <v>33</v>
      </c>
      <c r="BP264" s="35">
        <v>33</v>
      </c>
      <c r="BQ264" s="35">
        <v>33</v>
      </c>
      <c r="BR264" s="35">
        <v>33</v>
      </c>
      <c r="BS264" s="35">
        <v>33</v>
      </c>
      <c r="BT264" s="35">
        <v>33</v>
      </c>
      <c r="BU264" s="35">
        <v>33</v>
      </c>
      <c r="CC264"/>
      <c r="CD264"/>
      <c r="CE264"/>
      <c r="CF264"/>
      <c r="CG264"/>
      <c r="CH264"/>
      <c r="CI264"/>
      <c r="CJ264"/>
      <c r="CK264" s="313" t="s">
        <v>667</v>
      </c>
      <c r="CL264" s="35">
        <v>0</v>
      </c>
      <c r="CM264" s="35">
        <v>33</v>
      </c>
      <c r="CN264" s="35">
        <v>33</v>
      </c>
      <c r="CO264" s="35">
        <v>34</v>
      </c>
      <c r="CP264" s="35">
        <v>34</v>
      </c>
      <c r="CQ264" s="35">
        <v>33</v>
      </c>
      <c r="CR264" s="35">
        <v>33</v>
      </c>
      <c r="CS264" s="35">
        <v>33</v>
      </c>
      <c r="CT264" s="35">
        <v>34</v>
      </c>
      <c r="CU264" s="35">
        <v>33</v>
      </c>
      <c r="CV264" s="35">
        <v>33</v>
      </c>
      <c r="CW264" s="35">
        <v>33</v>
      </c>
      <c r="CX264" s="35">
        <v>33</v>
      </c>
      <c r="CY264" s="35">
        <v>33</v>
      </c>
      <c r="CZ264" s="35">
        <v>33</v>
      </c>
      <c r="DA264" s="35">
        <v>33</v>
      </c>
      <c r="DB264" s="35">
        <v>33</v>
      </c>
      <c r="DC264" s="35">
        <v>33</v>
      </c>
      <c r="DD264" s="35">
        <v>34</v>
      </c>
      <c r="DE264" s="35">
        <v>33</v>
      </c>
      <c r="DU264" s="313" t="s">
        <v>667</v>
      </c>
      <c r="DV264" s="35">
        <v>0</v>
      </c>
      <c r="DW264" s="35">
        <v>33</v>
      </c>
      <c r="DX264" s="35">
        <v>33</v>
      </c>
      <c r="DY264" s="35">
        <v>34</v>
      </c>
      <c r="DZ264" s="35">
        <v>34</v>
      </c>
      <c r="EA264" s="35">
        <v>33</v>
      </c>
      <c r="EB264" s="35">
        <v>33</v>
      </c>
      <c r="EC264" s="35">
        <v>33</v>
      </c>
      <c r="ED264" s="35">
        <v>33</v>
      </c>
      <c r="EE264" s="35">
        <v>33</v>
      </c>
      <c r="EF264" s="35">
        <v>33</v>
      </c>
      <c r="EG264" s="35">
        <v>33</v>
      </c>
      <c r="EH264" s="35">
        <v>33</v>
      </c>
      <c r="EI264" s="35">
        <v>33</v>
      </c>
      <c r="EJ264" s="35">
        <v>33</v>
      </c>
      <c r="EK264" s="35">
        <v>34</v>
      </c>
      <c r="EL264" s="35">
        <v>33</v>
      </c>
      <c r="EM264" s="35">
        <v>34</v>
      </c>
      <c r="EN264" s="35">
        <v>33</v>
      </c>
      <c r="EO264" s="35">
        <v>33</v>
      </c>
      <c r="FE264" s="313" t="s">
        <v>667</v>
      </c>
      <c r="FF264" s="35">
        <v>0</v>
      </c>
      <c r="FG264" s="35">
        <v>33</v>
      </c>
      <c r="FH264" s="35">
        <v>33</v>
      </c>
      <c r="FI264" s="35">
        <v>34</v>
      </c>
      <c r="FJ264" s="35">
        <v>34</v>
      </c>
      <c r="FK264" s="35"/>
      <c r="FL264" s="35">
        <v>33</v>
      </c>
      <c r="FM264" s="35"/>
      <c r="FN264" s="35">
        <v>34</v>
      </c>
      <c r="FO264" s="35">
        <v>33</v>
      </c>
      <c r="FP264" s="35"/>
      <c r="FQ264" s="35">
        <v>33</v>
      </c>
      <c r="FR264" s="35">
        <v>33</v>
      </c>
      <c r="FS264" s="35">
        <v>33</v>
      </c>
      <c r="FT264" s="35">
        <v>33</v>
      </c>
      <c r="FU264" s="35"/>
      <c r="FV264" s="35">
        <v>33</v>
      </c>
      <c r="FW264" s="35">
        <v>33</v>
      </c>
      <c r="FX264" s="35">
        <v>34</v>
      </c>
      <c r="FY264" s="35">
        <v>34</v>
      </c>
    </row>
    <row r="265" spans="2:186" hidden="1">
      <c r="B265" s="66" t="s">
        <v>662</v>
      </c>
      <c r="C265" s="78" t="str">
        <f t="shared" ca="1" si="9"/>
        <v>07</v>
      </c>
      <c r="D265" s="322">
        <f t="shared" ca="1" si="8"/>
        <v>7</v>
      </c>
      <c r="E265" s="228"/>
      <c r="F265" s="228"/>
      <c r="G265" s="228"/>
      <c r="H265" s="228"/>
      <c r="I265" s="228"/>
      <c r="J265" s="228"/>
      <c r="K265" s="228"/>
      <c r="L265" s="228"/>
      <c r="M265" s="228"/>
      <c r="N265" s="228"/>
      <c r="O265" s="228"/>
      <c r="P265" s="228"/>
      <c r="Q265" s="228"/>
      <c r="R265" s="228"/>
      <c r="S265" s="228"/>
      <c r="T265" s="228"/>
      <c r="BA265" s="313" t="s">
        <v>668</v>
      </c>
      <c r="BB265" s="35">
        <v>0</v>
      </c>
      <c r="BC265" s="35">
        <v>13</v>
      </c>
      <c r="BD265" s="35">
        <v>6</v>
      </c>
      <c r="BE265" s="35">
        <v>7</v>
      </c>
      <c r="BF265" s="35">
        <v>3</v>
      </c>
      <c r="BG265" s="35">
        <v>7</v>
      </c>
      <c r="BH265" s="35">
        <v>7</v>
      </c>
      <c r="BI265" s="35">
        <v>9</v>
      </c>
      <c r="BJ265" s="35">
        <v>9</v>
      </c>
      <c r="BK265" s="35">
        <v>11</v>
      </c>
      <c r="BL265" s="35">
        <v>6</v>
      </c>
      <c r="BM265" s="35">
        <v>6</v>
      </c>
      <c r="BN265" s="35">
        <v>7</v>
      </c>
      <c r="BO265" s="35">
        <v>8</v>
      </c>
      <c r="BP265" s="35">
        <v>10</v>
      </c>
      <c r="BQ265" s="35">
        <v>11</v>
      </c>
      <c r="BR265" s="35">
        <v>6</v>
      </c>
      <c r="BS265" s="35">
        <v>5</v>
      </c>
      <c r="BT265" s="35">
        <v>6</v>
      </c>
      <c r="BU265" s="35">
        <v>7</v>
      </c>
      <c r="CC265"/>
      <c r="CD265"/>
      <c r="CE265"/>
      <c r="CF265"/>
      <c r="CG265"/>
      <c r="CH265"/>
      <c r="CI265"/>
      <c r="CJ265"/>
      <c r="CK265" s="313" t="s">
        <v>668</v>
      </c>
      <c r="CL265" s="35">
        <v>0</v>
      </c>
      <c r="CM265" s="35">
        <v>14</v>
      </c>
      <c r="CN265" s="35">
        <v>7</v>
      </c>
      <c r="CO265" s="35">
        <v>4</v>
      </c>
      <c r="CP265" s="35">
        <v>3</v>
      </c>
      <c r="CQ265" s="35">
        <v>7</v>
      </c>
      <c r="CR265" s="35">
        <v>9</v>
      </c>
      <c r="CS265" s="35">
        <v>9</v>
      </c>
      <c r="CT265" s="35">
        <v>5</v>
      </c>
      <c r="CU265" s="35">
        <v>11</v>
      </c>
      <c r="CV265" s="35">
        <v>7</v>
      </c>
      <c r="CW265" s="35">
        <v>6</v>
      </c>
      <c r="CX265" s="35">
        <v>7</v>
      </c>
      <c r="CY265" s="35">
        <v>8</v>
      </c>
      <c r="CZ265" s="35">
        <v>9</v>
      </c>
      <c r="DA265" s="35">
        <v>6</v>
      </c>
      <c r="DB265" s="35">
        <v>6</v>
      </c>
      <c r="DC265" s="35">
        <v>7</v>
      </c>
      <c r="DD265" s="35">
        <v>3</v>
      </c>
      <c r="DE265" s="35">
        <v>8</v>
      </c>
      <c r="DU265" s="313" t="s">
        <v>668</v>
      </c>
      <c r="DV265" s="35">
        <v>0</v>
      </c>
      <c r="DW265" s="35">
        <v>14</v>
      </c>
      <c r="DX265" s="35">
        <v>7</v>
      </c>
      <c r="DY265" s="35">
        <v>4</v>
      </c>
      <c r="DZ265" s="35">
        <v>3</v>
      </c>
      <c r="EA265" s="35">
        <v>7</v>
      </c>
      <c r="EB265" s="35">
        <v>7</v>
      </c>
      <c r="EC265" s="35">
        <v>10</v>
      </c>
      <c r="ED265" s="35">
        <v>10</v>
      </c>
      <c r="EE265" s="35">
        <v>12</v>
      </c>
      <c r="EF265" s="35">
        <v>6</v>
      </c>
      <c r="EG265" s="35">
        <v>6</v>
      </c>
      <c r="EH265" s="35">
        <v>8</v>
      </c>
      <c r="EI265" s="35">
        <v>10</v>
      </c>
      <c r="EJ265" s="35">
        <v>11</v>
      </c>
      <c r="EK265" s="35">
        <v>6</v>
      </c>
      <c r="EL265" s="35">
        <v>6</v>
      </c>
      <c r="EM265" s="35">
        <v>3</v>
      </c>
      <c r="EN265" s="35">
        <v>7</v>
      </c>
      <c r="EO265" s="35">
        <v>7</v>
      </c>
      <c r="FE265" s="313" t="s">
        <v>668</v>
      </c>
      <c r="FF265" s="35">
        <v>0</v>
      </c>
      <c r="FG265" s="35">
        <v>14</v>
      </c>
      <c r="FH265" s="35">
        <v>8</v>
      </c>
      <c r="FI265" s="35">
        <v>4</v>
      </c>
      <c r="FJ265" s="35">
        <v>3</v>
      </c>
      <c r="FK265" s="35"/>
      <c r="FL265" s="35">
        <v>8</v>
      </c>
      <c r="FM265" s="35"/>
      <c r="FN265" s="35">
        <v>5</v>
      </c>
      <c r="FO265" s="35">
        <v>12</v>
      </c>
      <c r="FP265" s="35"/>
      <c r="FQ265" s="35">
        <v>14</v>
      </c>
      <c r="FR265" s="35">
        <v>8</v>
      </c>
      <c r="FS265" s="35">
        <v>10</v>
      </c>
      <c r="FT265" s="35">
        <v>11</v>
      </c>
      <c r="FU265" s="35"/>
      <c r="FV265" s="35">
        <v>7</v>
      </c>
      <c r="FW265" s="35">
        <v>7</v>
      </c>
      <c r="FX265" s="35">
        <v>3</v>
      </c>
      <c r="FY265" s="35">
        <v>3</v>
      </c>
    </row>
    <row r="266" spans="2:186" hidden="1">
      <c r="B266" s="185"/>
      <c r="C266" s="186"/>
      <c r="D266" s="228"/>
      <c r="E266" s="228"/>
      <c r="F266" s="228"/>
      <c r="G266" s="228"/>
      <c r="H266" s="228"/>
      <c r="I266" s="228"/>
      <c r="J266" s="228"/>
      <c r="K266" s="228"/>
      <c r="L266" s="228"/>
      <c r="M266" s="228"/>
      <c r="N266" s="228"/>
      <c r="O266" s="228"/>
      <c r="P266" s="228"/>
      <c r="Q266" s="228"/>
      <c r="R266" s="228"/>
      <c r="S266" s="228"/>
      <c r="T266" s="228"/>
      <c r="BA266" s="313" t="s">
        <v>1260</v>
      </c>
      <c r="BB266" s="318">
        <v>0</v>
      </c>
      <c r="BC266" s="318">
        <v>31.5</v>
      </c>
      <c r="BD266" s="318">
        <v>72</v>
      </c>
      <c r="BE266" s="318">
        <v>84</v>
      </c>
      <c r="BF266" s="318">
        <v>139</v>
      </c>
      <c r="BG266" s="318">
        <v>150</v>
      </c>
      <c r="BH266" s="318">
        <v>156</v>
      </c>
      <c r="BI266" s="318">
        <v>198</v>
      </c>
      <c r="BJ266" s="318">
        <v>210</v>
      </c>
      <c r="BK266" s="318">
        <v>242</v>
      </c>
      <c r="BL266" s="318">
        <v>264</v>
      </c>
      <c r="BM266" s="318">
        <v>270</v>
      </c>
      <c r="BN266" s="318">
        <v>318</v>
      </c>
      <c r="BO266" s="318">
        <v>366</v>
      </c>
      <c r="BP266" s="318">
        <v>408</v>
      </c>
      <c r="BQ266" s="318">
        <v>498</v>
      </c>
      <c r="BR266" s="318">
        <v>522</v>
      </c>
      <c r="BS266" s="318">
        <v>528</v>
      </c>
      <c r="BT266" s="318">
        <v>558</v>
      </c>
      <c r="BU266" s="318">
        <v>594</v>
      </c>
      <c r="BV266" s="317"/>
      <c r="BW266" s="317"/>
      <c r="BX266" s="317"/>
      <c r="BY266" s="317"/>
      <c r="BZ266" s="317"/>
      <c r="CA266" s="317"/>
      <c r="CB266" s="317"/>
      <c r="CC266" s="198"/>
      <c r="CD266" s="198"/>
      <c r="CE266" s="198"/>
      <c r="CF266" s="198"/>
      <c r="CG266" s="198"/>
      <c r="CH266" s="198"/>
      <c r="CI266" s="198"/>
      <c r="CJ266" s="198"/>
      <c r="CK266" s="313" t="s">
        <v>1260</v>
      </c>
      <c r="CL266" s="318">
        <v>0</v>
      </c>
      <c r="CM266" s="318">
        <v>31.25</v>
      </c>
      <c r="CN266" s="318">
        <v>75</v>
      </c>
      <c r="CO266" s="318">
        <v>85</v>
      </c>
      <c r="CP266" s="318">
        <v>140</v>
      </c>
      <c r="CQ266" s="318">
        <v>150</v>
      </c>
      <c r="CR266" s="318">
        <v>155</v>
      </c>
      <c r="CS266" s="318">
        <v>193.75</v>
      </c>
      <c r="CT266" s="318">
        <v>210</v>
      </c>
      <c r="CU266" s="318">
        <v>243.75</v>
      </c>
      <c r="CV266" s="318">
        <v>260</v>
      </c>
      <c r="CW266" s="318">
        <v>268.75</v>
      </c>
      <c r="CX266" s="318">
        <v>318.75</v>
      </c>
      <c r="CY266" s="318">
        <v>368.75</v>
      </c>
      <c r="CZ266" s="318">
        <v>406.25</v>
      </c>
      <c r="DA266" s="318">
        <v>500</v>
      </c>
      <c r="DB266" s="318">
        <v>525</v>
      </c>
      <c r="DC266" s="318">
        <v>530</v>
      </c>
      <c r="DD266" s="318">
        <v>560</v>
      </c>
      <c r="DE266" s="318">
        <v>595</v>
      </c>
      <c r="DF266" s="317"/>
      <c r="DG266" s="317"/>
      <c r="DH266" s="317"/>
      <c r="DI266" s="317"/>
      <c r="DJ266" s="317"/>
      <c r="DK266" s="317"/>
      <c r="DL266" s="317"/>
      <c r="DM266" s="317"/>
      <c r="DN266" s="317"/>
      <c r="DO266" s="317"/>
      <c r="DP266" s="317"/>
      <c r="DQ266" s="317"/>
      <c r="DR266" s="317"/>
      <c r="DS266" s="317"/>
      <c r="DT266" s="317"/>
      <c r="DU266" s="313" t="s">
        <v>1260</v>
      </c>
      <c r="DV266" s="318">
        <v>0</v>
      </c>
      <c r="DW266" s="318">
        <v>31.05</v>
      </c>
      <c r="DX266" s="318">
        <v>72</v>
      </c>
      <c r="DY266" s="318">
        <v>84</v>
      </c>
      <c r="DZ266" s="318">
        <v>141</v>
      </c>
      <c r="EA266" s="318">
        <v>148.5</v>
      </c>
      <c r="EB266" s="318">
        <v>155.25</v>
      </c>
      <c r="EC266" s="318">
        <v>194.4</v>
      </c>
      <c r="ED266" s="318">
        <v>209.25</v>
      </c>
      <c r="EE266" s="318">
        <v>243</v>
      </c>
      <c r="EF266" s="318">
        <v>261</v>
      </c>
      <c r="EG266" s="318">
        <v>270</v>
      </c>
      <c r="EH266" s="318">
        <v>318.60000000000002</v>
      </c>
      <c r="EI266" s="318">
        <v>367.2</v>
      </c>
      <c r="EJ266" s="318">
        <v>405</v>
      </c>
      <c r="EK266" s="318">
        <v>498</v>
      </c>
      <c r="EL266" s="318">
        <v>522</v>
      </c>
      <c r="EM266" s="318">
        <v>528</v>
      </c>
      <c r="EN266" s="318">
        <v>558</v>
      </c>
      <c r="EO266" s="318">
        <v>594</v>
      </c>
      <c r="FE266" s="313" t="s">
        <v>1260</v>
      </c>
      <c r="FF266" s="318">
        <v>0</v>
      </c>
      <c r="FG266" s="318">
        <v>31.2</v>
      </c>
      <c r="FH266" s="318">
        <v>72.8</v>
      </c>
      <c r="FI266" s="318">
        <v>84.5</v>
      </c>
      <c r="FJ266" s="318">
        <v>140.4</v>
      </c>
      <c r="FK266" s="318">
        <v>0</v>
      </c>
      <c r="FL266" s="318">
        <v>156</v>
      </c>
      <c r="FM266" s="318">
        <v>0</v>
      </c>
      <c r="FN266" s="318">
        <v>210.6</v>
      </c>
      <c r="FO266" s="318">
        <v>243.75</v>
      </c>
      <c r="FP266" s="318">
        <v>0</v>
      </c>
      <c r="FQ266" s="318">
        <v>269.75</v>
      </c>
      <c r="FR266" s="318">
        <v>317.2</v>
      </c>
      <c r="FS266" s="318">
        <v>366.6</v>
      </c>
      <c r="FT266" s="318">
        <v>405.6</v>
      </c>
      <c r="FU266" s="318">
        <v>0</v>
      </c>
      <c r="FV266" s="318">
        <v>525</v>
      </c>
      <c r="FW266" s="318">
        <v>530</v>
      </c>
      <c r="FX266" s="318">
        <v>561.6</v>
      </c>
      <c r="FY266" s="318">
        <v>598</v>
      </c>
    </row>
    <row r="267" spans="2:186" hidden="1">
      <c r="B267" s="185"/>
      <c r="C267" s="186"/>
      <c r="D267" s="228"/>
      <c r="E267" s="228"/>
      <c r="F267" s="228"/>
      <c r="G267" s="228"/>
      <c r="H267" s="228"/>
      <c r="I267" s="228"/>
      <c r="J267" s="228"/>
      <c r="K267" s="228"/>
      <c r="L267" s="228"/>
      <c r="M267" s="228"/>
      <c r="N267" s="228"/>
      <c r="O267" s="228"/>
      <c r="P267" s="228"/>
      <c r="Q267" s="228"/>
      <c r="R267" s="228"/>
      <c r="S267" s="228"/>
      <c r="T267" s="228"/>
      <c r="BA267" s="46"/>
      <c r="BB267" s="46"/>
      <c r="BC267" s="46"/>
      <c r="BD267" s="46"/>
      <c r="BE267" s="46"/>
      <c r="BF267" s="46"/>
      <c r="BG267" s="46"/>
      <c r="BH267" s="46"/>
      <c r="BI267" s="46"/>
      <c r="BJ267" s="46"/>
      <c r="BK267" s="46"/>
      <c r="BL267" s="46"/>
      <c r="BM267" s="46"/>
      <c r="BN267" s="46"/>
      <c r="BO267" s="46"/>
      <c r="BP267" s="46"/>
      <c r="BQ267" s="46"/>
      <c r="BR267" s="198"/>
      <c r="BS267" s="46"/>
      <c r="BT267" s="317"/>
      <c r="BU267" s="317"/>
      <c r="BV267" s="317"/>
      <c r="BW267" s="317"/>
      <c r="BX267" s="317"/>
      <c r="BY267" s="317"/>
      <c r="BZ267" s="317"/>
      <c r="CA267" s="317"/>
      <c r="CB267" s="317"/>
      <c r="CC267" s="198"/>
      <c r="CD267" s="198"/>
      <c r="CE267" s="198"/>
      <c r="CF267" s="198"/>
      <c r="CG267" s="198"/>
      <c r="CH267" s="198"/>
      <c r="CI267" s="198"/>
      <c r="CJ267" s="198"/>
      <c r="CK267" s="46"/>
      <c r="CL267" s="46"/>
      <c r="CM267" s="46"/>
      <c r="CN267" s="46"/>
      <c r="CO267" s="46"/>
      <c r="CP267" s="46"/>
      <c r="CQ267" s="46"/>
      <c r="CR267" s="46"/>
      <c r="CS267" s="46"/>
      <c r="CT267" s="46"/>
      <c r="CU267" s="46"/>
      <c r="CV267" s="46"/>
      <c r="CW267" s="46"/>
      <c r="CX267" s="46"/>
      <c r="CY267" s="46"/>
      <c r="CZ267" s="46"/>
      <c r="DA267" s="46"/>
      <c r="DB267" s="198"/>
      <c r="DC267" s="317"/>
      <c r="DD267" s="317"/>
      <c r="DE267" s="317"/>
      <c r="DF267" s="317"/>
      <c r="DG267" s="317"/>
      <c r="DH267" s="317"/>
      <c r="DI267" s="317"/>
      <c r="DJ267" s="317"/>
      <c r="DK267" s="317"/>
      <c r="DL267" s="317"/>
      <c r="DM267" s="317"/>
      <c r="DN267" s="317"/>
      <c r="DO267" s="317"/>
      <c r="DP267" s="317"/>
      <c r="DQ267" s="317"/>
      <c r="DR267" s="317"/>
      <c r="DS267" s="317"/>
      <c r="DT267" s="317"/>
      <c r="DU267" s="46"/>
      <c r="DV267" s="46"/>
      <c r="DW267" s="46"/>
      <c r="DX267" s="46"/>
      <c r="DY267" s="46"/>
      <c r="DZ267" s="46"/>
      <c r="EA267" s="46"/>
      <c r="EB267" s="46"/>
      <c r="EC267" s="46"/>
      <c r="ED267" s="46"/>
      <c r="EE267" s="46"/>
      <c r="EF267" s="46"/>
      <c r="EG267" s="46"/>
      <c r="EH267" s="46"/>
      <c r="EI267" s="46"/>
      <c r="EJ267" s="46"/>
      <c r="EK267" s="46"/>
      <c r="EL267" s="198"/>
      <c r="EM267" s="317"/>
      <c r="FE267" s="46"/>
      <c r="FF267" s="46"/>
      <c r="FG267" s="46"/>
      <c r="FH267" s="46"/>
      <c r="FI267" s="46"/>
      <c r="FJ267" s="46"/>
      <c r="FK267" s="46"/>
      <c r="FL267" s="46"/>
      <c r="FM267" s="46"/>
      <c r="FN267" s="46"/>
      <c r="FO267" s="46"/>
      <c r="FP267" s="46"/>
      <c r="FQ267" s="46"/>
      <c r="FR267" s="46"/>
      <c r="FS267" s="46"/>
      <c r="FT267" s="46"/>
      <c r="FU267" s="46"/>
      <c r="FV267" s="198"/>
      <c r="FW267" s="317"/>
    </row>
    <row r="268" spans="2:186" hidden="1">
      <c r="B268" s="185"/>
      <c r="C268" s="186"/>
      <c r="D268" s="228"/>
      <c r="E268" s="228"/>
      <c r="F268" s="228"/>
      <c r="G268" s="228"/>
      <c r="H268" s="228"/>
      <c r="I268" s="228"/>
      <c r="J268" s="228"/>
      <c r="K268" s="228"/>
      <c r="L268" s="228"/>
      <c r="M268" s="228"/>
      <c r="N268" s="228"/>
      <c r="O268" s="228"/>
      <c r="P268" s="228"/>
      <c r="Q268" s="228"/>
      <c r="R268" s="228"/>
      <c r="S268" s="228"/>
      <c r="T268" s="228"/>
      <c r="BA268" s="326" t="s">
        <v>674</v>
      </c>
      <c r="BB268" s="319">
        <v>24</v>
      </c>
      <c r="BC268" s="315">
        <f>MATCH($C$39,BB269:BZ269,0)-1</f>
        <v>4</v>
      </c>
      <c r="BD268" s="46"/>
      <c r="BE268" s="46"/>
      <c r="BF268" s="46"/>
      <c r="BG268" s="46"/>
      <c r="BH268" s="46"/>
      <c r="BI268" s="46"/>
      <c r="BJ268" s="46"/>
      <c r="BK268" s="46"/>
      <c r="BL268" s="46"/>
      <c r="BM268" s="46"/>
      <c r="BN268" s="46"/>
      <c r="BO268" s="46"/>
      <c r="BP268" s="46"/>
      <c r="BQ268" s="46"/>
      <c r="BR268" s="320"/>
      <c r="BS268" s="317"/>
      <c r="BT268" s="317"/>
      <c r="BU268" s="317"/>
      <c r="BV268" s="317"/>
      <c r="BW268" s="317"/>
      <c r="BX268" s="317"/>
      <c r="BY268" s="317"/>
      <c r="BZ268" s="317"/>
      <c r="CC268" s="34"/>
      <c r="CD268" s="34"/>
      <c r="CE268" s="34"/>
      <c r="CF268" s="34"/>
      <c r="CG268" s="34"/>
      <c r="CH268" s="34"/>
      <c r="CI268" s="34"/>
      <c r="CJ268" s="34"/>
      <c r="CK268" s="326" t="s">
        <v>674</v>
      </c>
      <c r="CL268" s="319">
        <v>25</v>
      </c>
      <c r="CM268" s="315">
        <f>MATCH($C$39,CL269:DJ269,0)-1</f>
        <v>4</v>
      </c>
      <c r="CN268" s="46"/>
      <c r="CO268" s="46"/>
      <c r="CP268" s="46"/>
      <c r="CQ268" s="46"/>
      <c r="CR268" s="46"/>
      <c r="CS268" s="46"/>
      <c r="CT268" s="46"/>
      <c r="CU268" s="46"/>
      <c r="CV268" s="46"/>
      <c r="CW268" s="46"/>
      <c r="CX268" s="46"/>
      <c r="CY268" s="46"/>
      <c r="CZ268" s="46"/>
      <c r="DA268" s="46"/>
      <c r="DB268" s="320"/>
      <c r="DC268" s="317"/>
      <c r="DD268" s="317"/>
      <c r="DE268" s="317"/>
      <c r="DF268" s="317"/>
      <c r="DG268" s="317"/>
      <c r="DH268" s="317"/>
      <c r="DI268" s="317"/>
      <c r="DJ268" s="317"/>
      <c r="DU268" s="326" t="s">
        <v>674</v>
      </c>
      <c r="DV268" s="319">
        <v>27</v>
      </c>
      <c r="DW268" s="315">
        <f>MATCH($C$39,DV269:ET269,0)-1</f>
        <v>4</v>
      </c>
      <c r="DX268" s="46"/>
      <c r="DY268" s="46"/>
      <c r="DZ268" s="46"/>
      <c r="EA268" s="46"/>
      <c r="EB268" s="46"/>
      <c r="EC268" s="46"/>
      <c r="ED268" s="46"/>
      <c r="EE268" s="46"/>
      <c r="EF268" s="46"/>
      <c r="EG268" s="46"/>
      <c r="EH268" s="46"/>
      <c r="EI268" s="46"/>
      <c r="EJ268" s="46"/>
      <c r="EK268" s="46"/>
      <c r="EL268" s="320"/>
      <c r="EM268" s="317"/>
      <c r="EN268" s="317"/>
      <c r="EO268" s="317"/>
      <c r="EP268" s="317"/>
      <c r="EQ268" s="317"/>
      <c r="ER268" s="317"/>
      <c r="ES268" s="317"/>
      <c r="ET268" s="317"/>
      <c r="FE268" s="326" t="s">
        <v>674</v>
      </c>
      <c r="FF268" s="319">
        <v>26</v>
      </c>
      <c r="FG268" s="315">
        <f>MATCH($C$39,FF269:GD269,0)-1</f>
        <v>4</v>
      </c>
      <c r="FH268" s="46"/>
      <c r="FI268" s="46"/>
      <c r="FJ268" s="46"/>
      <c r="FK268" s="46"/>
      <c r="FL268" s="46"/>
      <c r="FM268" s="46"/>
      <c r="FN268" s="46"/>
      <c r="FO268" s="46"/>
      <c r="FP268" s="46"/>
      <c r="FQ268" s="46"/>
      <c r="FR268" s="46"/>
      <c r="FS268" s="46"/>
      <c r="FT268" s="46"/>
      <c r="FU268" s="46"/>
      <c r="FV268" s="320"/>
      <c r="FW268" s="317"/>
      <c r="FX268" s="317"/>
      <c r="FY268" s="317"/>
      <c r="FZ268" s="317"/>
      <c r="GA268" s="317"/>
      <c r="GB268" s="317"/>
      <c r="GC268" s="317"/>
      <c r="GD268" s="317"/>
    </row>
    <row r="269" spans="2:186" ht="15" hidden="1">
      <c r="B269" s="185"/>
      <c r="C269" s="186"/>
      <c r="D269" s="228"/>
      <c r="E269" s="228"/>
      <c r="F269" s="228"/>
      <c r="G269" s="228"/>
      <c r="H269" s="228"/>
      <c r="I269" s="228"/>
      <c r="J269" s="228"/>
      <c r="K269" s="228"/>
      <c r="L269" s="228"/>
      <c r="M269" s="228"/>
      <c r="N269" s="228"/>
      <c r="O269" s="228"/>
      <c r="P269" s="228"/>
      <c r="Q269" s="228"/>
      <c r="R269" s="228"/>
      <c r="S269" s="228"/>
      <c r="T269" s="228"/>
      <c r="BA269" s="327" t="s">
        <v>675</v>
      </c>
      <c r="BB269" s="324">
        <v>300</v>
      </c>
      <c r="BC269" s="324">
        <v>350</v>
      </c>
      <c r="BD269" s="324">
        <v>400</v>
      </c>
      <c r="BE269" s="324">
        <v>450</v>
      </c>
      <c r="BF269" s="324">
        <v>500</v>
      </c>
      <c r="BG269" s="324">
        <v>550</v>
      </c>
      <c r="BH269" s="324">
        <v>600</v>
      </c>
      <c r="BI269" s="324">
        <v>650</v>
      </c>
      <c r="BJ269" s="324">
        <v>700</v>
      </c>
      <c r="BK269" s="324">
        <v>750</v>
      </c>
      <c r="BL269" s="325">
        <v>800</v>
      </c>
      <c r="BM269" s="324">
        <v>850</v>
      </c>
      <c r="BN269" s="325">
        <v>900</v>
      </c>
      <c r="BO269" s="324">
        <v>950</v>
      </c>
      <c r="BP269" s="325">
        <v>1000</v>
      </c>
      <c r="BQ269" s="324">
        <v>1050</v>
      </c>
      <c r="BR269" s="325">
        <v>1100</v>
      </c>
      <c r="BS269" s="324">
        <v>1150</v>
      </c>
      <c r="BT269" s="325">
        <v>1200</v>
      </c>
      <c r="BU269" s="324">
        <v>1250</v>
      </c>
      <c r="BV269" s="325">
        <v>1300</v>
      </c>
      <c r="BW269" s="324">
        <v>1350</v>
      </c>
      <c r="BX269" s="325">
        <v>1400</v>
      </c>
      <c r="BY269" s="324">
        <v>1450</v>
      </c>
      <c r="BZ269" s="325">
        <v>1500</v>
      </c>
      <c r="CA269"/>
      <c r="CB269"/>
      <c r="CK269" s="327" t="s">
        <v>675</v>
      </c>
      <c r="CL269" s="324">
        <v>300</v>
      </c>
      <c r="CM269" s="324">
        <v>350</v>
      </c>
      <c r="CN269" s="324">
        <v>400</v>
      </c>
      <c r="CO269" s="324">
        <v>450</v>
      </c>
      <c r="CP269" s="324">
        <v>500</v>
      </c>
      <c r="CQ269" s="324">
        <v>550</v>
      </c>
      <c r="CR269" s="324">
        <v>600</v>
      </c>
      <c r="CS269" s="324">
        <v>650</v>
      </c>
      <c r="CT269" s="324">
        <v>700</v>
      </c>
      <c r="CU269" s="324">
        <v>750</v>
      </c>
      <c r="CV269" s="325">
        <v>800</v>
      </c>
      <c r="CW269" s="324">
        <v>850</v>
      </c>
      <c r="CX269" s="325">
        <v>900</v>
      </c>
      <c r="CY269" s="324">
        <v>950</v>
      </c>
      <c r="CZ269" s="325">
        <v>1000</v>
      </c>
      <c r="DA269" s="324">
        <v>1050</v>
      </c>
      <c r="DB269" s="325">
        <v>1100</v>
      </c>
      <c r="DC269" s="324">
        <v>1150</v>
      </c>
      <c r="DD269" s="325">
        <v>1200</v>
      </c>
      <c r="DE269" s="324">
        <v>1250</v>
      </c>
      <c r="DF269" s="325">
        <v>1300</v>
      </c>
      <c r="DG269" s="324">
        <v>1350</v>
      </c>
      <c r="DH269" s="325">
        <v>1400</v>
      </c>
      <c r="DI269" s="324">
        <v>1450</v>
      </c>
      <c r="DJ269" s="325">
        <v>1500</v>
      </c>
      <c r="DK269"/>
      <c r="DL269"/>
      <c r="DM269"/>
      <c r="DN269"/>
      <c r="DO269"/>
      <c r="DP269"/>
      <c r="DQ269"/>
      <c r="DR269"/>
      <c r="DS269"/>
      <c r="DT269"/>
      <c r="DU269" s="327" t="s">
        <v>675</v>
      </c>
      <c r="DV269" s="324">
        <v>300</v>
      </c>
      <c r="DW269" s="324">
        <v>350</v>
      </c>
      <c r="DX269" s="324">
        <v>400</v>
      </c>
      <c r="DY269" s="324">
        <v>450</v>
      </c>
      <c r="DZ269" s="324">
        <v>500</v>
      </c>
      <c r="EA269" s="324">
        <v>550</v>
      </c>
      <c r="EB269" s="324">
        <v>600</v>
      </c>
      <c r="EC269" s="324">
        <v>650</v>
      </c>
      <c r="ED269" s="324">
        <v>700</v>
      </c>
      <c r="EE269" s="324">
        <v>750</v>
      </c>
      <c r="EF269" s="325">
        <v>800</v>
      </c>
      <c r="EG269" s="324">
        <v>850</v>
      </c>
      <c r="EH269" s="325">
        <v>900</v>
      </c>
      <c r="EI269" s="324">
        <v>950</v>
      </c>
      <c r="EJ269" s="325">
        <v>1000</v>
      </c>
      <c r="EK269" s="324">
        <v>1050</v>
      </c>
      <c r="EL269" s="325">
        <v>1100</v>
      </c>
      <c r="EM269" s="324">
        <v>1150</v>
      </c>
      <c r="EN269" s="325">
        <v>1200</v>
      </c>
      <c r="EO269" s="324">
        <v>1250</v>
      </c>
      <c r="EP269" s="325">
        <v>1300</v>
      </c>
      <c r="EQ269" s="324">
        <v>1350</v>
      </c>
      <c r="ER269" s="325">
        <v>1400</v>
      </c>
      <c r="ES269" s="324">
        <v>1450</v>
      </c>
      <c r="ET269" s="325">
        <v>1500</v>
      </c>
      <c r="FE269" s="327" t="s">
        <v>675</v>
      </c>
      <c r="FF269" s="324">
        <v>300</v>
      </c>
      <c r="FG269" s="324">
        <v>350</v>
      </c>
      <c r="FH269" s="324">
        <v>400</v>
      </c>
      <c r="FI269" s="324">
        <v>450</v>
      </c>
      <c r="FJ269" s="324">
        <v>500</v>
      </c>
      <c r="FK269" s="324">
        <v>550</v>
      </c>
      <c r="FL269" s="324">
        <v>600</v>
      </c>
      <c r="FM269" s="324">
        <v>650</v>
      </c>
      <c r="FN269" s="324">
        <v>700</v>
      </c>
      <c r="FO269" s="324">
        <v>750</v>
      </c>
      <c r="FP269" s="325">
        <v>800</v>
      </c>
      <c r="FQ269" s="324">
        <v>850</v>
      </c>
      <c r="FR269" s="325">
        <v>900</v>
      </c>
      <c r="FS269" s="324">
        <v>950</v>
      </c>
      <c r="FT269" s="325">
        <v>1000</v>
      </c>
      <c r="FU269" s="324">
        <v>1050</v>
      </c>
      <c r="FV269" s="325">
        <v>1100</v>
      </c>
      <c r="FW269" s="324">
        <v>1150</v>
      </c>
      <c r="FX269" s="325">
        <v>1200</v>
      </c>
      <c r="FY269" s="324">
        <v>1250</v>
      </c>
      <c r="FZ269" s="325">
        <v>1300</v>
      </c>
      <c r="GA269" s="324">
        <v>1350</v>
      </c>
      <c r="GB269" s="325">
        <v>1400</v>
      </c>
      <c r="GC269" s="324">
        <v>1450</v>
      </c>
      <c r="GD269" s="325">
        <v>1500</v>
      </c>
    </row>
    <row r="270" spans="2:186" hidden="1">
      <c r="B270" s="66" t="s">
        <v>1342</v>
      </c>
      <c r="C270" s="78" t="str">
        <f>DEC2HEX(D270,8)</f>
        <v>00000004</v>
      </c>
      <c r="D270" s="322">
        <f>ROUNDUP(C37/(C35/1000)/8,0)</f>
        <v>4</v>
      </c>
      <c r="E270" s="228"/>
      <c r="F270" s="228"/>
      <c r="G270" s="228"/>
      <c r="H270" s="228"/>
      <c r="I270" s="228"/>
      <c r="J270" s="228"/>
      <c r="K270" s="228"/>
      <c r="L270" s="228"/>
      <c r="M270" s="228"/>
      <c r="N270" s="228"/>
      <c r="O270" s="228"/>
      <c r="P270" s="228"/>
      <c r="Q270" s="228"/>
      <c r="R270" s="228"/>
      <c r="S270" s="228"/>
      <c r="T270" s="228"/>
      <c r="BA270" s="313" t="s">
        <v>679</v>
      </c>
      <c r="BB270" s="35">
        <v>2</v>
      </c>
      <c r="BC270" s="35">
        <v>2</v>
      </c>
      <c r="BD270" s="35">
        <v>2</v>
      </c>
      <c r="BE270" s="35">
        <v>2</v>
      </c>
      <c r="BF270" s="35">
        <v>2</v>
      </c>
      <c r="BG270" s="35">
        <v>2</v>
      </c>
      <c r="BH270" s="35">
        <v>2</v>
      </c>
      <c r="BI270" s="35">
        <v>2</v>
      </c>
      <c r="BJ270" s="35">
        <v>2</v>
      </c>
      <c r="BK270" s="35">
        <v>2</v>
      </c>
      <c r="BL270" s="35">
        <v>2</v>
      </c>
      <c r="BM270" s="35">
        <v>2</v>
      </c>
      <c r="BN270" s="35">
        <v>2</v>
      </c>
      <c r="BO270" s="35">
        <v>2</v>
      </c>
      <c r="BP270" s="35">
        <v>2</v>
      </c>
      <c r="BQ270" s="35">
        <v>2</v>
      </c>
      <c r="BR270" s="35">
        <v>2</v>
      </c>
      <c r="BS270" s="35">
        <v>2</v>
      </c>
      <c r="BT270" s="35">
        <v>2</v>
      </c>
      <c r="BU270" s="35">
        <v>2</v>
      </c>
      <c r="BV270" s="35">
        <v>2</v>
      </c>
      <c r="BW270" s="35">
        <v>2</v>
      </c>
      <c r="BX270" s="35">
        <v>2</v>
      </c>
      <c r="BY270" s="35">
        <v>2</v>
      </c>
      <c r="BZ270" s="35">
        <v>2</v>
      </c>
      <c r="CA270"/>
      <c r="CB270"/>
      <c r="CK270" s="313" t="s">
        <v>679</v>
      </c>
      <c r="CL270" s="460">
        <v>2</v>
      </c>
      <c r="CM270" s="460">
        <v>2</v>
      </c>
      <c r="CN270" s="460">
        <v>2</v>
      </c>
      <c r="CO270" s="460">
        <v>2</v>
      </c>
      <c r="CP270" s="460">
        <v>2</v>
      </c>
      <c r="CQ270" s="460">
        <v>2</v>
      </c>
      <c r="CR270" s="460">
        <v>2</v>
      </c>
      <c r="CS270" s="460">
        <v>2</v>
      </c>
      <c r="CT270" s="460">
        <v>2</v>
      </c>
      <c r="CU270" s="460">
        <v>2</v>
      </c>
      <c r="CV270" s="460">
        <v>2</v>
      </c>
      <c r="CW270" s="460">
        <v>2</v>
      </c>
      <c r="CX270" s="460">
        <v>2</v>
      </c>
      <c r="CY270" s="460">
        <v>2</v>
      </c>
      <c r="CZ270" s="460">
        <v>2</v>
      </c>
      <c r="DA270" s="35">
        <v>2</v>
      </c>
      <c r="DB270" s="35">
        <v>2</v>
      </c>
      <c r="DC270" s="35">
        <v>2</v>
      </c>
      <c r="DD270" s="35">
        <v>2</v>
      </c>
      <c r="DE270" s="35">
        <v>2</v>
      </c>
      <c r="DF270" s="35">
        <v>2</v>
      </c>
      <c r="DG270" s="35">
        <v>2</v>
      </c>
      <c r="DH270" s="35">
        <v>2</v>
      </c>
      <c r="DI270" s="35">
        <v>2</v>
      </c>
      <c r="DJ270" s="35">
        <v>2</v>
      </c>
      <c r="DK270"/>
      <c r="DL270"/>
      <c r="DM270"/>
      <c r="DN270"/>
      <c r="DO270"/>
      <c r="DP270"/>
      <c r="DQ270"/>
      <c r="DR270"/>
      <c r="DS270"/>
      <c r="DT270"/>
      <c r="DU270" s="313" t="s">
        <v>679</v>
      </c>
      <c r="DV270" s="35">
        <v>2</v>
      </c>
      <c r="DW270" s="35">
        <v>2</v>
      </c>
      <c r="DX270" s="35">
        <v>2</v>
      </c>
      <c r="DY270" s="35">
        <v>2</v>
      </c>
      <c r="DZ270" s="35">
        <v>2</v>
      </c>
      <c r="EA270" s="35">
        <v>2</v>
      </c>
      <c r="EB270" s="35">
        <v>2</v>
      </c>
      <c r="EC270" s="35">
        <v>2</v>
      </c>
      <c r="ED270" s="35">
        <v>2</v>
      </c>
      <c r="EE270" s="35">
        <v>2</v>
      </c>
      <c r="EF270" s="35">
        <v>2</v>
      </c>
      <c r="EG270" s="35">
        <v>2</v>
      </c>
      <c r="EH270" s="35">
        <v>2</v>
      </c>
      <c r="EI270" s="35">
        <v>2</v>
      </c>
      <c r="EJ270" s="35">
        <v>2</v>
      </c>
      <c r="EK270" s="35">
        <v>2</v>
      </c>
      <c r="EL270" s="35">
        <v>2</v>
      </c>
      <c r="EM270" s="35">
        <v>2</v>
      </c>
      <c r="EN270" s="35">
        <v>2</v>
      </c>
      <c r="EO270" s="35">
        <v>2</v>
      </c>
      <c r="EP270" s="35">
        <v>2</v>
      </c>
      <c r="EQ270" s="35">
        <v>2</v>
      </c>
      <c r="ER270" s="35">
        <v>2</v>
      </c>
      <c r="ES270" s="35">
        <v>2</v>
      </c>
      <c r="ET270" s="35">
        <v>2</v>
      </c>
      <c r="FE270" s="313" t="s">
        <v>679</v>
      </c>
      <c r="FF270" s="35">
        <v>2</v>
      </c>
      <c r="FG270" s="35">
        <v>2</v>
      </c>
      <c r="FH270" s="35">
        <v>2</v>
      </c>
      <c r="FI270" s="35">
        <v>2</v>
      </c>
      <c r="FJ270" s="35">
        <v>2</v>
      </c>
      <c r="FK270" s="35">
        <v>2</v>
      </c>
      <c r="FL270" s="35">
        <v>2</v>
      </c>
      <c r="FM270" s="35">
        <v>2</v>
      </c>
      <c r="FN270" s="35">
        <v>2</v>
      </c>
      <c r="FO270" s="35">
        <v>2</v>
      </c>
      <c r="FP270" s="35">
        <v>2</v>
      </c>
      <c r="FQ270" s="35">
        <v>2</v>
      </c>
      <c r="FR270" s="35">
        <v>2</v>
      </c>
      <c r="FS270" s="35">
        <v>2</v>
      </c>
      <c r="FT270" s="35">
        <v>2</v>
      </c>
      <c r="FU270" s="35">
        <v>2</v>
      </c>
      <c r="FV270" s="35">
        <v>2</v>
      </c>
      <c r="FW270" s="35">
        <v>2</v>
      </c>
      <c r="FX270" s="35">
        <v>2</v>
      </c>
      <c r="FY270" s="35">
        <v>2</v>
      </c>
      <c r="FZ270" s="35">
        <v>2</v>
      </c>
      <c r="GA270" s="35">
        <v>2</v>
      </c>
      <c r="GB270" s="35">
        <v>2</v>
      </c>
      <c r="GC270" s="35">
        <v>2</v>
      </c>
      <c r="GD270" s="35">
        <v>2</v>
      </c>
    </row>
    <row r="271" spans="2:186" hidden="1">
      <c r="D271" s="228"/>
      <c r="E271" s="228"/>
      <c r="F271" s="228"/>
      <c r="G271" s="228"/>
      <c r="H271" s="228"/>
      <c r="I271" s="228"/>
      <c r="J271" s="228"/>
      <c r="K271" s="228"/>
      <c r="L271" s="228"/>
      <c r="M271" s="228"/>
      <c r="N271" s="228"/>
      <c r="O271" s="228"/>
      <c r="P271" s="228"/>
      <c r="Q271" s="228"/>
      <c r="R271" s="228"/>
      <c r="S271" s="228"/>
      <c r="T271" s="228"/>
      <c r="BA271" s="313" t="s">
        <v>914</v>
      </c>
      <c r="BB271" s="35">
        <v>2</v>
      </c>
      <c r="BC271" s="35">
        <v>3</v>
      </c>
      <c r="BD271" s="35">
        <v>2</v>
      </c>
      <c r="BE271" s="35">
        <v>1</v>
      </c>
      <c r="BF271" s="35">
        <v>2</v>
      </c>
      <c r="BG271" s="35">
        <v>0</v>
      </c>
      <c r="BH271" s="35">
        <v>2</v>
      </c>
      <c r="BI271" s="35">
        <v>0</v>
      </c>
      <c r="BJ271" s="35">
        <v>3</v>
      </c>
      <c r="BK271" s="35">
        <v>3</v>
      </c>
      <c r="BL271" s="35">
        <v>2</v>
      </c>
      <c r="BM271" s="35">
        <v>1</v>
      </c>
      <c r="BN271" s="35">
        <v>1</v>
      </c>
      <c r="BO271" s="35">
        <v>1</v>
      </c>
      <c r="BP271" s="35">
        <v>2</v>
      </c>
      <c r="BQ271" s="35">
        <v>3</v>
      </c>
      <c r="BR271" s="35">
        <v>3</v>
      </c>
      <c r="BS271" s="35">
        <v>3</v>
      </c>
      <c r="BT271" s="35">
        <v>3</v>
      </c>
      <c r="BU271" s="35">
        <v>3</v>
      </c>
      <c r="BV271" s="35">
        <v>3</v>
      </c>
      <c r="BW271" s="35">
        <v>3</v>
      </c>
      <c r="BX271" s="35">
        <v>3</v>
      </c>
      <c r="BY271" s="35">
        <v>3</v>
      </c>
      <c r="BZ271" s="35">
        <v>3</v>
      </c>
      <c r="CA271"/>
      <c r="CB271"/>
      <c r="CK271" s="313" t="s">
        <v>673</v>
      </c>
      <c r="CL271" s="35">
        <v>0</v>
      </c>
      <c r="CM271" s="35">
        <v>0</v>
      </c>
      <c r="CN271" s="35">
        <v>0</v>
      </c>
      <c r="CO271" s="35">
        <v>0</v>
      </c>
      <c r="CP271" s="35">
        <v>1</v>
      </c>
      <c r="CQ271" s="35">
        <v>0</v>
      </c>
      <c r="CR271" s="35">
        <v>0</v>
      </c>
      <c r="CS271" s="35">
        <v>0</v>
      </c>
      <c r="CT271" s="35">
        <v>0</v>
      </c>
      <c r="CU271" s="35">
        <v>0</v>
      </c>
      <c r="CV271" s="35">
        <v>0</v>
      </c>
      <c r="CW271" s="35">
        <v>0</v>
      </c>
      <c r="CX271" s="35">
        <v>0</v>
      </c>
      <c r="CY271" s="35">
        <v>0</v>
      </c>
      <c r="CZ271" s="35">
        <v>0</v>
      </c>
      <c r="DA271" s="35">
        <v>0</v>
      </c>
      <c r="DB271" s="35">
        <v>0</v>
      </c>
      <c r="DC271" s="35">
        <v>0</v>
      </c>
      <c r="DD271" s="35">
        <v>0</v>
      </c>
      <c r="DE271" s="35">
        <v>0</v>
      </c>
      <c r="DF271" s="35">
        <v>0</v>
      </c>
      <c r="DG271" s="35">
        <v>0</v>
      </c>
      <c r="DH271" s="35">
        <v>0</v>
      </c>
      <c r="DI271" s="35">
        <v>0</v>
      </c>
      <c r="DJ271" s="35">
        <v>0</v>
      </c>
      <c r="DK271"/>
      <c r="DL271"/>
      <c r="DM271"/>
      <c r="DN271"/>
      <c r="DO271"/>
      <c r="DP271"/>
      <c r="DQ271"/>
      <c r="DR271"/>
      <c r="DS271"/>
      <c r="DT271"/>
      <c r="DU271" s="313" t="s">
        <v>673</v>
      </c>
      <c r="DV271" s="35">
        <v>3</v>
      </c>
      <c r="DW271" s="35">
        <v>0</v>
      </c>
      <c r="DX271" s="35">
        <v>2</v>
      </c>
      <c r="DY271" s="35">
        <v>2</v>
      </c>
      <c r="DZ271" s="35">
        <v>0</v>
      </c>
      <c r="EA271" s="35">
        <v>4</v>
      </c>
      <c r="EB271" s="35">
        <v>3</v>
      </c>
      <c r="EC271" s="35">
        <v>0</v>
      </c>
      <c r="ED271" s="35">
        <v>0</v>
      </c>
      <c r="EE271" s="35">
        <v>4</v>
      </c>
      <c r="EF271" s="35">
        <v>4</v>
      </c>
      <c r="EG271" s="35">
        <v>1</v>
      </c>
      <c r="EH271" s="35">
        <v>2</v>
      </c>
      <c r="EI271" s="35">
        <v>4</v>
      </c>
      <c r="EJ271" s="35">
        <v>0</v>
      </c>
      <c r="EK271" s="35">
        <v>4</v>
      </c>
      <c r="EL271" s="35">
        <v>3</v>
      </c>
      <c r="EM271" s="35">
        <v>4</v>
      </c>
      <c r="EN271" s="35">
        <v>4</v>
      </c>
      <c r="EO271" s="35">
        <v>2</v>
      </c>
      <c r="EP271" s="35">
        <v>4</v>
      </c>
      <c r="EQ271" s="35">
        <v>4</v>
      </c>
      <c r="ER271" s="35">
        <v>4</v>
      </c>
      <c r="ES271" s="35">
        <v>2</v>
      </c>
      <c r="ET271" s="35">
        <v>3</v>
      </c>
      <c r="FE271" s="313" t="s">
        <v>673</v>
      </c>
      <c r="FF271" s="35">
        <v>3</v>
      </c>
      <c r="FG271" s="35">
        <v>0</v>
      </c>
      <c r="FH271" s="35">
        <v>2</v>
      </c>
      <c r="FI271" s="35">
        <v>2</v>
      </c>
      <c r="FJ271" s="35">
        <v>0</v>
      </c>
      <c r="FK271" s="35">
        <v>4</v>
      </c>
      <c r="FL271" s="35">
        <v>3</v>
      </c>
      <c r="FM271" s="35">
        <v>0</v>
      </c>
      <c r="FN271" s="35">
        <v>0</v>
      </c>
      <c r="FO271" s="35">
        <v>4</v>
      </c>
      <c r="FP271" s="35">
        <v>3</v>
      </c>
      <c r="FQ271" s="35">
        <v>1</v>
      </c>
      <c r="FR271" s="35">
        <v>4</v>
      </c>
      <c r="FS271" s="35">
        <v>4</v>
      </c>
      <c r="FT271" s="35">
        <v>3</v>
      </c>
      <c r="FU271" s="35">
        <v>4</v>
      </c>
      <c r="FV271" s="35">
        <v>2</v>
      </c>
      <c r="FW271" s="35">
        <v>3</v>
      </c>
      <c r="FX271" s="35">
        <v>4</v>
      </c>
      <c r="FY271" s="35">
        <v>4</v>
      </c>
      <c r="FZ271" s="35">
        <v>4</v>
      </c>
      <c r="GA271" s="35">
        <v>4</v>
      </c>
      <c r="GB271" s="35">
        <v>4</v>
      </c>
      <c r="GC271" s="35">
        <v>3</v>
      </c>
      <c r="GD271" s="35">
        <v>2</v>
      </c>
    </row>
    <row r="272" spans="2:186" hidden="1">
      <c r="D272" s="228"/>
      <c r="E272" s="228"/>
      <c r="F272" s="228"/>
      <c r="G272" s="228"/>
      <c r="H272" s="228"/>
      <c r="I272" s="228"/>
      <c r="J272" s="228"/>
      <c r="K272" s="228"/>
      <c r="L272" s="228"/>
      <c r="M272" s="228"/>
      <c r="N272" s="228"/>
      <c r="O272" s="228"/>
      <c r="P272" s="228"/>
      <c r="Q272" s="228"/>
      <c r="R272" s="228"/>
      <c r="S272" s="228"/>
      <c r="T272" s="228"/>
      <c r="BA272" s="313" t="s">
        <v>913</v>
      </c>
      <c r="BB272" s="318">
        <v>1</v>
      </c>
      <c r="BC272" s="318">
        <v>1</v>
      </c>
      <c r="BD272" s="318">
        <v>1</v>
      </c>
      <c r="BE272" s="318">
        <v>1</v>
      </c>
      <c r="BF272" s="318">
        <v>1</v>
      </c>
      <c r="BG272" s="318">
        <v>0</v>
      </c>
      <c r="BH272" s="318">
        <v>0</v>
      </c>
      <c r="BI272" s="318">
        <v>0</v>
      </c>
      <c r="BJ272" s="318">
        <v>0</v>
      </c>
      <c r="BK272" s="318">
        <v>0</v>
      </c>
      <c r="BL272" s="318">
        <v>0</v>
      </c>
      <c r="BM272" s="318">
        <v>0</v>
      </c>
      <c r="BN272" s="318">
        <v>0</v>
      </c>
      <c r="BO272" s="318">
        <v>0</v>
      </c>
      <c r="BP272" s="318">
        <v>0</v>
      </c>
      <c r="BQ272" s="318">
        <v>0</v>
      </c>
      <c r="BR272" s="318">
        <v>0</v>
      </c>
      <c r="BS272" s="36">
        <v>0</v>
      </c>
      <c r="BT272" s="36">
        <v>0</v>
      </c>
      <c r="BU272" s="36">
        <v>0</v>
      </c>
      <c r="BV272" s="36">
        <v>0</v>
      </c>
      <c r="BW272" s="36">
        <v>0</v>
      </c>
      <c r="BX272" s="36">
        <v>0</v>
      </c>
      <c r="BY272" s="36">
        <v>0</v>
      </c>
      <c r="BZ272" s="36">
        <v>0</v>
      </c>
      <c r="CA272"/>
      <c r="CB272"/>
      <c r="CK272" s="313" t="s">
        <v>672</v>
      </c>
      <c r="CL272" s="318">
        <v>1</v>
      </c>
      <c r="CM272" s="318">
        <v>1</v>
      </c>
      <c r="CN272" s="318">
        <v>1</v>
      </c>
      <c r="CO272" s="318">
        <v>1</v>
      </c>
      <c r="CP272" s="318">
        <v>1</v>
      </c>
      <c r="CQ272" s="318">
        <v>0</v>
      </c>
      <c r="CR272" s="318">
        <v>0</v>
      </c>
      <c r="CS272" s="318">
        <v>0</v>
      </c>
      <c r="CT272" s="318">
        <v>0</v>
      </c>
      <c r="CU272" s="318">
        <v>0</v>
      </c>
      <c r="CV272" s="318">
        <v>0</v>
      </c>
      <c r="CW272" s="318">
        <v>0</v>
      </c>
      <c r="CX272" s="318">
        <v>0</v>
      </c>
      <c r="CY272" s="318">
        <v>0</v>
      </c>
      <c r="CZ272" s="318">
        <v>0</v>
      </c>
      <c r="DA272" s="318">
        <v>0</v>
      </c>
      <c r="DB272" s="318">
        <v>0</v>
      </c>
      <c r="DC272" s="318">
        <v>0</v>
      </c>
      <c r="DD272" s="318">
        <v>0</v>
      </c>
      <c r="DE272" s="318">
        <v>0</v>
      </c>
      <c r="DF272" s="318">
        <v>0</v>
      </c>
      <c r="DG272" s="318">
        <v>0</v>
      </c>
      <c r="DH272" s="318">
        <v>0</v>
      </c>
      <c r="DI272" s="318">
        <v>0</v>
      </c>
      <c r="DJ272" s="318">
        <v>0</v>
      </c>
      <c r="DK272"/>
      <c r="DL272"/>
      <c r="DM272"/>
      <c r="DN272"/>
      <c r="DO272"/>
      <c r="DP272"/>
      <c r="DQ272"/>
      <c r="DR272"/>
      <c r="DS272"/>
      <c r="DT272"/>
      <c r="DU272" s="313" t="s">
        <v>672</v>
      </c>
      <c r="DV272" s="318">
        <v>1</v>
      </c>
      <c r="DW272" s="318">
        <v>1</v>
      </c>
      <c r="DX272" s="318">
        <v>1</v>
      </c>
      <c r="DY272" s="318">
        <v>1</v>
      </c>
      <c r="DZ272" s="318">
        <v>1</v>
      </c>
      <c r="EA272" s="318">
        <v>0</v>
      </c>
      <c r="EB272" s="318">
        <v>0</v>
      </c>
      <c r="EC272" s="318">
        <v>0</v>
      </c>
      <c r="ED272" s="318">
        <v>0</v>
      </c>
      <c r="EE272" s="318">
        <v>0</v>
      </c>
      <c r="EF272" s="318">
        <v>0</v>
      </c>
      <c r="EG272" s="318">
        <v>0</v>
      </c>
      <c r="EH272" s="318">
        <v>0</v>
      </c>
      <c r="EI272" s="318">
        <v>0</v>
      </c>
      <c r="EJ272" s="318">
        <v>0</v>
      </c>
      <c r="EK272" s="318">
        <v>0</v>
      </c>
      <c r="EL272" s="318">
        <v>0</v>
      </c>
      <c r="EM272" s="318">
        <v>0</v>
      </c>
      <c r="EN272" s="318">
        <v>0</v>
      </c>
      <c r="EO272" s="318">
        <v>0</v>
      </c>
      <c r="EP272" s="318">
        <v>0</v>
      </c>
      <c r="EQ272" s="318">
        <v>0</v>
      </c>
      <c r="ER272" s="318">
        <v>0</v>
      </c>
      <c r="ES272" s="318">
        <v>0</v>
      </c>
      <c r="ET272" s="318">
        <v>0</v>
      </c>
      <c r="FE272" s="313" t="s">
        <v>672</v>
      </c>
      <c r="FF272" s="318">
        <v>1</v>
      </c>
      <c r="FG272" s="318">
        <v>1</v>
      </c>
      <c r="FH272" s="318">
        <v>1</v>
      </c>
      <c r="FI272" s="318">
        <v>1</v>
      </c>
      <c r="FJ272" s="318">
        <v>1</v>
      </c>
      <c r="FK272" s="318">
        <v>0</v>
      </c>
      <c r="FL272" s="318">
        <v>0</v>
      </c>
      <c r="FM272" s="318">
        <v>0</v>
      </c>
      <c r="FN272" s="318">
        <v>0</v>
      </c>
      <c r="FO272" s="318">
        <v>0</v>
      </c>
      <c r="FP272" s="318">
        <v>0</v>
      </c>
      <c r="FQ272" s="318">
        <v>0</v>
      </c>
      <c r="FR272" s="318">
        <v>0</v>
      </c>
      <c r="FS272" s="318">
        <v>0</v>
      </c>
      <c r="FT272" s="318">
        <v>0</v>
      </c>
      <c r="FU272" s="318">
        <v>0</v>
      </c>
      <c r="FV272" s="318">
        <v>0</v>
      </c>
      <c r="FW272" s="318">
        <v>0</v>
      </c>
      <c r="FX272" s="318">
        <v>0</v>
      </c>
      <c r="FY272" s="318">
        <v>0</v>
      </c>
      <c r="FZ272" s="318">
        <v>0</v>
      </c>
      <c r="GA272" s="318">
        <v>0</v>
      </c>
      <c r="GB272" s="318">
        <v>0</v>
      </c>
      <c r="GC272" s="318">
        <v>0</v>
      </c>
      <c r="GD272" s="318">
        <v>0</v>
      </c>
    </row>
    <row r="273" spans="2:186" hidden="1">
      <c r="D273" s="228"/>
      <c r="E273" s="228"/>
      <c r="F273" s="228"/>
      <c r="G273" s="228"/>
      <c r="H273" s="228"/>
      <c r="I273" s="228"/>
      <c r="J273" s="228"/>
      <c r="K273" s="228"/>
      <c r="L273" s="228"/>
      <c r="M273" s="228"/>
      <c r="N273" s="228"/>
      <c r="O273" s="228"/>
      <c r="P273" s="228"/>
      <c r="Q273" s="228"/>
      <c r="R273" s="228"/>
      <c r="S273" s="228"/>
      <c r="T273" s="228"/>
      <c r="BA273" s="328" t="s">
        <v>912</v>
      </c>
      <c r="BB273" s="321">
        <f t="shared" ref="BB273:BZ273" si="10">BB269/($BB$268/2^BB272/(BB271+1))-1</f>
        <v>74</v>
      </c>
      <c r="BC273" s="321">
        <f t="shared" si="10"/>
        <v>115.66666666666667</v>
      </c>
      <c r="BD273" s="321">
        <f t="shared" si="10"/>
        <v>99</v>
      </c>
      <c r="BE273" s="321">
        <f t="shared" si="10"/>
        <v>74</v>
      </c>
      <c r="BF273" s="321">
        <f t="shared" si="10"/>
        <v>124</v>
      </c>
      <c r="BG273" s="321">
        <f t="shared" si="10"/>
        <v>21.916666666666668</v>
      </c>
      <c r="BH273" s="321">
        <f t="shared" si="10"/>
        <v>74</v>
      </c>
      <c r="BI273" s="321">
        <f t="shared" si="10"/>
        <v>26.083333333333332</v>
      </c>
      <c r="BJ273" s="321">
        <f t="shared" si="10"/>
        <v>115.66666666666667</v>
      </c>
      <c r="BK273" s="321">
        <f t="shared" si="10"/>
        <v>124</v>
      </c>
      <c r="BL273" s="321">
        <f t="shared" si="10"/>
        <v>99</v>
      </c>
      <c r="BM273" s="321">
        <f t="shared" si="10"/>
        <v>69.833333333333329</v>
      </c>
      <c r="BN273" s="321">
        <f t="shared" si="10"/>
        <v>74</v>
      </c>
      <c r="BO273" s="321">
        <f t="shared" si="10"/>
        <v>78.166666666666671</v>
      </c>
      <c r="BP273" s="321">
        <f t="shared" si="10"/>
        <v>124</v>
      </c>
      <c r="BQ273" s="321">
        <f>BQ269/($BB$268/2^BQ272/(BQ271+1))-1</f>
        <v>174</v>
      </c>
      <c r="BR273" s="321">
        <f t="shared" si="10"/>
        <v>182.33333333333334</v>
      </c>
      <c r="BS273" s="321">
        <f t="shared" si="10"/>
        <v>190.66666666666666</v>
      </c>
      <c r="BT273" s="321">
        <f t="shared" si="10"/>
        <v>199</v>
      </c>
      <c r="BU273" s="321">
        <f t="shared" si="10"/>
        <v>207.33333333333334</v>
      </c>
      <c r="BV273" s="321">
        <f>BV269/($BB$268/2^BV272/(BV271+1))-1</f>
        <v>215.66666666666666</v>
      </c>
      <c r="BW273" s="321">
        <f t="shared" si="10"/>
        <v>224</v>
      </c>
      <c r="BX273" s="321">
        <f t="shared" si="10"/>
        <v>232.33333333333334</v>
      </c>
      <c r="BY273" s="321">
        <f t="shared" si="10"/>
        <v>240.66666666666666</v>
      </c>
      <c r="BZ273" s="321">
        <f t="shared" si="10"/>
        <v>249</v>
      </c>
      <c r="CA273"/>
      <c r="CB273"/>
      <c r="CK273" s="328" t="s">
        <v>676</v>
      </c>
      <c r="CL273" s="321">
        <f t="shared" ref="CL273:DJ273" si="11">CL269/($CL$268/2^CL272/(CL271+1))-1</f>
        <v>23</v>
      </c>
      <c r="CM273" s="321">
        <f t="shared" si="11"/>
        <v>27</v>
      </c>
      <c r="CN273" s="321">
        <f t="shared" si="11"/>
        <v>31</v>
      </c>
      <c r="CO273" s="321">
        <f t="shared" si="11"/>
        <v>35</v>
      </c>
      <c r="CP273" s="321">
        <f t="shared" si="11"/>
        <v>79</v>
      </c>
      <c r="CQ273" s="321">
        <f t="shared" si="11"/>
        <v>21</v>
      </c>
      <c r="CR273" s="321">
        <f t="shared" si="11"/>
        <v>23</v>
      </c>
      <c r="CS273" s="321">
        <f t="shared" si="11"/>
        <v>25</v>
      </c>
      <c r="CT273" s="321">
        <f t="shared" si="11"/>
        <v>27</v>
      </c>
      <c r="CU273" s="321">
        <f t="shared" si="11"/>
        <v>29</v>
      </c>
      <c r="CV273" s="321">
        <f t="shared" si="11"/>
        <v>31</v>
      </c>
      <c r="CW273" s="321">
        <f t="shared" si="11"/>
        <v>33</v>
      </c>
      <c r="CX273" s="321">
        <f t="shared" si="11"/>
        <v>35</v>
      </c>
      <c r="CY273" s="321">
        <f t="shared" si="11"/>
        <v>37</v>
      </c>
      <c r="CZ273" s="321">
        <f t="shared" si="11"/>
        <v>39</v>
      </c>
      <c r="DA273" s="321">
        <f t="shared" si="11"/>
        <v>41</v>
      </c>
      <c r="DB273" s="321">
        <f t="shared" si="11"/>
        <v>43</v>
      </c>
      <c r="DC273" s="321">
        <f t="shared" si="11"/>
        <v>45</v>
      </c>
      <c r="DD273" s="321">
        <f t="shared" si="11"/>
        <v>47</v>
      </c>
      <c r="DE273" s="321">
        <f t="shared" si="11"/>
        <v>49</v>
      </c>
      <c r="DF273" s="321">
        <f t="shared" si="11"/>
        <v>51</v>
      </c>
      <c r="DG273" s="321">
        <f t="shared" si="11"/>
        <v>53</v>
      </c>
      <c r="DH273" s="321">
        <f t="shared" si="11"/>
        <v>55</v>
      </c>
      <c r="DI273" s="321">
        <f t="shared" si="11"/>
        <v>57</v>
      </c>
      <c r="DJ273" s="321">
        <f t="shared" si="11"/>
        <v>59</v>
      </c>
      <c r="DK273"/>
      <c r="DL273"/>
      <c r="DM273"/>
      <c r="DN273"/>
      <c r="DO273"/>
      <c r="DP273"/>
      <c r="DQ273"/>
      <c r="DR273"/>
      <c r="DS273"/>
      <c r="DT273"/>
      <c r="DU273" s="328" t="s">
        <v>676</v>
      </c>
      <c r="DV273" s="321">
        <f t="shared" ref="DV273:ET273" si="12">DV269/($DV$268/2^DV272/(DV271+1))-1</f>
        <v>87.888888888888886</v>
      </c>
      <c r="DW273" s="321">
        <f t="shared" si="12"/>
        <v>24.925925925925927</v>
      </c>
      <c r="DX273" s="321">
        <f t="shared" si="12"/>
        <v>87.888888888888886</v>
      </c>
      <c r="DY273" s="321">
        <f t="shared" si="12"/>
        <v>99</v>
      </c>
      <c r="DZ273" s="321">
        <f t="shared" si="12"/>
        <v>36.037037037037038</v>
      </c>
      <c r="EA273" s="321">
        <f t="shared" si="12"/>
        <v>100.85185185185185</v>
      </c>
      <c r="EB273" s="321">
        <f t="shared" si="12"/>
        <v>87.888888888888886</v>
      </c>
      <c r="EC273" s="321">
        <f t="shared" si="12"/>
        <v>23.074074074074073</v>
      </c>
      <c r="ED273" s="321">
        <f t="shared" si="12"/>
        <v>24.925925925925927</v>
      </c>
      <c r="EE273" s="321">
        <f t="shared" si="12"/>
        <v>137.88888888888889</v>
      </c>
      <c r="EF273" s="321">
        <f t="shared" si="12"/>
        <v>147.14814814814815</v>
      </c>
      <c r="EG273" s="321">
        <f t="shared" si="12"/>
        <v>61.962962962962962</v>
      </c>
      <c r="EH273" s="321">
        <f t="shared" si="12"/>
        <v>99</v>
      </c>
      <c r="EI273" s="321">
        <f t="shared" si="12"/>
        <v>174.92592592592592</v>
      </c>
      <c r="EJ273" s="321">
        <f t="shared" si="12"/>
        <v>36.037037037037038</v>
      </c>
      <c r="EK273" s="321">
        <f t="shared" si="12"/>
        <v>193.44444444444443</v>
      </c>
      <c r="EL273" s="321">
        <f t="shared" si="12"/>
        <v>161.96296296296296</v>
      </c>
      <c r="EM273" s="321">
        <f t="shared" si="12"/>
        <v>211.96296296296296</v>
      </c>
      <c r="EN273" s="321">
        <f t="shared" si="12"/>
        <v>221.2222222222222</v>
      </c>
      <c r="EO273" s="321">
        <f t="shared" si="12"/>
        <v>137.88888888888889</v>
      </c>
      <c r="EP273" s="321">
        <f t="shared" si="12"/>
        <v>239.74074074074073</v>
      </c>
      <c r="EQ273" s="321">
        <f t="shared" si="12"/>
        <v>248.99999999999997</v>
      </c>
      <c r="ER273" s="321">
        <f t="shared" si="12"/>
        <v>258.25925925925924</v>
      </c>
      <c r="ES273" s="321">
        <f t="shared" si="12"/>
        <v>160.11111111111111</v>
      </c>
      <c r="ET273" s="321">
        <f t="shared" si="12"/>
        <v>221.22222222222223</v>
      </c>
      <c r="FE273" s="328" t="s">
        <v>676</v>
      </c>
      <c r="FF273" s="321">
        <f t="shared" ref="FF273:GD273" si="13">FF269/($FF$268/2^FF272/(FF271+1))-1</f>
        <v>91.307692307692307</v>
      </c>
      <c r="FG273" s="321">
        <f t="shared" si="13"/>
        <v>25.923076923076923</v>
      </c>
      <c r="FH273" s="321">
        <f t="shared" si="13"/>
        <v>91.307692307692321</v>
      </c>
      <c r="FI273" s="321">
        <f t="shared" si="13"/>
        <v>102.84615384615385</v>
      </c>
      <c r="FJ273" s="321">
        <f t="shared" si="13"/>
        <v>37.46153846153846</v>
      </c>
      <c r="FK273" s="321">
        <f t="shared" si="13"/>
        <v>104.76923076923076</v>
      </c>
      <c r="FL273" s="321">
        <f t="shared" si="13"/>
        <v>91.307692307692307</v>
      </c>
      <c r="FM273" s="321">
        <f t="shared" si="13"/>
        <v>24</v>
      </c>
      <c r="FN273" s="321">
        <f t="shared" si="13"/>
        <v>25.923076923076923</v>
      </c>
      <c r="FO273" s="321">
        <f t="shared" si="13"/>
        <v>143.23076923076923</v>
      </c>
      <c r="FP273" s="321">
        <f t="shared" si="13"/>
        <v>122.07692307692308</v>
      </c>
      <c r="FQ273" s="321">
        <f t="shared" si="13"/>
        <v>64.384615384615387</v>
      </c>
      <c r="FR273" s="321">
        <f t="shared" si="13"/>
        <v>172.07692307692307</v>
      </c>
      <c r="FS273" s="321">
        <f t="shared" si="13"/>
        <v>181.69230769230768</v>
      </c>
      <c r="FT273" s="321">
        <f t="shared" si="13"/>
        <v>152.84615384615384</v>
      </c>
      <c r="FU273" s="321">
        <f t="shared" si="13"/>
        <v>200.92307692307691</v>
      </c>
      <c r="FV273" s="321">
        <f t="shared" si="13"/>
        <v>125.92307692307693</v>
      </c>
      <c r="FW273" s="321">
        <f t="shared" si="13"/>
        <v>175.92307692307693</v>
      </c>
      <c r="FX273" s="321">
        <f t="shared" si="13"/>
        <v>229.76923076923077</v>
      </c>
      <c r="FY273" s="321">
        <f t="shared" si="13"/>
        <v>239.38461538461539</v>
      </c>
      <c r="FZ273" s="321">
        <f t="shared" si="13"/>
        <v>249</v>
      </c>
      <c r="GA273" s="321">
        <f t="shared" si="13"/>
        <v>258.61538461538458</v>
      </c>
      <c r="GB273" s="321">
        <f t="shared" si="13"/>
        <v>268.23076923076923</v>
      </c>
      <c r="GC273" s="321">
        <f t="shared" si="13"/>
        <v>222.07692307692307</v>
      </c>
      <c r="GD273" s="321">
        <f t="shared" si="13"/>
        <v>172.07692307692309</v>
      </c>
    </row>
    <row r="274" spans="2:186" hidden="1">
      <c r="BA274" s="313" t="s">
        <v>677</v>
      </c>
      <c r="BB274" s="39">
        <f t="shared" ref="BB274:BZ274" si="14">ROUND(BB273,0)</f>
        <v>74</v>
      </c>
      <c r="BC274" s="39">
        <f t="shared" si="14"/>
        <v>116</v>
      </c>
      <c r="BD274" s="39">
        <f t="shared" si="14"/>
        <v>99</v>
      </c>
      <c r="BE274" s="39">
        <f t="shared" si="14"/>
        <v>74</v>
      </c>
      <c r="BF274" s="39">
        <f t="shared" si="14"/>
        <v>124</v>
      </c>
      <c r="BG274" s="39">
        <f t="shared" si="14"/>
        <v>22</v>
      </c>
      <c r="BH274" s="39">
        <f t="shared" si="14"/>
        <v>74</v>
      </c>
      <c r="BI274" s="39">
        <f t="shared" si="14"/>
        <v>26</v>
      </c>
      <c r="BJ274" s="39">
        <f t="shared" si="14"/>
        <v>116</v>
      </c>
      <c r="BK274" s="39">
        <f t="shared" si="14"/>
        <v>124</v>
      </c>
      <c r="BL274" s="39">
        <f t="shared" si="14"/>
        <v>99</v>
      </c>
      <c r="BM274" s="39">
        <f t="shared" si="14"/>
        <v>70</v>
      </c>
      <c r="BN274" s="39">
        <f t="shared" si="14"/>
        <v>74</v>
      </c>
      <c r="BO274" s="39">
        <f t="shared" si="14"/>
        <v>78</v>
      </c>
      <c r="BP274" s="39">
        <f t="shared" si="14"/>
        <v>124</v>
      </c>
      <c r="BQ274" s="39">
        <f t="shared" si="14"/>
        <v>174</v>
      </c>
      <c r="BR274" s="39">
        <f t="shared" si="14"/>
        <v>182</v>
      </c>
      <c r="BS274" s="39">
        <f t="shared" si="14"/>
        <v>191</v>
      </c>
      <c r="BT274" s="39">
        <f t="shared" si="14"/>
        <v>199</v>
      </c>
      <c r="BU274" s="39">
        <f t="shared" si="14"/>
        <v>207</v>
      </c>
      <c r="BV274" s="39">
        <f>ROUND(BV273,0)</f>
        <v>216</v>
      </c>
      <c r="BW274" s="39">
        <f t="shared" si="14"/>
        <v>224</v>
      </c>
      <c r="BX274" s="39">
        <f t="shared" si="14"/>
        <v>232</v>
      </c>
      <c r="BY274" s="39">
        <f t="shared" si="14"/>
        <v>241</v>
      </c>
      <c r="BZ274" s="39">
        <f t="shared" si="14"/>
        <v>249</v>
      </c>
      <c r="CA274"/>
      <c r="CB274"/>
      <c r="CK274" s="313" t="s">
        <v>677</v>
      </c>
      <c r="CL274" s="39">
        <f t="shared" ref="CL274:DJ274" si="15">ROUND(CL273,0)</f>
        <v>23</v>
      </c>
      <c r="CM274" s="39">
        <f t="shared" si="15"/>
        <v>27</v>
      </c>
      <c r="CN274" s="39">
        <f t="shared" si="15"/>
        <v>31</v>
      </c>
      <c r="CO274" s="39">
        <f t="shared" si="15"/>
        <v>35</v>
      </c>
      <c r="CP274" s="39">
        <f t="shared" si="15"/>
        <v>79</v>
      </c>
      <c r="CQ274" s="39">
        <f t="shared" si="15"/>
        <v>21</v>
      </c>
      <c r="CR274" s="39">
        <f t="shared" si="15"/>
        <v>23</v>
      </c>
      <c r="CS274" s="39">
        <f t="shared" si="15"/>
        <v>25</v>
      </c>
      <c r="CT274" s="39">
        <f t="shared" si="15"/>
        <v>27</v>
      </c>
      <c r="CU274" s="39">
        <f t="shared" si="15"/>
        <v>29</v>
      </c>
      <c r="CV274" s="39">
        <f t="shared" si="15"/>
        <v>31</v>
      </c>
      <c r="CW274" s="39">
        <f t="shared" si="15"/>
        <v>33</v>
      </c>
      <c r="CX274" s="39">
        <f t="shared" si="15"/>
        <v>35</v>
      </c>
      <c r="CY274" s="39">
        <f t="shared" si="15"/>
        <v>37</v>
      </c>
      <c r="CZ274" s="39">
        <f t="shared" si="15"/>
        <v>39</v>
      </c>
      <c r="DA274" s="39">
        <f t="shared" si="15"/>
        <v>41</v>
      </c>
      <c r="DB274" s="39">
        <f t="shared" si="15"/>
        <v>43</v>
      </c>
      <c r="DC274" s="39">
        <f t="shared" si="15"/>
        <v>45</v>
      </c>
      <c r="DD274" s="39">
        <f t="shared" si="15"/>
        <v>47</v>
      </c>
      <c r="DE274" s="39">
        <f t="shared" si="15"/>
        <v>49</v>
      </c>
      <c r="DF274" s="39">
        <f t="shared" si="15"/>
        <v>51</v>
      </c>
      <c r="DG274" s="39">
        <f t="shared" si="15"/>
        <v>53</v>
      </c>
      <c r="DH274" s="39">
        <f t="shared" si="15"/>
        <v>55</v>
      </c>
      <c r="DI274" s="39">
        <f t="shared" si="15"/>
        <v>57</v>
      </c>
      <c r="DJ274" s="39">
        <f t="shared" si="15"/>
        <v>59</v>
      </c>
      <c r="DK274"/>
      <c r="DL274"/>
      <c r="DM274"/>
      <c r="DN274"/>
      <c r="DO274"/>
      <c r="DP274"/>
      <c r="DQ274"/>
      <c r="DR274"/>
      <c r="DS274"/>
      <c r="DT274"/>
      <c r="DU274" s="313" t="s">
        <v>677</v>
      </c>
      <c r="DV274" s="39">
        <f t="shared" ref="DV274:ET274" si="16">ROUND(DV273,0)</f>
        <v>88</v>
      </c>
      <c r="DW274" s="39">
        <f t="shared" si="16"/>
        <v>25</v>
      </c>
      <c r="DX274" s="39">
        <f t="shared" si="16"/>
        <v>88</v>
      </c>
      <c r="DY274" s="39">
        <f t="shared" si="16"/>
        <v>99</v>
      </c>
      <c r="DZ274" s="39">
        <f t="shared" si="16"/>
        <v>36</v>
      </c>
      <c r="EA274" s="39">
        <f t="shared" si="16"/>
        <v>101</v>
      </c>
      <c r="EB274" s="39">
        <f t="shared" si="16"/>
        <v>88</v>
      </c>
      <c r="EC274" s="39">
        <f t="shared" si="16"/>
        <v>23</v>
      </c>
      <c r="ED274" s="39">
        <f t="shared" si="16"/>
        <v>25</v>
      </c>
      <c r="EE274" s="39">
        <f t="shared" si="16"/>
        <v>138</v>
      </c>
      <c r="EF274" s="39">
        <f t="shared" si="16"/>
        <v>147</v>
      </c>
      <c r="EG274" s="39">
        <f t="shared" si="16"/>
        <v>62</v>
      </c>
      <c r="EH274" s="39">
        <f t="shared" si="16"/>
        <v>99</v>
      </c>
      <c r="EI274" s="39">
        <f t="shared" si="16"/>
        <v>175</v>
      </c>
      <c r="EJ274" s="39">
        <f t="shared" si="16"/>
        <v>36</v>
      </c>
      <c r="EK274" s="39">
        <f t="shared" si="16"/>
        <v>193</v>
      </c>
      <c r="EL274" s="39">
        <f t="shared" si="16"/>
        <v>162</v>
      </c>
      <c r="EM274" s="39">
        <f t="shared" si="16"/>
        <v>212</v>
      </c>
      <c r="EN274" s="39">
        <f t="shared" si="16"/>
        <v>221</v>
      </c>
      <c r="EO274" s="39">
        <f t="shared" si="16"/>
        <v>138</v>
      </c>
      <c r="EP274" s="39">
        <f t="shared" si="16"/>
        <v>240</v>
      </c>
      <c r="EQ274" s="39">
        <f t="shared" si="16"/>
        <v>249</v>
      </c>
      <c r="ER274" s="39">
        <f t="shared" si="16"/>
        <v>258</v>
      </c>
      <c r="ES274" s="39">
        <f t="shared" si="16"/>
        <v>160</v>
      </c>
      <c r="ET274" s="39">
        <f t="shared" si="16"/>
        <v>221</v>
      </c>
      <c r="EU274"/>
      <c r="EV274"/>
      <c r="EW274"/>
      <c r="FE274" s="313" t="s">
        <v>677</v>
      </c>
      <c r="FF274" s="39">
        <f t="shared" ref="FF274:GD274" si="17">ROUND(FF273,0)</f>
        <v>91</v>
      </c>
      <c r="FG274" s="39">
        <f t="shared" si="17"/>
        <v>26</v>
      </c>
      <c r="FH274" s="39">
        <f t="shared" si="17"/>
        <v>91</v>
      </c>
      <c r="FI274" s="39">
        <f t="shared" si="17"/>
        <v>103</v>
      </c>
      <c r="FJ274" s="39">
        <f t="shared" si="17"/>
        <v>37</v>
      </c>
      <c r="FK274" s="39">
        <f t="shared" si="17"/>
        <v>105</v>
      </c>
      <c r="FL274" s="39">
        <f t="shared" si="17"/>
        <v>91</v>
      </c>
      <c r="FM274" s="39">
        <f t="shared" si="17"/>
        <v>24</v>
      </c>
      <c r="FN274" s="39">
        <f t="shared" si="17"/>
        <v>26</v>
      </c>
      <c r="FO274" s="39">
        <f t="shared" si="17"/>
        <v>143</v>
      </c>
      <c r="FP274" s="39">
        <f t="shared" si="17"/>
        <v>122</v>
      </c>
      <c r="FQ274" s="39">
        <f t="shared" si="17"/>
        <v>64</v>
      </c>
      <c r="FR274" s="39">
        <f t="shared" si="17"/>
        <v>172</v>
      </c>
      <c r="FS274" s="39">
        <f t="shared" si="17"/>
        <v>182</v>
      </c>
      <c r="FT274" s="39">
        <f t="shared" si="17"/>
        <v>153</v>
      </c>
      <c r="FU274" s="39">
        <f t="shared" si="17"/>
        <v>201</v>
      </c>
      <c r="FV274" s="39">
        <f t="shared" si="17"/>
        <v>126</v>
      </c>
      <c r="FW274" s="39">
        <f t="shared" si="17"/>
        <v>176</v>
      </c>
      <c r="FX274" s="39">
        <f t="shared" si="17"/>
        <v>230</v>
      </c>
      <c r="FY274" s="39">
        <f t="shared" si="17"/>
        <v>239</v>
      </c>
      <c r="FZ274" s="39">
        <f t="shared" si="17"/>
        <v>249</v>
      </c>
      <c r="GA274" s="39">
        <f t="shared" si="17"/>
        <v>259</v>
      </c>
      <c r="GB274" s="39">
        <f t="shared" si="17"/>
        <v>268</v>
      </c>
      <c r="GC274" s="39">
        <f t="shared" si="17"/>
        <v>222</v>
      </c>
      <c r="GD274" s="39">
        <f t="shared" si="17"/>
        <v>172</v>
      </c>
    </row>
    <row r="275" spans="2:186" hidden="1">
      <c r="B275" s="66" t="s">
        <v>643</v>
      </c>
      <c r="C275" s="78" t="str">
        <f ca="1">DEC2HEX(D275,8)</f>
        <v>00002624</v>
      </c>
      <c r="D275" s="322">
        <f ca="1">E276*2^31+F276*2^30+G276*2^29+H276*2^28+I276*2^27+J276*2^26+K276*2^25+L276*2^24+M276*2^23+N276*2^22+O276*2^21+P276*2^20+Q276*2^19+R276*2^18+S276*2^17+T276*2^16+E275*2^15+F275*2^14+G275*2^13+H275*2^12+I275*2^11+J275*2^10+K275*2^9+L275*2^8+M275*2^7+N275*2^6+O275*2^5+P275*2^4+Q275*2^3+R275*2^2+S275*2^1+T275*2^0</f>
        <v>9764</v>
      </c>
      <c r="E275" s="228">
        <v>0</v>
      </c>
      <c r="F275" s="228">
        <v>0</v>
      </c>
      <c r="G275" s="228">
        <v>0</v>
      </c>
      <c r="H275" s="322">
        <f ca="1">IF($C$37=24,OFFSET(BB270,0,BC268),IF($C$37=25,OFFSET(CL270,0,CM268),IF($C$37=27,OFFSET(DV270,0,DW268),OFFSET(FF270,0,FG268))))</f>
        <v>2</v>
      </c>
      <c r="I275" s="228">
        <v>0</v>
      </c>
      <c r="J275" s="322">
        <f ca="1">IF($C$37=24,OFFSET(BB272,0,BC268),IF($C$37=25,OFFSET(CL272,0,CM268),IF($C$37=27,OFFSET(DV272,0,DW268),OFFSET(FF272,0,FG268))))</f>
        <v>1</v>
      </c>
      <c r="K275" s="228">
        <v>1</v>
      </c>
      <c r="L275" s="228">
        <v>0</v>
      </c>
      <c r="M275" s="228">
        <v>0</v>
      </c>
      <c r="N275" s="228">
        <v>0</v>
      </c>
      <c r="O275" s="228">
        <v>0</v>
      </c>
      <c r="P275" s="228">
        <v>0</v>
      </c>
      <c r="Q275" s="228">
        <v>0</v>
      </c>
      <c r="R275" s="228">
        <v>0</v>
      </c>
      <c r="S275" s="228">
        <v>0</v>
      </c>
      <c r="T275" s="322">
        <f ca="1">IF($C$37=24,OFFSET(BB274,0,BC268),IF($C$37=25,OFFSET(CL274,0,CM268),IF($C$37=27,OFFSET(DV274,0,DW268),OFFSET(FF274,0,FG268))))</f>
        <v>36</v>
      </c>
      <c r="BA275" s="313" t="s">
        <v>678</v>
      </c>
      <c r="BB275" s="39">
        <f>$BB$268/(BB271+1)/2^BB272*(BB274+1)</f>
        <v>300</v>
      </c>
      <c r="BC275" s="39">
        <f t="shared" ref="BC275:BZ275" si="18">$BB$268/(BC271+1)/2^BC272*(BC274+1)</f>
        <v>351</v>
      </c>
      <c r="BD275" s="39">
        <f t="shared" si="18"/>
        <v>400</v>
      </c>
      <c r="BE275" s="39">
        <f t="shared" si="18"/>
        <v>450</v>
      </c>
      <c r="BF275" s="39">
        <f t="shared" si="18"/>
        <v>500</v>
      </c>
      <c r="BG275" s="39">
        <f t="shared" si="18"/>
        <v>552</v>
      </c>
      <c r="BH275" s="39">
        <f t="shared" si="18"/>
        <v>600</v>
      </c>
      <c r="BI275" s="39">
        <f t="shared" si="18"/>
        <v>648</v>
      </c>
      <c r="BJ275" s="39">
        <f t="shared" si="18"/>
        <v>702</v>
      </c>
      <c r="BK275" s="39">
        <f t="shared" si="18"/>
        <v>750</v>
      </c>
      <c r="BL275" s="39">
        <f t="shared" si="18"/>
        <v>800</v>
      </c>
      <c r="BM275" s="39">
        <f t="shared" si="18"/>
        <v>852</v>
      </c>
      <c r="BN275" s="39">
        <f t="shared" si="18"/>
        <v>900</v>
      </c>
      <c r="BO275" s="39">
        <f t="shared" si="18"/>
        <v>948</v>
      </c>
      <c r="BP275" s="39">
        <f t="shared" si="18"/>
        <v>1000</v>
      </c>
      <c r="BQ275" s="39">
        <f t="shared" si="18"/>
        <v>1050</v>
      </c>
      <c r="BR275" s="39">
        <f t="shared" si="18"/>
        <v>1098</v>
      </c>
      <c r="BS275" s="39">
        <f t="shared" si="18"/>
        <v>1152</v>
      </c>
      <c r="BT275" s="39">
        <f t="shared" si="18"/>
        <v>1200</v>
      </c>
      <c r="BU275" s="39">
        <f t="shared" si="18"/>
        <v>1248</v>
      </c>
      <c r="BV275" s="39">
        <f>$BB$268/(BV271+1)/2^BV272*(BV274+1)</f>
        <v>1302</v>
      </c>
      <c r="BW275" s="39">
        <f t="shared" si="18"/>
        <v>1350</v>
      </c>
      <c r="BX275" s="39">
        <f t="shared" si="18"/>
        <v>1398</v>
      </c>
      <c r="BY275" s="39">
        <f t="shared" si="18"/>
        <v>1452</v>
      </c>
      <c r="BZ275" s="39">
        <f t="shared" si="18"/>
        <v>1500</v>
      </c>
      <c r="CA275"/>
      <c r="CB275"/>
      <c r="CK275" s="313" t="s">
        <v>678</v>
      </c>
      <c r="CL275" s="39">
        <f>$CL$268/(CL271+1)/2^CL272*(CL274+1)</f>
        <v>300</v>
      </c>
      <c r="CM275" s="39">
        <f t="shared" ref="CM275:DJ275" si="19">$CL$268/(CM271+1)/2^CM272*(CM274+1)</f>
        <v>350</v>
      </c>
      <c r="CN275" s="39">
        <f t="shared" si="19"/>
        <v>400</v>
      </c>
      <c r="CO275" s="39">
        <f t="shared" si="19"/>
        <v>450</v>
      </c>
      <c r="CP275" s="39">
        <f t="shared" si="19"/>
        <v>500</v>
      </c>
      <c r="CQ275" s="39">
        <f t="shared" si="19"/>
        <v>550</v>
      </c>
      <c r="CR275" s="39">
        <f t="shared" si="19"/>
        <v>600</v>
      </c>
      <c r="CS275" s="39">
        <f t="shared" si="19"/>
        <v>650</v>
      </c>
      <c r="CT275" s="39">
        <f t="shared" si="19"/>
        <v>700</v>
      </c>
      <c r="CU275" s="39">
        <f t="shared" si="19"/>
        <v>750</v>
      </c>
      <c r="CV275" s="39">
        <f t="shared" si="19"/>
        <v>800</v>
      </c>
      <c r="CW275" s="39">
        <f t="shared" si="19"/>
        <v>850</v>
      </c>
      <c r="CX275" s="39">
        <f t="shared" si="19"/>
        <v>900</v>
      </c>
      <c r="CY275" s="39">
        <f t="shared" si="19"/>
        <v>950</v>
      </c>
      <c r="CZ275" s="39">
        <f t="shared" si="19"/>
        <v>1000</v>
      </c>
      <c r="DA275" s="39">
        <f t="shared" si="19"/>
        <v>1050</v>
      </c>
      <c r="DB275" s="39">
        <f t="shared" si="19"/>
        <v>1100</v>
      </c>
      <c r="DC275" s="39">
        <f t="shared" si="19"/>
        <v>1150</v>
      </c>
      <c r="DD275" s="39">
        <f t="shared" si="19"/>
        <v>1200</v>
      </c>
      <c r="DE275" s="39">
        <f t="shared" si="19"/>
        <v>1250</v>
      </c>
      <c r="DF275" s="39">
        <f t="shared" si="19"/>
        <v>1300</v>
      </c>
      <c r="DG275" s="39">
        <f t="shared" si="19"/>
        <v>1350</v>
      </c>
      <c r="DH275" s="39">
        <f t="shared" si="19"/>
        <v>1400</v>
      </c>
      <c r="DI275" s="39">
        <f t="shared" si="19"/>
        <v>1450</v>
      </c>
      <c r="DJ275" s="39">
        <f t="shared" si="19"/>
        <v>1500</v>
      </c>
      <c r="DK275"/>
      <c r="DL275"/>
      <c r="DM275"/>
      <c r="DN275"/>
      <c r="DO275"/>
      <c r="DP275"/>
      <c r="DQ275"/>
      <c r="DR275"/>
      <c r="DS275"/>
      <c r="DT275"/>
      <c r="DU275" s="313" t="s">
        <v>678</v>
      </c>
      <c r="DV275" s="39">
        <f t="shared" ref="DV275:ET275" si="20">$DV$268/(DV271+1)/2^DV272*(DV274+1)</f>
        <v>300.375</v>
      </c>
      <c r="DW275" s="39">
        <f t="shared" si="20"/>
        <v>351</v>
      </c>
      <c r="DX275" s="39">
        <f t="shared" si="20"/>
        <v>400.5</v>
      </c>
      <c r="DY275" s="39">
        <f t="shared" si="20"/>
        <v>450</v>
      </c>
      <c r="DZ275" s="39">
        <f t="shared" si="20"/>
        <v>499.5</v>
      </c>
      <c r="EA275" s="39">
        <f t="shared" si="20"/>
        <v>550.80000000000007</v>
      </c>
      <c r="EB275" s="39">
        <f t="shared" si="20"/>
        <v>600.75</v>
      </c>
      <c r="EC275" s="39">
        <f t="shared" si="20"/>
        <v>648</v>
      </c>
      <c r="ED275" s="39">
        <f t="shared" si="20"/>
        <v>702</v>
      </c>
      <c r="EE275" s="39">
        <f t="shared" si="20"/>
        <v>750.6</v>
      </c>
      <c r="EF275" s="39">
        <f t="shared" si="20"/>
        <v>799.2</v>
      </c>
      <c r="EG275" s="39">
        <f t="shared" si="20"/>
        <v>850.5</v>
      </c>
      <c r="EH275" s="39">
        <f t="shared" si="20"/>
        <v>900</v>
      </c>
      <c r="EI275" s="39">
        <f t="shared" si="20"/>
        <v>950.40000000000009</v>
      </c>
      <c r="EJ275" s="39">
        <f t="shared" si="20"/>
        <v>999</v>
      </c>
      <c r="EK275" s="39">
        <f t="shared" si="20"/>
        <v>1047.6000000000001</v>
      </c>
      <c r="EL275" s="39">
        <f t="shared" si="20"/>
        <v>1100.25</v>
      </c>
      <c r="EM275" s="39">
        <f t="shared" si="20"/>
        <v>1150.2</v>
      </c>
      <c r="EN275" s="39">
        <f t="shared" si="20"/>
        <v>1198.8000000000002</v>
      </c>
      <c r="EO275" s="39">
        <f t="shared" si="20"/>
        <v>1251</v>
      </c>
      <c r="EP275" s="39">
        <f t="shared" si="20"/>
        <v>1301.4000000000001</v>
      </c>
      <c r="EQ275" s="39">
        <f t="shared" si="20"/>
        <v>1350</v>
      </c>
      <c r="ER275" s="39">
        <f t="shared" si="20"/>
        <v>1398.6000000000001</v>
      </c>
      <c r="ES275" s="39">
        <f t="shared" si="20"/>
        <v>1449</v>
      </c>
      <c r="ET275" s="39">
        <f t="shared" si="20"/>
        <v>1498.5</v>
      </c>
      <c r="EU275"/>
      <c r="EV275"/>
      <c r="EW275"/>
      <c r="FE275" s="313" t="s">
        <v>678</v>
      </c>
      <c r="FF275" s="39">
        <f t="shared" ref="FF275:GD275" si="21">$FF$268/(FF271+1)/2^FF272*(FF274+1)</f>
        <v>299</v>
      </c>
      <c r="FG275" s="39">
        <f t="shared" si="21"/>
        <v>351</v>
      </c>
      <c r="FH275" s="39">
        <f t="shared" si="21"/>
        <v>398.66666666666663</v>
      </c>
      <c r="FI275" s="39">
        <f t="shared" si="21"/>
        <v>450.66666666666663</v>
      </c>
      <c r="FJ275" s="39">
        <f t="shared" si="21"/>
        <v>494</v>
      </c>
      <c r="FK275" s="39">
        <f t="shared" si="21"/>
        <v>551.20000000000005</v>
      </c>
      <c r="FL275" s="39">
        <f t="shared" si="21"/>
        <v>598</v>
      </c>
      <c r="FM275" s="39">
        <f t="shared" si="21"/>
        <v>650</v>
      </c>
      <c r="FN275" s="39">
        <f t="shared" si="21"/>
        <v>702</v>
      </c>
      <c r="FO275" s="39">
        <f t="shared" si="21"/>
        <v>748.80000000000007</v>
      </c>
      <c r="FP275" s="39">
        <f t="shared" si="21"/>
        <v>799.5</v>
      </c>
      <c r="FQ275" s="39">
        <f t="shared" si="21"/>
        <v>845</v>
      </c>
      <c r="FR275" s="39">
        <f t="shared" si="21"/>
        <v>899.6</v>
      </c>
      <c r="FS275" s="39">
        <f t="shared" si="21"/>
        <v>951.6</v>
      </c>
      <c r="FT275" s="39">
        <f t="shared" si="21"/>
        <v>1001</v>
      </c>
      <c r="FU275" s="39">
        <f>$FF$268/(FU271+1)/2^FU272*(FU274+1)</f>
        <v>1050.4000000000001</v>
      </c>
      <c r="FV275" s="39">
        <f t="shared" si="21"/>
        <v>1100.6666666666665</v>
      </c>
      <c r="FW275" s="39">
        <f t="shared" si="21"/>
        <v>1150.5</v>
      </c>
      <c r="FX275" s="39">
        <f t="shared" si="21"/>
        <v>1201.2</v>
      </c>
      <c r="FY275" s="39">
        <f t="shared" si="21"/>
        <v>1248</v>
      </c>
      <c r="FZ275" s="39">
        <f t="shared" si="21"/>
        <v>1300</v>
      </c>
      <c r="GA275" s="39">
        <f t="shared" si="21"/>
        <v>1352</v>
      </c>
      <c r="GB275" s="39">
        <f t="shared" si="21"/>
        <v>1398.8</v>
      </c>
      <c r="GC275" s="39">
        <f t="shared" si="21"/>
        <v>1449.5</v>
      </c>
      <c r="GD275" s="39">
        <f t="shared" si="21"/>
        <v>1499.3333333333333</v>
      </c>
    </row>
    <row r="276" spans="2:186" hidden="1">
      <c r="B276"/>
      <c r="C276"/>
      <c r="D276" s="228"/>
      <c r="E276" s="228">
        <v>0</v>
      </c>
      <c r="F276" s="228">
        <v>0</v>
      </c>
      <c r="G276" s="228">
        <v>0</v>
      </c>
      <c r="H276" s="228">
        <v>0</v>
      </c>
      <c r="I276" s="228">
        <v>0</v>
      </c>
      <c r="J276" s="228">
        <v>0</v>
      </c>
      <c r="K276" s="228">
        <v>0</v>
      </c>
      <c r="L276" s="228">
        <v>0</v>
      </c>
      <c r="M276" s="228">
        <v>0</v>
      </c>
      <c r="N276" s="228">
        <v>0</v>
      </c>
      <c r="O276" s="228">
        <v>0</v>
      </c>
      <c r="P276" s="228">
        <v>0</v>
      </c>
      <c r="Q276" s="228">
        <v>0</v>
      </c>
      <c r="R276" s="228">
        <v>0</v>
      </c>
      <c r="S276" s="228">
        <v>0</v>
      </c>
      <c r="T276" s="322">
        <f ca="1">IF($C$37=24,OFFSET(BB271,0,BC268),IF($C$37=25,OFFSET(CL271,0,CM268),IF($C$37=27,OFFSET(DV271,0,DW268),OFFSET(FF271,0,FG268))))</f>
        <v>0</v>
      </c>
      <c r="BA276" s="313" t="s">
        <v>807</v>
      </c>
      <c r="BB276" s="316" t="s">
        <v>808</v>
      </c>
      <c r="BC276" s="316" t="s">
        <v>808</v>
      </c>
      <c r="BD276" s="316" t="s">
        <v>808</v>
      </c>
      <c r="BE276" s="316" t="s">
        <v>808</v>
      </c>
      <c r="BF276" s="316" t="s">
        <v>808</v>
      </c>
      <c r="BG276" s="316" t="s">
        <v>808</v>
      </c>
      <c r="BH276" s="316" t="s">
        <v>808</v>
      </c>
      <c r="BI276" s="316" t="s">
        <v>808</v>
      </c>
      <c r="BJ276" s="316" t="s">
        <v>808</v>
      </c>
      <c r="BK276" s="316" t="s">
        <v>808</v>
      </c>
      <c r="BL276" s="316" t="s">
        <v>809</v>
      </c>
      <c r="BM276" s="316" t="s">
        <v>808</v>
      </c>
      <c r="BN276" s="431" t="s">
        <v>1486</v>
      </c>
      <c r="BO276" s="316" t="s">
        <v>808</v>
      </c>
      <c r="BP276" s="316" t="s">
        <v>809</v>
      </c>
      <c r="BQ276" s="316" t="s">
        <v>808</v>
      </c>
      <c r="BR276" s="461" t="s">
        <v>413</v>
      </c>
      <c r="BS276" s="316" t="s">
        <v>808</v>
      </c>
      <c r="BT276" s="461" t="s">
        <v>413</v>
      </c>
      <c r="BU276" s="316" t="s">
        <v>808</v>
      </c>
      <c r="BV276" s="461" t="s">
        <v>413</v>
      </c>
      <c r="BW276" s="316" t="s">
        <v>808</v>
      </c>
      <c r="BX276" s="461" t="s">
        <v>413</v>
      </c>
      <c r="BY276" s="316" t="s">
        <v>808</v>
      </c>
      <c r="BZ276" s="461" t="s">
        <v>413</v>
      </c>
      <c r="CK276" s="313" t="s">
        <v>807</v>
      </c>
      <c r="CL276" s="316" t="s">
        <v>808</v>
      </c>
      <c r="CM276" s="316" t="s">
        <v>808</v>
      </c>
      <c r="CN276" s="316" t="s">
        <v>808</v>
      </c>
      <c r="CO276" s="316" t="s">
        <v>808</v>
      </c>
      <c r="CP276" s="316" t="s">
        <v>808</v>
      </c>
      <c r="CQ276" s="316" t="s">
        <v>808</v>
      </c>
      <c r="CR276" s="316" t="s">
        <v>808</v>
      </c>
      <c r="CS276" s="316" t="s">
        <v>808</v>
      </c>
      <c r="CT276" s="316" t="s">
        <v>808</v>
      </c>
      <c r="CU276" s="316" t="s">
        <v>808</v>
      </c>
      <c r="CV276" s="316" t="s">
        <v>809</v>
      </c>
      <c r="CW276" s="316" t="s">
        <v>808</v>
      </c>
      <c r="CX276" s="316" t="s">
        <v>809</v>
      </c>
      <c r="CY276" s="316" t="s">
        <v>808</v>
      </c>
      <c r="CZ276" s="316" t="s">
        <v>809</v>
      </c>
      <c r="DA276" s="316" t="s">
        <v>808</v>
      </c>
      <c r="DB276" s="461" t="s">
        <v>413</v>
      </c>
      <c r="DC276" s="316" t="s">
        <v>808</v>
      </c>
      <c r="DD276" s="461" t="s">
        <v>413</v>
      </c>
      <c r="DE276" s="316" t="s">
        <v>808</v>
      </c>
      <c r="DF276" s="461" t="s">
        <v>413</v>
      </c>
      <c r="DG276" s="316" t="s">
        <v>808</v>
      </c>
      <c r="DH276" s="461" t="s">
        <v>413</v>
      </c>
      <c r="DI276" s="316" t="s">
        <v>808</v>
      </c>
      <c r="DJ276" s="461" t="s">
        <v>413</v>
      </c>
      <c r="DU276" s="313" t="s">
        <v>807</v>
      </c>
      <c r="DV276" s="316" t="s">
        <v>808</v>
      </c>
      <c r="DW276" s="316" t="s">
        <v>808</v>
      </c>
      <c r="DX276" s="316" t="s">
        <v>808</v>
      </c>
      <c r="DY276" s="316" t="s">
        <v>808</v>
      </c>
      <c r="DZ276" s="316" t="s">
        <v>808</v>
      </c>
      <c r="EA276" s="316" t="s">
        <v>808</v>
      </c>
      <c r="EB276" s="316" t="s">
        <v>808</v>
      </c>
      <c r="EC276" s="316" t="s">
        <v>808</v>
      </c>
      <c r="ED276" s="316" t="s">
        <v>808</v>
      </c>
      <c r="EE276" s="316" t="s">
        <v>808</v>
      </c>
      <c r="EF276" s="316" t="s">
        <v>809</v>
      </c>
      <c r="EG276" s="316" t="s">
        <v>808</v>
      </c>
      <c r="EH276" s="316" t="s">
        <v>809</v>
      </c>
      <c r="EI276" s="316" t="s">
        <v>808</v>
      </c>
      <c r="EJ276" s="316" t="s">
        <v>809</v>
      </c>
      <c r="EK276" s="316" t="s">
        <v>808</v>
      </c>
      <c r="EL276" s="461" t="s">
        <v>413</v>
      </c>
      <c r="EM276" s="316" t="s">
        <v>808</v>
      </c>
      <c r="EN276" s="461" t="s">
        <v>413</v>
      </c>
      <c r="EO276" s="316" t="s">
        <v>808</v>
      </c>
      <c r="EP276" s="461" t="s">
        <v>413</v>
      </c>
      <c r="EQ276" s="316" t="s">
        <v>808</v>
      </c>
      <c r="ER276" s="461" t="s">
        <v>413</v>
      </c>
      <c r="ES276" s="316" t="s">
        <v>808</v>
      </c>
      <c r="ET276" s="461" t="s">
        <v>413</v>
      </c>
      <c r="EU276"/>
      <c r="EV276"/>
      <c r="EW276"/>
      <c r="FE276" s="313" t="s">
        <v>807</v>
      </c>
      <c r="FF276" s="395" t="s">
        <v>413</v>
      </c>
      <c r="FG276" s="395" t="s">
        <v>413</v>
      </c>
      <c r="FH276" s="395" t="s">
        <v>413</v>
      </c>
      <c r="FI276" s="395" t="s">
        <v>413</v>
      </c>
      <c r="FJ276" s="395" t="s">
        <v>413</v>
      </c>
      <c r="FK276" s="395" t="s">
        <v>413</v>
      </c>
      <c r="FL276" s="395" t="s">
        <v>413</v>
      </c>
      <c r="FM276" s="395" t="s">
        <v>413</v>
      </c>
      <c r="FN276" s="395" t="s">
        <v>413</v>
      </c>
      <c r="FO276" s="395" t="s">
        <v>413</v>
      </c>
      <c r="FP276" s="395" t="s">
        <v>809</v>
      </c>
      <c r="FQ276" s="395" t="s">
        <v>413</v>
      </c>
      <c r="FR276" s="395" t="s">
        <v>809</v>
      </c>
      <c r="FS276" s="395" t="s">
        <v>413</v>
      </c>
      <c r="FT276" s="395" t="s">
        <v>809</v>
      </c>
      <c r="FU276" s="395" t="s">
        <v>413</v>
      </c>
      <c r="FV276" s="461" t="s">
        <v>413</v>
      </c>
      <c r="FW276" s="395" t="s">
        <v>413</v>
      </c>
      <c r="FX276" s="461" t="s">
        <v>413</v>
      </c>
      <c r="FY276" s="395" t="s">
        <v>413</v>
      </c>
      <c r="FZ276" s="461" t="s">
        <v>413</v>
      </c>
      <c r="GA276" s="395" t="s">
        <v>413</v>
      </c>
      <c r="GB276" s="461" t="s">
        <v>413</v>
      </c>
      <c r="GC276" s="395" t="s">
        <v>413</v>
      </c>
      <c r="GD276" s="461" t="s">
        <v>413</v>
      </c>
    </row>
    <row r="277" spans="2:186" hidden="1">
      <c r="E277" s="228"/>
      <c r="F277" s="228"/>
      <c r="G277" s="228"/>
      <c r="H277" s="228"/>
      <c r="I277" s="228"/>
      <c r="J277" s="228"/>
      <c r="K277" s="228"/>
      <c r="L277" s="228"/>
      <c r="M277" s="228"/>
      <c r="N277" s="228"/>
      <c r="O277" s="228"/>
      <c r="P277" s="228"/>
      <c r="Q277" s="228"/>
      <c r="R277" s="228"/>
      <c r="S277" s="228"/>
      <c r="T277" s="228"/>
      <c r="BA277" s="357" t="s">
        <v>680</v>
      </c>
      <c r="BB277" s="35">
        <v>1</v>
      </c>
      <c r="BC277" s="35">
        <v>1</v>
      </c>
      <c r="BD277" s="35">
        <v>1</v>
      </c>
      <c r="BE277" s="35">
        <v>1</v>
      </c>
      <c r="BF277" s="35">
        <v>1</v>
      </c>
      <c r="BG277" s="35">
        <v>1</v>
      </c>
      <c r="BH277" s="35">
        <v>1</v>
      </c>
      <c r="BI277" s="35">
        <v>1</v>
      </c>
      <c r="BJ277" s="35">
        <v>1</v>
      </c>
      <c r="BK277" s="35">
        <v>1</v>
      </c>
      <c r="BL277" s="35">
        <v>1</v>
      </c>
      <c r="BM277" s="35">
        <v>1</v>
      </c>
      <c r="BN277" s="35">
        <v>1</v>
      </c>
      <c r="BO277" s="35">
        <v>1</v>
      </c>
      <c r="BP277" s="35">
        <v>1</v>
      </c>
      <c r="BQ277" s="35">
        <v>1</v>
      </c>
      <c r="BR277" s="35">
        <v>1</v>
      </c>
      <c r="BS277" s="35">
        <v>1</v>
      </c>
      <c r="BT277" s="35">
        <v>1</v>
      </c>
      <c r="BU277" s="35">
        <v>1</v>
      </c>
      <c r="BV277" s="35">
        <v>1</v>
      </c>
      <c r="BW277" s="35">
        <v>1</v>
      </c>
      <c r="BX277" s="35">
        <v>1</v>
      </c>
      <c r="BY277" s="35">
        <v>1</v>
      </c>
      <c r="BZ277" s="35">
        <v>1</v>
      </c>
      <c r="CA277"/>
      <c r="CB277"/>
      <c r="CC277"/>
      <c r="CD277"/>
      <c r="CE277"/>
      <c r="CF277"/>
      <c r="CG277"/>
      <c r="CH277"/>
      <c r="CI277"/>
      <c r="CJ277"/>
      <c r="CK277" s="313" t="s">
        <v>680</v>
      </c>
      <c r="CL277" s="35">
        <v>1</v>
      </c>
      <c r="CM277" s="35">
        <v>1</v>
      </c>
      <c r="CN277" s="35">
        <v>1</v>
      </c>
      <c r="CO277" s="35">
        <v>1</v>
      </c>
      <c r="CP277" s="35">
        <v>1</v>
      </c>
      <c r="CQ277" s="35">
        <v>1</v>
      </c>
      <c r="CR277" s="35">
        <v>1</v>
      </c>
      <c r="CS277" s="35">
        <v>1</v>
      </c>
      <c r="CT277" s="35">
        <v>1</v>
      </c>
      <c r="CU277" s="35">
        <v>1</v>
      </c>
      <c r="CV277" s="35">
        <v>1</v>
      </c>
      <c r="CW277" s="35">
        <v>1</v>
      </c>
      <c r="CX277" s="35">
        <v>1</v>
      </c>
      <c r="CY277" s="35">
        <v>1</v>
      </c>
      <c r="CZ277" s="35">
        <v>1</v>
      </c>
      <c r="DA277" s="35">
        <v>1</v>
      </c>
      <c r="DB277" s="35">
        <v>1</v>
      </c>
      <c r="DC277" s="35">
        <v>1</v>
      </c>
      <c r="DD277" s="35">
        <v>1</v>
      </c>
      <c r="DE277" s="35">
        <v>1</v>
      </c>
      <c r="DF277" s="35">
        <v>1</v>
      </c>
      <c r="DG277" s="35">
        <v>1</v>
      </c>
      <c r="DH277" s="35">
        <v>1</v>
      </c>
      <c r="DI277" s="35">
        <v>1</v>
      </c>
      <c r="DJ277" s="35">
        <v>1</v>
      </c>
      <c r="DK277"/>
      <c r="DL277"/>
      <c r="DM277"/>
      <c r="DN277"/>
      <c r="DO277"/>
      <c r="DP277"/>
      <c r="DQ277"/>
      <c r="DR277"/>
      <c r="DS277"/>
      <c r="DT277"/>
      <c r="DU277" s="313" t="s">
        <v>680</v>
      </c>
      <c r="DV277" s="35">
        <v>1</v>
      </c>
      <c r="DW277" s="35">
        <v>1</v>
      </c>
      <c r="DX277" s="35">
        <v>1</v>
      </c>
      <c r="DY277" s="35">
        <v>1</v>
      </c>
      <c r="DZ277" s="35">
        <v>1</v>
      </c>
      <c r="EA277" s="35">
        <v>1</v>
      </c>
      <c r="EB277" s="35">
        <v>1</v>
      </c>
      <c r="EC277" s="35">
        <v>1</v>
      </c>
      <c r="ED277" s="35">
        <v>1</v>
      </c>
      <c r="EE277" s="35">
        <v>1</v>
      </c>
      <c r="EF277" s="35">
        <v>1</v>
      </c>
      <c r="EG277" s="35">
        <v>1</v>
      </c>
      <c r="EH277" s="35">
        <v>1</v>
      </c>
      <c r="EI277" s="35">
        <v>1</v>
      </c>
      <c r="EJ277" s="35">
        <v>1</v>
      </c>
      <c r="EK277" s="35">
        <v>1</v>
      </c>
      <c r="EL277" s="35">
        <v>1</v>
      </c>
      <c r="EM277" s="35">
        <v>1</v>
      </c>
      <c r="EN277" s="35">
        <v>1</v>
      </c>
      <c r="EO277" s="35">
        <v>1</v>
      </c>
      <c r="EP277" s="35">
        <v>1</v>
      </c>
      <c r="EQ277" s="35">
        <v>1</v>
      </c>
      <c r="ER277" s="35">
        <v>1</v>
      </c>
      <c r="ES277" s="35">
        <v>1</v>
      </c>
      <c r="ET277" s="35">
        <v>1</v>
      </c>
      <c r="EU277"/>
      <c r="EV277"/>
      <c r="EW277"/>
      <c r="FE277" s="313" t="s">
        <v>680</v>
      </c>
      <c r="FF277" s="35">
        <v>1</v>
      </c>
      <c r="FG277" s="35">
        <v>1</v>
      </c>
      <c r="FH277" s="35">
        <v>1</v>
      </c>
      <c r="FI277" s="35">
        <v>1</v>
      </c>
      <c r="FJ277" s="35">
        <v>1</v>
      </c>
      <c r="FK277" s="35">
        <v>1</v>
      </c>
      <c r="FL277" s="35">
        <v>1</v>
      </c>
      <c r="FM277" s="35">
        <v>1</v>
      </c>
      <c r="FN277" s="35">
        <v>1</v>
      </c>
      <c r="FO277" s="35">
        <v>1</v>
      </c>
      <c r="FP277" s="35">
        <v>1</v>
      </c>
      <c r="FQ277" s="35">
        <v>1</v>
      </c>
      <c r="FR277" s="35">
        <v>1</v>
      </c>
      <c r="FS277" s="35">
        <v>1</v>
      </c>
      <c r="FT277" s="35">
        <v>1</v>
      </c>
      <c r="FU277" s="35">
        <v>1</v>
      </c>
      <c r="FV277" s="35">
        <v>1</v>
      </c>
      <c r="FW277" s="35">
        <v>1</v>
      </c>
      <c r="FX277" s="35">
        <v>1</v>
      </c>
      <c r="FY277" s="35">
        <v>1</v>
      </c>
      <c r="FZ277" s="35">
        <v>1</v>
      </c>
      <c r="GA277" s="35">
        <v>1</v>
      </c>
      <c r="GB277" s="35">
        <v>1</v>
      </c>
      <c r="GC277" s="35">
        <v>1</v>
      </c>
      <c r="GD277" s="35">
        <v>1</v>
      </c>
    </row>
    <row r="278" spans="2:186" hidden="1">
      <c r="E278" s="228"/>
      <c r="F278" s="228"/>
      <c r="G278" s="228"/>
      <c r="H278" s="228"/>
      <c r="I278" s="228"/>
      <c r="J278" s="228"/>
      <c r="K278" s="228"/>
      <c r="L278" s="228"/>
      <c r="M278" s="228"/>
      <c r="N278" s="228"/>
      <c r="O278" s="228"/>
      <c r="P278" s="228"/>
      <c r="Q278" s="228"/>
      <c r="R278" s="228"/>
      <c r="S278" s="228"/>
      <c r="T278" s="228"/>
      <c r="BA278" s="313" t="s">
        <v>917</v>
      </c>
      <c r="BB278" s="35">
        <v>0</v>
      </c>
      <c r="BC278" s="35">
        <v>0</v>
      </c>
      <c r="BD278" s="35">
        <v>0</v>
      </c>
      <c r="BE278" s="35">
        <v>0</v>
      </c>
      <c r="BF278" s="35">
        <v>0</v>
      </c>
      <c r="BG278" s="35">
        <v>0</v>
      </c>
      <c r="BH278" s="35">
        <v>0</v>
      </c>
      <c r="BI278" s="35">
        <v>0</v>
      </c>
      <c r="BJ278" s="35">
        <v>0</v>
      </c>
      <c r="BK278" s="35">
        <v>0</v>
      </c>
      <c r="BL278" s="35">
        <v>0</v>
      </c>
      <c r="BM278" s="35">
        <v>0</v>
      </c>
      <c r="BN278" s="35">
        <v>0</v>
      </c>
      <c r="BO278" s="35">
        <v>0</v>
      </c>
      <c r="BP278" s="35">
        <v>0</v>
      </c>
      <c r="BQ278" s="35">
        <v>0</v>
      </c>
      <c r="BR278" s="35">
        <v>0</v>
      </c>
      <c r="BS278" s="35">
        <v>0</v>
      </c>
      <c r="BT278" s="35">
        <v>0</v>
      </c>
      <c r="BU278" s="35">
        <v>0</v>
      </c>
      <c r="BV278" s="35">
        <v>0</v>
      </c>
      <c r="BW278" s="35">
        <v>0</v>
      </c>
      <c r="BX278" s="35">
        <v>0</v>
      </c>
      <c r="BY278" s="35">
        <v>0</v>
      </c>
      <c r="BZ278" s="35">
        <v>0</v>
      </c>
      <c r="CA278"/>
      <c r="CB278"/>
      <c r="CC278"/>
      <c r="CD278"/>
      <c r="CE278"/>
      <c r="CF278"/>
      <c r="CG278"/>
      <c r="CH278"/>
      <c r="CI278"/>
      <c r="CJ278"/>
      <c r="CK278" s="313" t="s">
        <v>681</v>
      </c>
      <c r="CL278" s="35">
        <v>0</v>
      </c>
      <c r="CM278" s="35">
        <v>0</v>
      </c>
      <c r="CN278" s="35">
        <v>0</v>
      </c>
      <c r="CO278" s="35">
        <v>0</v>
      </c>
      <c r="CP278" s="35">
        <v>0</v>
      </c>
      <c r="CQ278" s="35">
        <v>0</v>
      </c>
      <c r="CR278" s="35">
        <v>0</v>
      </c>
      <c r="CS278" s="35">
        <v>0</v>
      </c>
      <c r="CT278" s="35">
        <v>0</v>
      </c>
      <c r="CU278" s="35">
        <v>0</v>
      </c>
      <c r="CV278" s="35">
        <v>0</v>
      </c>
      <c r="CW278" s="35">
        <v>0</v>
      </c>
      <c r="CX278" s="35">
        <v>0</v>
      </c>
      <c r="CY278" s="35">
        <v>0</v>
      </c>
      <c r="CZ278" s="35">
        <v>0</v>
      </c>
      <c r="DA278" s="35">
        <v>0</v>
      </c>
      <c r="DB278" s="35">
        <v>0</v>
      </c>
      <c r="DC278" s="35">
        <v>0</v>
      </c>
      <c r="DD278" s="35">
        <v>0</v>
      </c>
      <c r="DE278" s="35">
        <v>0</v>
      </c>
      <c r="DF278" s="35">
        <v>0</v>
      </c>
      <c r="DG278" s="35">
        <v>0</v>
      </c>
      <c r="DH278" s="35">
        <v>0</v>
      </c>
      <c r="DI278" s="35">
        <v>0</v>
      </c>
      <c r="DJ278" s="35">
        <v>0</v>
      </c>
      <c r="DK278"/>
      <c r="DL278"/>
      <c r="DM278"/>
      <c r="DN278"/>
      <c r="DO278"/>
      <c r="DP278"/>
      <c r="DQ278"/>
      <c r="DR278"/>
      <c r="DS278"/>
      <c r="DT278"/>
      <c r="DU278" s="313" t="s">
        <v>681</v>
      </c>
      <c r="DV278" s="35">
        <v>0</v>
      </c>
      <c r="DW278" s="35">
        <v>0</v>
      </c>
      <c r="DX278" s="35">
        <v>0</v>
      </c>
      <c r="DY278" s="35">
        <v>0</v>
      </c>
      <c r="DZ278" s="35">
        <v>0</v>
      </c>
      <c r="EA278" s="35">
        <v>0</v>
      </c>
      <c r="EB278" s="35">
        <v>0</v>
      </c>
      <c r="EC278" s="35">
        <v>0</v>
      </c>
      <c r="ED278" s="35">
        <v>0</v>
      </c>
      <c r="EE278" s="35">
        <v>0</v>
      </c>
      <c r="EF278" s="35">
        <v>0</v>
      </c>
      <c r="EG278" s="35">
        <v>0</v>
      </c>
      <c r="EH278" s="35">
        <v>0</v>
      </c>
      <c r="EI278" s="35">
        <v>0</v>
      </c>
      <c r="EJ278" s="35">
        <v>0</v>
      </c>
      <c r="EK278" s="35">
        <v>0</v>
      </c>
      <c r="EL278" s="35">
        <v>0</v>
      </c>
      <c r="EM278" s="35">
        <v>0</v>
      </c>
      <c r="EN278" s="35">
        <v>0</v>
      </c>
      <c r="EO278" s="35">
        <v>0</v>
      </c>
      <c r="EP278" s="35">
        <v>0</v>
      </c>
      <c r="EQ278" s="35">
        <v>0</v>
      </c>
      <c r="ER278" s="35">
        <v>0</v>
      </c>
      <c r="ES278" s="35">
        <v>0</v>
      </c>
      <c r="ET278" s="35">
        <v>0</v>
      </c>
      <c r="EU278"/>
      <c r="EV278"/>
      <c r="EW278"/>
      <c r="FE278" s="313" t="s">
        <v>681</v>
      </c>
      <c r="FF278" s="35">
        <v>0</v>
      </c>
      <c r="FG278" s="35">
        <v>0</v>
      </c>
      <c r="FH278" s="35">
        <v>0</v>
      </c>
      <c r="FI278" s="35">
        <v>0</v>
      </c>
      <c r="FJ278" s="35">
        <v>0</v>
      </c>
      <c r="FK278" s="35">
        <v>0</v>
      </c>
      <c r="FL278" s="35">
        <v>0</v>
      </c>
      <c r="FM278" s="35">
        <v>0</v>
      </c>
      <c r="FN278" s="35">
        <v>0</v>
      </c>
      <c r="FO278" s="35">
        <v>0</v>
      </c>
      <c r="FP278" s="35">
        <v>0</v>
      </c>
      <c r="FQ278" s="35">
        <v>0</v>
      </c>
      <c r="FR278" s="35">
        <v>0</v>
      </c>
      <c r="FS278" s="35">
        <v>0</v>
      </c>
      <c r="FT278" s="35">
        <v>0</v>
      </c>
      <c r="FU278" s="35">
        <v>0</v>
      </c>
      <c r="FV278" s="35">
        <v>0</v>
      </c>
      <c r="FW278" s="35">
        <v>0</v>
      </c>
      <c r="FX278" s="35">
        <v>0</v>
      </c>
      <c r="FY278" s="35">
        <v>0</v>
      </c>
      <c r="FZ278" s="35">
        <v>0</v>
      </c>
      <c r="GA278" s="35">
        <v>0</v>
      </c>
      <c r="GB278" s="35">
        <v>0</v>
      </c>
      <c r="GC278" s="35">
        <v>0</v>
      </c>
      <c r="GD278" s="35">
        <v>0</v>
      </c>
    </row>
    <row r="279" spans="2:186" hidden="1">
      <c r="E279" s="228"/>
      <c r="F279" s="228"/>
      <c r="G279" s="228"/>
      <c r="H279" s="228"/>
      <c r="I279" s="228"/>
      <c r="J279" s="228"/>
      <c r="K279" s="228"/>
      <c r="L279" s="228"/>
      <c r="M279" s="228"/>
      <c r="N279" s="228"/>
      <c r="O279" s="228"/>
      <c r="P279" s="228"/>
      <c r="Q279" s="228"/>
      <c r="R279" s="228"/>
      <c r="S279" s="228"/>
      <c r="T279" s="228"/>
      <c r="BA279" s="313" t="s">
        <v>918</v>
      </c>
      <c r="BB279" s="35">
        <v>0</v>
      </c>
      <c r="BC279" s="35">
        <v>0</v>
      </c>
      <c r="BD279" s="35">
        <v>0</v>
      </c>
      <c r="BE279" s="35">
        <v>0</v>
      </c>
      <c r="BF279" s="35">
        <v>0</v>
      </c>
      <c r="BG279" s="35">
        <v>0</v>
      </c>
      <c r="BH279" s="35">
        <v>0</v>
      </c>
      <c r="BI279" s="35">
        <v>0</v>
      </c>
      <c r="BJ279" s="35">
        <v>0</v>
      </c>
      <c r="BK279" s="35">
        <v>0</v>
      </c>
      <c r="BL279" s="35">
        <v>0</v>
      </c>
      <c r="BM279" s="35">
        <v>0</v>
      </c>
      <c r="BN279" s="35">
        <v>0</v>
      </c>
      <c r="BO279" s="35">
        <v>0</v>
      </c>
      <c r="BP279" s="35">
        <v>0</v>
      </c>
      <c r="BQ279" s="35">
        <v>0</v>
      </c>
      <c r="BR279" s="35">
        <v>0</v>
      </c>
      <c r="BS279" s="35">
        <v>0</v>
      </c>
      <c r="BT279" s="35">
        <v>0</v>
      </c>
      <c r="BU279" s="35">
        <v>0</v>
      </c>
      <c r="BV279" s="35">
        <v>0</v>
      </c>
      <c r="BW279" s="35">
        <v>0</v>
      </c>
      <c r="BX279" s="35">
        <v>0</v>
      </c>
      <c r="BY279" s="35">
        <v>0</v>
      </c>
      <c r="BZ279" s="35">
        <v>0</v>
      </c>
      <c r="CA279"/>
      <c r="CB279"/>
      <c r="CC279"/>
      <c r="CD279"/>
      <c r="CE279"/>
      <c r="CF279"/>
      <c r="CG279"/>
      <c r="CH279"/>
      <c r="CI279"/>
      <c r="CJ279"/>
      <c r="CK279" s="313" t="s">
        <v>682</v>
      </c>
      <c r="CL279" s="35">
        <v>0</v>
      </c>
      <c r="CM279" s="35">
        <v>0</v>
      </c>
      <c r="CN279" s="35">
        <v>0</v>
      </c>
      <c r="CO279" s="35">
        <v>0</v>
      </c>
      <c r="CP279" s="35">
        <v>0</v>
      </c>
      <c r="CQ279" s="35">
        <v>0</v>
      </c>
      <c r="CR279" s="35">
        <v>0</v>
      </c>
      <c r="CS279" s="35">
        <v>0</v>
      </c>
      <c r="CT279" s="35">
        <v>0</v>
      </c>
      <c r="CU279" s="35">
        <v>0</v>
      </c>
      <c r="CV279" s="35">
        <v>0</v>
      </c>
      <c r="CW279" s="35">
        <v>0</v>
      </c>
      <c r="CX279" s="35">
        <v>0</v>
      </c>
      <c r="CY279" s="35">
        <v>0</v>
      </c>
      <c r="CZ279" s="35">
        <v>0</v>
      </c>
      <c r="DA279" s="35">
        <v>0</v>
      </c>
      <c r="DB279" s="35">
        <v>0</v>
      </c>
      <c r="DC279" s="35">
        <v>0</v>
      </c>
      <c r="DD279" s="35">
        <v>0</v>
      </c>
      <c r="DE279" s="35">
        <v>0</v>
      </c>
      <c r="DF279" s="35">
        <v>0</v>
      </c>
      <c r="DG279" s="35">
        <v>0</v>
      </c>
      <c r="DH279" s="35">
        <v>0</v>
      </c>
      <c r="DI279" s="35">
        <v>0</v>
      </c>
      <c r="DJ279" s="35">
        <v>0</v>
      </c>
      <c r="DK279"/>
      <c r="DL279"/>
      <c r="DM279"/>
      <c r="DN279"/>
      <c r="DO279"/>
      <c r="DP279"/>
      <c r="DQ279"/>
      <c r="DR279"/>
      <c r="DS279"/>
      <c r="DT279"/>
      <c r="DU279" s="313" t="s">
        <v>682</v>
      </c>
      <c r="DV279" s="35">
        <v>0</v>
      </c>
      <c r="DW279" s="35">
        <v>0</v>
      </c>
      <c r="DX279" s="35">
        <v>0</v>
      </c>
      <c r="DY279" s="35">
        <v>0</v>
      </c>
      <c r="DZ279" s="35">
        <v>0</v>
      </c>
      <c r="EA279" s="35">
        <v>0</v>
      </c>
      <c r="EB279" s="35">
        <v>0</v>
      </c>
      <c r="EC279" s="35">
        <v>0</v>
      </c>
      <c r="ED279" s="35">
        <v>0</v>
      </c>
      <c r="EE279" s="35">
        <v>0</v>
      </c>
      <c r="EF279" s="35">
        <v>0</v>
      </c>
      <c r="EG279" s="35">
        <v>0</v>
      </c>
      <c r="EH279" s="35">
        <v>0</v>
      </c>
      <c r="EI279" s="35">
        <v>0</v>
      </c>
      <c r="EJ279" s="35">
        <v>0</v>
      </c>
      <c r="EK279" s="35">
        <v>0</v>
      </c>
      <c r="EL279" s="35">
        <v>0</v>
      </c>
      <c r="EM279" s="35">
        <v>0</v>
      </c>
      <c r="EN279" s="35">
        <v>0</v>
      </c>
      <c r="EO279" s="35">
        <v>0</v>
      </c>
      <c r="EP279" s="35">
        <v>0</v>
      </c>
      <c r="EQ279" s="35">
        <v>0</v>
      </c>
      <c r="ER279" s="35">
        <v>0</v>
      </c>
      <c r="ES279" s="35">
        <v>0</v>
      </c>
      <c r="ET279" s="35">
        <v>0</v>
      </c>
      <c r="EU279"/>
      <c r="EV279"/>
      <c r="EW279"/>
      <c r="FE279" s="313" t="s">
        <v>682</v>
      </c>
      <c r="FF279" s="35">
        <v>0</v>
      </c>
      <c r="FG279" s="35">
        <v>0</v>
      </c>
      <c r="FH279" s="35">
        <v>0</v>
      </c>
      <c r="FI279" s="35">
        <v>0</v>
      </c>
      <c r="FJ279" s="35">
        <v>0</v>
      </c>
      <c r="FK279" s="35">
        <v>0</v>
      </c>
      <c r="FL279" s="35">
        <v>0</v>
      </c>
      <c r="FM279" s="35">
        <v>0</v>
      </c>
      <c r="FN279" s="35">
        <v>0</v>
      </c>
      <c r="FO279" s="35">
        <v>0</v>
      </c>
      <c r="FP279" s="35">
        <v>0</v>
      </c>
      <c r="FQ279" s="35">
        <v>0</v>
      </c>
      <c r="FR279" s="35">
        <v>0</v>
      </c>
      <c r="FS279" s="35">
        <v>0</v>
      </c>
      <c r="FT279" s="35">
        <v>0</v>
      </c>
      <c r="FU279" s="35">
        <v>0</v>
      </c>
      <c r="FV279" s="35">
        <v>0</v>
      </c>
      <c r="FW279" s="35">
        <v>0</v>
      </c>
      <c r="FX279" s="35">
        <v>0</v>
      </c>
      <c r="FY279" s="35">
        <v>0</v>
      </c>
      <c r="FZ279" s="35">
        <v>0</v>
      </c>
      <c r="GA279" s="35">
        <v>0</v>
      </c>
      <c r="GB279" s="35">
        <v>0</v>
      </c>
      <c r="GC279" s="35">
        <v>0</v>
      </c>
      <c r="GD279" s="35">
        <v>0</v>
      </c>
    </row>
    <row r="280" spans="2:186" hidden="1">
      <c r="E280" s="228"/>
      <c r="F280" s="228"/>
      <c r="G280" s="228"/>
      <c r="H280" s="228"/>
      <c r="I280" s="228"/>
      <c r="J280" s="228"/>
      <c r="K280" s="228"/>
      <c r="L280" s="228"/>
      <c r="M280" s="228"/>
      <c r="N280" s="228"/>
      <c r="O280" s="228"/>
      <c r="P280" s="228"/>
      <c r="Q280" s="228"/>
      <c r="R280" s="228"/>
      <c r="S280" s="228"/>
      <c r="T280" s="228"/>
      <c r="BA280" s="357" t="s">
        <v>683</v>
      </c>
      <c r="BB280" s="460">
        <v>8</v>
      </c>
      <c r="BC280" s="235">
        <v>9</v>
      </c>
      <c r="BD280" s="36">
        <v>10</v>
      </c>
      <c r="BE280" s="36">
        <v>10</v>
      </c>
      <c r="BF280" s="36">
        <v>10</v>
      </c>
      <c r="BG280" s="235">
        <v>5</v>
      </c>
      <c r="BH280" s="235">
        <v>6</v>
      </c>
      <c r="BI280" s="235">
        <v>6</v>
      </c>
      <c r="BJ280" s="235">
        <v>9</v>
      </c>
      <c r="BK280" s="36">
        <v>10</v>
      </c>
      <c r="BL280" s="36">
        <v>10</v>
      </c>
      <c r="BM280" s="36">
        <v>10</v>
      </c>
      <c r="BN280" s="36">
        <v>11</v>
      </c>
      <c r="BO280" s="36">
        <v>11</v>
      </c>
      <c r="BP280" s="36">
        <v>12</v>
      </c>
      <c r="BQ280" s="36">
        <v>13</v>
      </c>
      <c r="BR280" s="36">
        <v>13</v>
      </c>
      <c r="BS280" s="36">
        <v>14</v>
      </c>
      <c r="BT280" s="36">
        <v>14</v>
      </c>
      <c r="BU280" s="36">
        <v>16</v>
      </c>
      <c r="BV280" s="36">
        <v>17</v>
      </c>
      <c r="BW280" s="36">
        <v>18</v>
      </c>
      <c r="BX280" s="36">
        <v>19</v>
      </c>
      <c r="BY280" s="36">
        <v>20</v>
      </c>
      <c r="BZ280" s="36">
        <v>20</v>
      </c>
      <c r="CA280"/>
      <c r="CB280"/>
      <c r="CC280"/>
      <c r="CD280"/>
      <c r="CE280"/>
      <c r="CF280"/>
      <c r="CG280"/>
      <c r="CH280"/>
      <c r="CI280"/>
      <c r="CJ280"/>
      <c r="CK280" s="313" t="s">
        <v>683</v>
      </c>
      <c r="CL280" s="460">
        <v>6</v>
      </c>
      <c r="CM280" s="460">
        <v>7</v>
      </c>
      <c r="CN280" s="35">
        <v>10</v>
      </c>
      <c r="CO280" s="35">
        <v>10</v>
      </c>
      <c r="CP280" s="35">
        <v>10</v>
      </c>
      <c r="CQ280" s="460">
        <v>5</v>
      </c>
      <c r="CR280" s="460">
        <v>6</v>
      </c>
      <c r="CS280" s="460">
        <v>6</v>
      </c>
      <c r="CT280" s="460">
        <v>7</v>
      </c>
      <c r="CU280" s="35">
        <v>10</v>
      </c>
      <c r="CV280" s="36">
        <v>10</v>
      </c>
      <c r="CW280" s="36">
        <v>10</v>
      </c>
      <c r="CX280" s="36">
        <v>11</v>
      </c>
      <c r="CY280" s="36">
        <v>11</v>
      </c>
      <c r="CZ280" s="36">
        <v>12</v>
      </c>
      <c r="DA280" s="36">
        <v>13</v>
      </c>
      <c r="DB280" s="36">
        <v>14</v>
      </c>
      <c r="DC280" s="36">
        <v>14</v>
      </c>
      <c r="DD280" s="36">
        <v>15</v>
      </c>
      <c r="DE280" s="36">
        <v>15</v>
      </c>
      <c r="DF280" s="36">
        <v>16</v>
      </c>
      <c r="DG280" s="36">
        <v>17</v>
      </c>
      <c r="DH280" s="36">
        <v>18</v>
      </c>
      <c r="DI280" s="36">
        <v>18</v>
      </c>
      <c r="DJ280" s="36">
        <v>19</v>
      </c>
      <c r="DK280"/>
      <c r="DL280"/>
      <c r="DM280"/>
      <c r="DN280"/>
      <c r="DO280"/>
      <c r="DP280"/>
      <c r="DQ280"/>
      <c r="DR280"/>
      <c r="DS280"/>
      <c r="DT280"/>
      <c r="DU280" s="313" t="s">
        <v>683</v>
      </c>
      <c r="DV280" s="235">
        <v>6</v>
      </c>
      <c r="DW280" s="235">
        <v>7</v>
      </c>
      <c r="DX280" s="36">
        <v>10</v>
      </c>
      <c r="DY280" s="36">
        <v>10</v>
      </c>
      <c r="DZ280" s="36">
        <v>10</v>
      </c>
      <c r="EA280" s="235">
        <v>7</v>
      </c>
      <c r="EB280" s="235">
        <v>7</v>
      </c>
      <c r="EC280" s="235">
        <v>6</v>
      </c>
      <c r="ED280" s="235">
        <v>7</v>
      </c>
      <c r="EE280" s="36">
        <v>10</v>
      </c>
      <c r="EF280" s="36">
        <v>10</v>
      </c>
      <c r="EG280" s="36">
        <v>10</v>
      </c>
      <c r="EH280" s="36">
        <v>11</v>
      </c>
      <c r="EI280" s="235">
        <v>13</v>
      </c>
      <c r="EJ280" s="36">
        <v>12</v>
      </c>
      <c r="EK280" s="36">
        <v>14</v>
      </c>
      <c r="EL280" s="36">
        <v>13</v>
      </c>
      <c r="EM280" s="36">
        <v>16</v>
      </c>
      <c r="EN280" s="36">
        <v>17</v>
      </c>
      <c r="EO280" s="36">
        <v>15</v>
      </c>
      <c r="EP280" s="36">
        <v>18</v>
      </c>
      <c r="EQ280" s="36">
        <v>18</v>
      </c>
      <c r="ER280" s="36">
        <v>19</v>
      </c>
      <c r="ES280" s="36">
        <v>16</v>
      </c>
      <c r="ET280" s="36">
        <v>19</v>
      </c>
      <c r="EU280"/>
      <c r="EV280"/>
      <c r="EW280"/>
      <c r="FE280" s="313" t="s">
        <v>683</v>
      </c>
      <c r="FF280" s="235">
        <v>7</v>
      </c>
      <c r="FG280" s="235">
        <v>7</v>
      </c>
      <c r="FH280" s="36">
        <v>10</v>
      </c>
      <c r="FI280" s="36">
        <v>10</v>
      </c>
      <c r="FJ280" s="36">
        <v>10</v>
      </c>
      <c r="FK280" s="235">
        <v>7</v>
      </c>
      <c r="FL280" s="235">
        <v>7</v>
      </c>
      <c r="FM280" s="235">
        <v>7</v>
      </c>
      <c r="FN280" s="235">
        <v>7</v>
      </c>
      <c r="FO280" s="36">
        <v>10</v>
      </c>
      <c r="FP280" s="36">
        <v>11</v>
      </c>
      <c r="FQ280" s="36">
        <v>11</v>
      </c>
      <c r="FR280" s="36">
        <v>12</v>
      </c>
      <c r="FS280" s="235">
        <v>13</v>
      </c>
      <c r="FT280" s="36">
        <v>14</v>
      </c>
      <c r="FU280" s="36">
        <v>14</v>
      </c>
      <c r="FV280" s="36">
        <v>12</v>
      </c>
      <c r="FW280" s="36">
        <v>14</v>
      </c>
      <c r="FX280" s="36">
        <v>17</v>
      </c>
      <c r="FY280" s="36">
        <v>17</v>
      </c>
      <c r="FZ280" s="36">
        <v>18</v>
      </c>
      <c r="GA280" s="36">
        <v>19</v>
      </c>
      <c r="GB280" s="36">
        <v>19</v>
      </c>
      <c r="GC280" s="36">
        <v>17</v>
      </c>
      <c r="GD280" s="36">
        <v>17</v>
      </c>
    </row>
    <row r="281" spans="2:186" hidden="1">
      <c r="B281" s="66" t="s">
        <v>644</v>
      </c>
      <c r="C281" s="78" t="str">
        <f ca="1">DEC2HEX(D281,8)</f>
        <v>00000A01</v>
      </c>
      <c r="D281" s="322">
        <f ca="1">E282*2^31+F282*2^30+G282*2^29+H282*2^28+I282*2^27+J282*2^26+K282*2^25+L282*2^24+M282*2^23+N282*2^22+O282*2^21+P282*2^20+Q282*2^19+R282*2^18+S282*2^17+T282*2^16+E281*2^15+F281*2^14+G281*2^13+H281*2^12+I281*2^11+J281*2^10+K281*2^9+L281*2^8+M281*2^7+N281*2^6+O281*2^5+P281*2^4+Q281*2^3+R281*2^2+S281*2^1+T281*2^0</f>
        <v>2561</v>
      </c>
      <c r="E281" s="228">
        <v>0</v>
      </c>
      <c r="F281" s="228">
        <v>0</v>
      </c>
      <c r="G281" s="228">
        <v>0</v>
      </c>
      <c r="H281" s="228">
        <v>0</v>
      </c>
      <c r="I281" s="228">
        <v>0</v>
      </c>
      <c r="J281" s="228">
        <v>0</v>
      </c>
      <c r="K281" s="228">
        <v>0</v>
      </c>
      <c r="L281" s="322">
        <f ca="1">IF($C$37=24,OFFSET(BB280,0,BC268),IF($C$37=25,OFFSET(CL280,0,CM268),IF($C$37=27,OFFSET(DV280,0,DW268),OFFSET(FF280,0,FG268))))</f>
        <v>10</v>
      </c>
      <c r="M281" s="228">
        <v>0</v>
      </c>
      <c r="N281" s="322">
        <f ca="1">IF($C$37=24,OFFSET(BB279,0,BC268),IF($C$37=25,OFFSET(CL279,0,CM268),IF($C$37=27,OFFSET(DV279,0,DW268),OFFSET(FF279,0,FG268))))</f>
        <v>0</v>
      </c>
      <c r="O281" s="228">
        <v>0</v>
      </c>
      <c r="P281" s="322">
        <f ca="1">IF($C$37=24,OFFSET(BB278,0,BC268),IF($C$37=25,OFFSET(CL278,0,CM268),IF($C$37=27,OFFSET(DV278,0,DW268),OFFSET(FF278,0,FG268))))</f>
        <v>0</v>
      </c>
      <c r="Q281" s="228">
        <v>0</v>
      </c>
      <c r="R281" s="228">
        <v>0</v>
      </c>
      <c r="S281" s="228">
        <v>0</v>
      </c>
      <c r="T281" s="322">
        <f ca="1">IF($C$37=24,OFFSET(BB277,0,BC268),IF($C$37=25,OFFSET(CL277,0,CM268),IF($C$37=27,OFFSET(DV277,0,DW268),OFFSET(FF277,0,FG268))))</f>
        <v>1</v>
      </c>
      <c r="BA281" s="313" t="s">
        <v>915</v>
      </c>
      <c r="BB281" s="62">
        <f>$BB$268/(BB271+1)*(BB274+1)*2^BB278*2^BB279*2</f>
        <v>1200</v>
      </c>
      <c r="BC281" s="62">
        <f>$BB$268/(BC271+1)*(BC274+1)*2^BC278*2^BC279*2</f>
        <v>1404</v>
      </c>
      <c r="BD281" s="62">
        <f t="shared" ref="BD281:BY281" si="22">$BB$268/(BD271+1)*(BD274+1)*2^BD278*2^BD279*2</f>
        <v>1600</v>
      </c>
      <c r="BE281" s="62">
        <f t="shared" si="22"/>
        <v>1800</v>
      </c>
      <c r="BF281" s="62">
        <f t="shared" si="22"/>
        <v>2000</v>
      </c>
      <c r="BG281" s="62">
        <f t="shared" si="22"/>
        <v>1104</v>
      </c>
      <c r="BH281" s="62">
        <f t="shared" si="22"/>
        <v>1200</v>
      </c>
      <c r="BI281" s="62">
        <f t="shared" si="22"/>
        <v>1296</v>
      </c>
      <c r="BJ281" s="62">
        <f t="shared" si="22"/>
        <v>1404</v>
      </c>
      <c r="BK281" s="62">
        <f t="shared" si="22"/>
        <v>1500</v>
      </c>
      <c r="BL281" s="62">
        <f t="shared" si="22"/>
        <v>1600</v>
      </c>
      <c r="BM281" s="62">
        <f t="shared" si="22"/>
        <v>1704</v>
      </c>
      <c r="BN281" s="62">
        <f t="shared" si="22"/>
        <v>1800</v>
      </c>
      <c r="BO281" s="62">
        <f t="shared" si="22"/>
        <v>1896</v>
      </c>
      <c r="BP281" s="62">
        <f t="shared" si="22"/>
        <v>2000</v>
      </c>
      <c r="BQ281" s="62">
        <f>$BB$268/(BQ271+1)*(BQ274+1)*2^BQ278*2^BQ279*2</f>
        <v>2100</v>
      </c>
      <c r="BR281" s="62">
        <f t="shared" si="22"/>
        <v>2196</v>
      </c>
      <c r="BS281" s="62">
        <f t="shared" si="22"/>
        <v>2304</v>
      </c>
      <c r="BT281" s="62">
        <f t="shared" si="22"/>
        <v>2400</v>
      </c>
      <c r="BU281" s="62">
        <f t="shared" si="22"/>
        <v>2496</v>
      </c>
      <c r="BV281" s="62">
        <f>$BB$268/(BV271+1)*(BV274+1)*2^BV278*2^BV279*2</f>
        <v>2604</v>
      </c>
      <c r="BW281" s="62">
        <f t="shared" si="22"/>
        <v>2700</v>
      </c>
      <c r="BX281" s="62">
        <f t="shared" si="22"/>
        <v>2796</v>
      </c>
      <c r="BY281" s="62">
        <f t="shared" si="22"/>
        <v>2904</v>
      </c>
      <c r="BZ281" s="62">
        <f>$BB$268/(BZ271+1)*(BZ274+1)*2^BZ278*2^BZ279*2</f>
        <v>3000</v>
      </c>
      <c r="CK281" s="313" t="s">
        <v>915</v>
      </c>
      <c r="CL281" s="62">
        <f>$CL$268/(CL271+1)*(CL274+1)*2^CL278*2^CL279*2</f>
        <v>1200</v>
      </c>
      <c r="CM281" s="62">
        <f t="shared" ref="CM281:DJ281" si="23">$CL$268/(CM271+1)*(CM274+1)*2^CM278*2^CM279*2</f>
        <v>1400</v>
      </c>
      <c r="CN281" s="62">
        <f t="shared" si="23"/>
        <v>1600</v>
      </c>
      <c r="CO281" s="62">
        <f t="shared" si="23"/>
        <v>1800</v>
      </c>
      <c r="CP281" s="62">
        <f t="shared" si="23"/>
        <v>2000</v>
      </c>
      <c r="CQ281" s="62">
        <f t="shared" si="23"/>
        <v>1100</v>
      </c>
      <c r="CR281" s="62">
        <f t="shared" si="23"/>
        <v>1200</v>
      </c>
      <c r="CS281" s="62">
        <f t="shared" si="23"/>
        <v>1300</v>
      </c>
      <c r="CT281" s="62">
        <f t="shared" si="23"/>
        <v>1400</v>
      </c>
      <c r="CU281" s="62">
        <f t="shared" si="23"/>
        <v>1500</v>
      </c>
      <c r="CV281" s="62">
        <f t="shared" si="23"/>
        <v>1600</v>
      </c>
      <c r="CW281" s="62">
        <f t="shared" si="23"/>
        <v>1700</v>
      </c>
      <c r="CX281" s="62">
        <f t="shared" si="23"/>
        <v>1800</v>
      </c>
      <c r="CY281" s="62">
        <f t="shared" si="23"/>
        <v>1900</v>
      </c>
      <c r="CZ281" s="62">
        <f t="shared" si="23"/>
        <v>2000</v>
      </c>
      <c r="DA281" s="62">
        <f t="shared" si="23"/>
        <v>2100</v>
      </c>
      <c r="DB281" s="62">
        <f t="shared" si="23"/>
        <v>2200</v>
      </c>
      <c r="DC281" s="62">
        <f t="shared" si="23"/>
        <v>2300</v>
      </c>
      <c r="DD281" s="62">
        <f t="shared" si="23"/>
        <v>2400</v>
      </c>
      <c r="DE281" s="62">
        <f t="shared" si="23"/>
        <v>2500</v>
      </c>
      <c r="DF281" s="62">
        <f t="shared" si="23"/>
        <v>2600</v>
      </c>
      <c r="DG281" s="62">
        <f t="shared" si="23"/>
        <v>2700</v>
      </c>
      <c r="DH281" s="62">
        <f t="shared" si="23"/>
        <v>2800</v>
      </c>
      <c r="DI281" s="62">
        <f t="shared" si="23"/>
        <v>2900</v>
      </c>
      <c r="DJ281" s="62">
        <f t="shared" si="23"/>
        <v>3000</v>
      </c>
      <c r="DK281"/>
      <c r="DL281"/>
      <c r="DM281"/>
      <c r="DN281"/>
      <c r="DO281"/>
      <c r="DP281"/>
      <c r="DQ281"/>
      <c r="DR281"/>
      <c r="DS281"/>
      <c r="DT281"/>
      <c r="DU281" s="313" t="s">
        <v>915</v>
      </c>
      <c r="DV281" s="62">
        <f>$DV$268/(DV271+1)*(DV274+1)*2^DV278*2^DV279*2</f>
        <v>1201.5</v>
      </c>
      <c r="DW281" s="62">
        <f t="shared" ref="DW281:ET281" si="24">$DV$268/(DW271+1)*(DW274+1)*2^DW278*2^DW279*2</f>
        <v>1404</v>
      </c>
      <c r="DX281" s="62">
        <f t="shared" si="24"/>
        <v>1602</v>
      </c>
      <c r="DY281" s="62">
        <f t="shared" si="24"/>
        <v>1800</v>
      </c>
      <c r="DZ281" s="62">
        <f t="shared" si="24"/>
        <v>1998</v>
      </c>
      <c r="EA281" s="62">
        <f t="shared" si="24"/>
        <v>1101.6000000000001</v>
      </c>
      <c r="EB281" s="62">
        <f t="shared" si="24"/>
        <v>1201.5</v>
      </c>
      <c r="EC281" s="62">
        <f t="shared" si="24"/>
        <v>1296</v>
      </c>
      <c r="ED281" s="62">
        <f t="shared" si="24"/>
        <v>1404</v>
      </c>
      <c r="EE281" s="62">
        <f t="shared" si="24"/>
        <v>1501.2</v>
      </c>
      <c r="EF281" s="62">
        <f t="shared" si="24"/>
        <v>1598.4</v>
      </c>
      <c r="EG281" s="62">
        <f t="shared" si="24"/>
        <v>1701</v>
      </c>
      <c r="EH281" s="62">
        <f t="shared" si="24"/>
        <v>1800</v>
      </c>
      <c r="EI281" s="62">
        <f t="shared" si="24"/>
        <v>1900.8000000000002</v>
      </c>
      <c r="EJ281" s="62">
        <f t="shared" si="24"/>
        <v>1998</v>
      </c>
      <c r="EK281" s="62">
        <f t="shared" si="24"/>
        <v>2095.2000000000003</v>
      </c>
      <c r="EL281" s="62">
        <f t="shared" si="24"/>
        <v>2200.5</v>
      </c>
      <c r="EM281" s="62">
        <f t="shared" si="24"/>
        <v>2300.4</v>
      </c>
      <c r="EN281" s="62">
        <f t="shared" si="24"/>
        <v>2397.6000000000004</v>
      </c>
      <c r="EO281" s="62">
        <f t="shared" si="24"/>
        <v>2502</v>
      </c>
      <c r="EP281" s="62">
        <f t="shared" si="24"/>
        <v>2602.8000000000002</v>
      </c>
      <c r="EQ281" s="62">
        <f t="shared" si="24"/>
        <v>2700</v>
      </c>
      <c r="ER281" s="62">
        <f t="shared" si="24"/>
        <v>2797.2000000000003</v>
      </c>
      <c r="ES281" s="62">
        <f t="shared" si="24"/>
        <v>2898</v>
      </c>
      <c r="ET281" s="62">
        <f t="shared" si="24"/>
        <v>2997</v>
      </c>
      <c r="EU281"/>
      <c r="EV281"/>
      <c r="EW281"/>
      <c r="FE281" s="313" t="s">
        <v>915</v>
      </c>
      <c r="FF281" s="62">
        <f t="shared" ref="FF281:GD281" si="25">$FF$268/(FF271+1)*(FF274+1)*2^FF278*2^FF279*2</f>
        <v>1196</v>
      </c>
      <c r="FG281" s="62">
        <f t="shared" si="25"/>
        <v>1404</v>
      </c>
      <c r="FH281" s="62">
        <f t="shared" si="25"/>
        <v>1594.6666666666665</v>
      </c>
      <c r="FI281" s="62">
        <f t="shared" si="25"/>
        <v>1802.6666666666665</v>
      </c>
      <c r="FJ281" s="62">
        <f t="shared" si="25"/>
        <v>1976</v>
      </c>
      <c r="FK281" s="62">
        <f t="shared" si="25"/>
        <v>1102.4000000000001</v>
      </c>
      <c r="FL281" s="62">
        <f t="shared" si="25"/>
        <v>1196</v>
      </c>
      <c r="FM281" s="62">
        <f t="shared" si="25"/>
        <v>1300</v>
      </c>
      <c r="FN281" s="62">
        <f t="shared" si="25"/>
        <v>1404</v>
      </c>
      <c r="FO281" s="62">
        <f t="shared" si="25"/>
        <v>1497.6000000000001</v>
      </c>
      <c r="FP281" s="62">
        <f t="shared" si="25"/>
        <v>1599</v>
      </c>
      <c r="FQ281" s="62">
        <f t="shared" si="25"/>
        <v>1690</v>
      </c>
      <c r="FR281" s="62">
        <f t="shared" si="25"/>
        <v>1799.2</v>
      </c>
      <c r="FS281" s="62">
        <f t="shared" si="25"/>
        <v>1903.2</v>
      </c>
      <c r="FT281" s="62">
        <f t="shared" si="25"/>
        <v>2002</v>
      </c>
      <c r="FU281" s="62">
        <f t="shared" si="25"/>
        <v>2100.8000000000002</v>
      </c>
      <c r="FV281" s="62">
        <f t="shared" si="25"/>
        <v>2201.333333333333</v>
      </c>
      <c r="FW281" s="62">
        <f t="shared" si="25"/>
        <v>2301</v>
      </c>
      <c r="FX281" s="62">
        <f t="shared" si="25"/>
        <v>2402.4</v>
      </c>
      <c r="FY281" s="62">
        <f t="shared" si="25"/>
        <v>2496</v>
      </c>
      <c r="FZ281" s="62">
        <f t="shared" si="25"/>
        <v>2600</v>
      </c>
      <c r="GA281" s="62">
        <f t="shared" si="25"/>
        <v>2704</v>
      </c>
      <c r="GB281" s="62">
        <f t="shared" si="25"/>
        <v>2797.6</v>
      </c>
      <c r="GC281" s="62">
        <f t="shared" si="25"/>
        <v>2899</v>
      </c>
      <c r="GD281" s="62">
        <f t="shared" si="25"/>
        <v>2998.6666666666665</v>
      </c>
    </row>
    <row r="282" spans="2:186" hidden="1">
      <c r="B282"/>
      <c r="C282"/>
      <c r="D282" s="228"/>
      <c r="E282" s="228">
        <v>0</v>
      </c>
      <c r="F282" s="228">
        <v>0</v>
      </c>
      <c r="G282" s="228">
        <v>0</v>
      </c>
      <c r="H282" s="228">
        <v>0</v>
      </c>
      <c r="I282" s="228">
        <v>0</v>
      </c>
      <c r="J282" s="228">
        <v>0</v>
      </c>
      <c r="K282" s="228">
        <v>0</v>
      </c>
      <c r="L282" s="228">
        <v>0</v>
      </c>
      <c r="M282" s="228">
        <v>0</v>
      </c>
      <c r="N282" s="228">
        <v>0</v>
      </c>
      <c r="O282" s="228">
        <v>0</v>
      </c>
      <c r="P282" s="228">
        <v>0</v>
      </c>
      <c r="Q282" s="228">
        <v>0</v>
      </c>
      <c r="R282" s="228">
        <v>0</v>
      </c>
      <c r="S282" s="228">
        <v>0</v>
      </c>
      <c r="T282" s="228">
        <v>0</v>
      </c>
      <c r="BA282" s="313" t="s">
        <v>919</v>
      </c>
      <c r="BB282" s="464">
        <f>$BB$268/(BB271+1)</f>
        <v>8</v>
      </c>
      <c r="BC282" s="62">
        <f t="shared" ref="BC282:BZ282" si="26">$BB$268/(BC271+1)</f>
        <v>6</v>
      </c>
      <c r="BD282" s="62">
        <f t="shared" si="26"/>
        <v>8</v>
      </c>
      <c r="BE282" s="62">
        <f t="shared" si="26"/>
        <v>12</v>
      </c>
      <c r="BF282" s="62">
        <f t="shared" si="26"/>
        <v>8</v>
      </c>
      <c r="BG282" s="62">
        <f t="shared" si="26"/>
        <v>24</v>
      </c>
      <c r="BH282" s="62">
        <f t="shared" si="26"/>
        <v>8</v>
      </c>
      <c r="BI282" s="62">
        <f t="shared" si="26"/>
        <v>24</v>
      </c>
      <c r="BJ282" s="62">
        <f t="shared" si="26"/>
        <v>6</v>
      </c>
      <c r="BK282" s="62">
        <f t="shared" si="26"/>
        <v>6</v>
      </c>
      <c r="BL282" s="62">
        <f t="shared" si="26"/>
        <v>8</v>
      </c>
      <c r="BM282" s="62">
        <f t="shared" si="26"/>
        <v>12</v>
      </c>
      <c r="BN282" s="62">
        <f t="shared" si="26"/>
        <v>12</v>
      </c>
      <c r="BO282" s="62">
        <f t="shared" si="26"/>
        <v>12</v>
      </c>
      <c r="BP282" s="62">
        <f t="shared" si="26"/>
        <v>8</v>
      </c>
      <c r="BQ282" s="62">
        <f t="shared" si="26"/>
        <v>6</v>
      </c>
      <c r="BR282" s="62">
        <f t="shared" si="26"/>
        <v>6</v>
      </c>
      <c r="BS282" s="62">
        <f t="shared" si="26"/>
        <v>6</v>
      </c>
      <c r="BT282" s="62">
        <f t="shared" si="26"/>
        <v>6</v>
      </c>
      <c r="BU282" s="62">
        <f t="shared" si="26"/>
        <v>6</v>
      </c>
      <c r="BV282" s="62">
        <f t="shared" si="26"/>
        <v>6</v>
      </c>
      <c r="BW282" s="62">
        <f t="shared" si="26"/>
        <v>6</v>
      </c>
      <c r="BX282" s="62">
        <f t="shared" si="26"/>
        <v>6</v>
      </c>
      <c r="BY282" s="62">
        <f t="shared" si="26"/>
        <v>6</v>
      </c>
      <c r="BZ282" s="62">
        <f t="shared" si="26"/>
        <v>6</v>
      </c>
      <c r="CK282" s="313" t="s">
        <v>919</v>
      </c>
      <c r="CL282" s="62">
        <f>$CL$268/(CL271+1)</f>
        <v>25</v>
      </c>
      <c r="CM282" s="62">
        <f t="shared" ref="CM282:DJ282" si="27">$CL$268/(CM271+1)</f>
        <v>25</v>
      </c>
      <c r="CN282" s="62">
        <f t="shared" si="27"/>
        <v>25</v>
      </c>
      <c r="CO282" s="62">
        <f t="shared" si="27"/>
        <v>25</v>
      </c>
      <c r="CP282" s="62">
        <f t="shared" si="27"/>
        <v>12.5</v>
      </c>
      <c r="CQ282" s="62">
        <f t="shared" si="27"/>
        <v>25</v>
      </c>
      <c r="CR282" s="62">
        <f t="shared" si="27"/>
        <v>25</v>
      </c>
      <c r="CS282" s="62">
        <f t="shared" si="27"/>
        <v>25</v>
      </c>
      <c r="CT282" s="62">
        <f t="shared" si="27"/>
        <v>25</v>
      </c>
      <c r="CU282" s="62">
        <f t="shared" si="27"/>
        <v>25</v>
      </c>
      <c r="CV282" s="62">
        <f t="shared" si="27"/>
        <v>25</v>
      </c>
      <c r="CW282" s="62">
        <f t="shared" si="27"/>
        <v>25</v>
      </c>
      <c r="CX282" s="62">
        <f t="shared" si="27"/>
        <v>25</v>
      </c>
      <c r="CY282" s="62">
        <f t="shared" si="27"/>
        <v>25</v>
      </c>
      <c r="CZ282" s="62">
        <f t="shared" si="27"/>
        <v>25</v>
      </c>
      <c r="DA282" s="62">
        <f t="shared" si="27"/>
        <v>25</v>
      </c>
      <c r="DB282" s="62">
        <f t="shared" si="27"/>
        <v>25</v>
      </c>
      <c r="DC282" s="62">
        <f t="shared" si="27"/>
        <v>25</v>
      </c>
      <c r="DD282" s="62">
        <f t="shared" si="27"/>
        <v>25</v>
      </c>
      <c r="DE282" s="62">
        <f t="shared" si="27"/>
        <v>25</v>
      </c>
      <c r="DF282" s="62">
        <f t="shared" si="27"/>
        <v>25</v>
      </c>
      <c r="DG282" s="62">
        <f t="shared" si="27"/>
        <v>25</v>
      </c>
      <c r="DH282" s="62">
        <f t="shared" si="27"/>
        <v>25</v>
      </c>
      <c r="DI282" s="62">
        <f t="shared" si="27"/>
        <v>25</v>
      </c>
      <c r="DJ282" s="62">
        <f t="shared" si="27"/>
        <v>25</v>
      </c>
      <c r="DU282" s="313" t="s">
        <v>919</v>
      </c>
      <c r="DV282" s="62">
        <f>$DV$268/(DV271+1)</f>
        <v>6.75</v>
      </c>
      <c r="DW282" s="62">
        <f t="shared" ref="DW282:ET282" si="28">$DV$268/(DW271+1)</f>
        <v>27</v>
      </c>
      <c r="DX282" s="62">
        <f t="shared" si="28"/>
        <v>9</v>
      </c>
      <c r="DY282" s="62">
        <f t="shared" si="28"/>
        <v>9</v>
      </c>
      <c r="DZ282" s="62">
        <f t="shared" si="28"/>
        <v>27</v>
      </c>
      <c r="EA282" s="62">
        <f t="shared" si="28"/>
        <v>5.4</v>
      </c>
      <c r="EB282" s="62">
        <f t="shared" si="28"/>
        <v>6.75</v>
      </c>
      <c r="EC282" s="62">
        <f t="shared" si="28"/>
        <v>27</v>
      </c>
      <c r="ED282" s="62">
        <f t="shared" si="28"/>
        <v>27</v>
      </c>
      <c r="EE282" s="62">
        <f t="shared" si="28"/>
        <v>5.4</v>
      </c>
      <c r="EF282" s="62">
        <f t="shared" si="28"/>
        <v>5.4</v>
      </c>
      <c r="EG282" s="62">
        <f t="shared" si="28"/>
        <v>13.5</v>
      </c>
      <c r="EH282" s="62">
        <f t="shared" si="28"/>
        <v>9</v>
      </c>
      <c r="EI282" s="62">
        <f t="shared" si="28"/>
        <v>5.4</v>
      </c>
      <c r="EJ282" s="62">
        <f t="shared" si="28"/>
        <v>27</v>
      </c>
      <c r="EK282" s="62">
        <f t="shared" si="28"/>
        <v>5.4</v>
      </c>
      <c r="EL282" s="62">
        <f t="shared" si="28"/>
        <v>6.75</v>
      </c>
      <c r="EM282" s="62">
        <f t="shared" si="28"/>
        <v>5.4</v>
      </c>
      <c r="EN282" s="62">
        <f t="shared" si="28"/>
        <v>5.4</v>
      </c>
      <c r="EO282" s="62">
        <f t="shared" si="28"/>
        <v>9</v>
      </c>
      <c r="EP282" s="62">
        <f t="shared" si="28"/>
        <v>5.4</v>
      </c>
      <c r="EQ282" s="62">
        <f t="shared" si="28"/>
        <v>5.4</v>
      </c>
      <c r="ER282" s="62">
        <f t="shared" si="28"/>
        <v>5.4</v>
      </c>
      <c r="ES282" s="62">
        <f t="shared" si="28"/>
        <v>9</v>
      </c>
      <c r="ET282" s="62">
        <f t="shared" si="28"/>
        <v>6.75</v>
      </c>
      <c r="EU282"/>
      <c r="EV282"/>
      <c r="EW282"/>
      <c r="FE282" s="313" t="s">
        <v>919</v>
      </c>
      <c r="FF282" s="62">
        <f t="shared" ref="FF282:GD282" si="29">$FF$268/(FF271+1)</f>
        <v>6.5</v>
      </c>
      <c r="FG282" s="62">
        <f t="shared" si="29"/>
        <v>26</v>
      </c>
      <c r="FH282" s="62">
        <f t="shared" si="29"/>
        <v>8.6666666666666661</v>
      </c>
      <c r="FI282" s="62">
        <f t="shared" si="29"/>
        <v>8.6666666666666661</v>
      </c>
      <c r="FJ282" s="62">
        <f t="shared" si="29"/>
        <v>26</v>
      </c>
      <c r="FK282" s="62">
        <f t="shared" si="29"/>
        <v>5.2</v>
      </c>
      <c r="FL282" s="62">
        <f t="shared" si="29"/>
        <v>6.5</v>
      </c>
      <c r="FM282" s="62">
        <f t="shared" si="29"/>
        <v>26</v>
      </c>
      <c r="FN282" s="62">
        <f t="shared" si="29"/>
        <v>26</v>
      </c>
      <c r="FO282" s="62">
        <f t="shared" si="29"/>
        <v>5.2</v>
      </c>
      <c r="FP282" s="62">
        <f t="shared" si="29"/>
        <v>6.5</v>
      </c>
      <c r="FQ282" s="62">
        <f t="shared" si="29"/>
        <v>13</v>
      </c>
      <c r="FR282" s="62">
        <f t="shared" si="29"/>
        <v>5.2</v>
      </c>
      <c r="FS282" s="62">
        <f t="shared" si="29"/>
        <v>5.2</v>
      </c>
      <c r="FT282" s="62">
        <f t="shared" si="29"/>
        <v>6.5</v>
      </c>
      <c r="FU282" s="62">
        <f t="shared" si="29"/>
        <v>5.2</v>
      </c>
      <c r="FV282" s="62">
        <f t="shared" si="29"/>
        <v>8.6666666666666661</v>
      </c>
      <c r="FW282" s="62">
        <f t="shared" si="29"/>
        <v>6.5</v>
      </c>
      <c r="FX282" s="62">
        <f t="shared" si="29"/>
        <v>5.2</v>
      </c>
      <c r="FY282" s="62">
        <f t="shared" si="29"/>
        <v>5.2</v>
      </c>
      <c r="FZ282" s="62">
        <f t="shared" si="29"/>
        <v>5.2</v>
      </c>
      <c r="GA282" s="62">
        <f t="shared" si="29"/>
        <v>5.2</v>
      </c>
      <c r="GB282" s="62">
        <f t="shared" si="29"/>
        <v>5.2</v>
      </c>
      <c r="GC282" s="62">
        <f t="shared" si="29"/>
        <v>6.5</v>
      </c>
      <c r="GD282" s="62">
        <f t="shared" si="29"/>
        <v>8.6666666666666661</v>
      </c>
    </row>
    <row r="283" spans="2:186" hidden="1">
      <c r="B283"/>
      <c r="C283"/>
      <c r="D283" s="228"/>
      <c r="E283" s="228"/>
      <c r="F283" s="228"/>
      <c r="G283" s="228"/>
      <c r="H283" s="228"/>
      <c r="I283" s="228"/>
      <c r="J283" s="228"/>
      <c r="K283" s="228"/>
      <c r="L283" s="228"/>
      <c r="M283" s="228"/>
      <c r="N283" s="228"/>
      <c r="O283" s="228"/>
      <c r="P283" s="228"/>
      <c r="Q283" s="228"/>
      <c r="R283" s="228"/>
      <c r="S283" s="228"/>
      <c r="T283" s="228"/>
      <c r="BA283" s="313" t="s">
        <v>916</v>
      </c>
      <c r="BB283" s="356" t="str">
        <f t="shared" ref="BB283:BZ283" si="30">IF(AND(BB281&gt;=1000,BB281&lt;=2500),"OK","NG")</f>
        <v>OK</v>
      </c>
      <c r="BC283" s="356" t="str">
        <f t="shared" si="30"/>
        <v>OK</v>
      </c>
      <c r="BD283" s="356" t="str">
        <f t="shared" si="30"/>
        <v>OK</v>
      </c>
      <c r="BE283" s="356" t="str">
        <f t="shared" si="30"/>
        <v>OK</v>
      </c>
      <c r="BF283" s="356" t="str">
        <f t="shared" si="30"/>
        <v>OK</v>
      </c>
      <c r="BG283" s="356" t="str">
        <f t="shared" si="30"/>
        <v>OK</v>
      </c>
      <c r="BH283" s="356" t="str">
        <f t="shared" si="30"/>
        <v>OK</v>
      </c>
      <c r="BI283" s="356" t="str">
        <f t="shared" si="30"/>
        <v>OK</v>
      </c>
      <c r="BJ283" s="356" t="str">
        <f t="shared" si="30"/>
        <v>OK</v>
      </c>
      <c r="BK283" s="356" t="str">
        <f t="shared" si="30"/>
        <v>OK</v>
      </c>
      <c r="BL283" s="356" t="str">
        <f t="shared" si="30"/>
        <v>OK</v>
      </c>
      <c r="BM283" s="356" t="str">
        <f t="shared" si="30"/>
        <v>OK</v>
      </c>
      <c r="BN283" s="356" t="str">
        <f t="shared" si="30"/>
        <v>OK</v>
      </c>
      <c r="BO283" s="356" t="str">
        <f t="shared" si="30"/>
        <v>OK</v>
      </c>
      <c r="BP283" s="356" t="str">
        <f t="shared" si="30"/>
        <v>OK</v>
      </c>
      <c r="BQ283" s="356" t="str">
        <f t="shared" si="30"/>
        <v>OK</v>
      </c>
      <c r="BR283" s="356" t="str">
        <f t="shared" si="30"/>
        <v>OK</v>
      </c>
      <c r="BS283" s="356" t="str">
        <f t="shared" si="30"/>
        <v>OK</v>
      </c>
      <c r="BT283" s="356" t="str">
        <f t="shared" si="30"/>
        <v>OK</v>
      </c>
      <c r="BU283" s="356" t="str">
        <f t="shared" si="30"/>
        <v>OK</v>
      </c>
      <c r="BV283" s="356" t="str">
        <f t="shared" si="30"/>
        <v>NG</v>
      </c>
      <c r="BW283" s="356" t="str">
        <f t="shared" si="30"/>
        <v>NG</v>
      </c>
      <c r="BX283" s="356" t="str">
        <f t="shared" si="30"/>
        <v>NG</v>
      </c>
      <c r="BY283" s="356" t="str">
        <f t="shared" si="30"/>
        <v>NG</v>
      </c>
      <c r="BZ283" s="356" t="str">
        <f t="shared" si="30"/>
        <v>NG</v>
      </c>
      <c r="CA283"/>
      <c r="CB283"/>
      <c r="CC283"/>
      <c r="CD283"/>
      <c r="CE283"/>
      <c r="CF283"/>
      <c r="CG283"/>
      <c r="CH283"/>
      <c r="CI283"/>
      <c r="CJ283"/>
      <c r="CK283" s="313" t="s">
        <v>916</v>
      </c>
      <c r="CL283" s="356" t="str">
        <f>IF(AND(CL281&gt;=1000,CL281&lt;=2500),"OK","NG")</f>
        <v>OK</v>
      </c>
      <c r="CM283" s="356" t="str">
        <f t="shared" ref="CM283:DJ283" si="31">IF(AND(CM281&gt;=1000,CM281&lt;=2500),"OK","NG")</f>
        <v>OK</v>
      </c>
      <c r="CN283" s="356" t="str">
        <f t="shared" si="31"/>
        <v>OK</v>
      </c>
      <c r="CO283" s="356" t="str">
        <f t="shared" si="31"/>
        <v>OK</v>
      </c>
      <c r="CP283" s="356" t="str">
        <f t="shared" si="31"/>
        <v>OK</v>
      </c>
      <c r="CQ283" s="356" t="str">
        <f t="shared" si="31"/>
        <v>OK</v>
      </c>
      <c r="CR283" s="356" t="str">
        <f t="shared" si="31"/>
        <v>OK</v>
      </c>
      <c r="CS283" s="356" t="str">
        <f t="shared" si="31"/>
        <v>OK</v>
      </c>
      <c r="CT283" s="356" t="str">
        <f t="shared" si="31"/>
        <v>OK</v>
      </c>
      <c r="CU283" s="356" t="str">
        <f t="shared" si="31"/>
        <v>OK</v>
      </c>
      <c r="CV283" s="356" t="str">
        <f t="shared" si="31"/>
        <v>OK</v>
      </c>
      <c r="CW283" s="356" t="str">
        <f t="shared" si="31"/>
        <v>OK</v>
      </c>
      <c r="CX283" s="356" t="str">
        <f t="shared" si="31"/>
        <v>OK</v>
      </c>
      <c r="CY283" s="356" t="str">
        <f t="shared" si="31"/>
        <v>OK</v>
      </c>
      <c r="CZ283" s="356" t="str">
        <f t="shared" si="31"/>
        <v>OK</v>
      </c>
      <c r="DA283" s="356" t="str">
        <f t="shared" si="31"/>
        <v>OK</v>
      </c>
      <c r="DB283" s="356" t="str">
        <f t="shared" si="31"/>
        <v>OK</v>
      </c>
      <c r="DC283" s="356" t="str">
        <f t="shared" si="31"/>
        <v>OK</v>
      </c>
      <c r="DD283" s="356" t="str">
        <f t="shared" si="31"/>
        <v>OK</v>
      </c>
      <c r="DE283" s="356" t="str">
        <f t="shared" si="31"/>
        <v>OK</v>
      </c>
      <c r="DF283" s="356" t="str">
        <f t="shared" si="31"/>
        <v>NG</v>
      </c>
      <c r="DG283" s="356" t="str">
        <f t="shared" si="31"/>
        <v>NG</v>
      </c>
      <c r="DH283" s="356" t="str">
        <f t="shared" si="31"/>
        <v>NG</v>
      </c>
      <c r="DI283" s="356" t="str">
        <f t="shared" si="31"/>
        <v>NG</v>
      </c>
      <c r="DJ283" s="356" t="str">
        <f t="shared" si="31"/>
        <v>NG</v>
      </c>
      <c r="DK283"/>
      <c r="DL283"/>
      <c r="DM283"/>
      <c r="DN283"/>
      <c r="DO283"/>
      <c r="DP283"/>
      <c r="DQ283"/>
      <c r="DR283"/>
      <c r="DS283"/>
      <c r="DT283"/>
      <c r="DU283" s="313" t="s">
        <v>916</v>
      </c>
      <c r="DV283" s="356" t="str">
        <f>IF(AND(DV281&gt;=1000,DV281&lt;=2500),"OK","NG")</f>
        <v>OK</v>
      </c>
      <c r="DW283" s="356" t="str">
        <f t="shared" ref="DW283:ET283" si="32">IF(AND(DW281&gt;=1000,DW281&lt;=2500),"OK","NG")</f>
        <v>OK</v>
      </c>
      <c r="DX283" s="356" t="str">
        <f t="shared" si="32"/>
        <v>OK</v>
      </c>
      <c r="DY283" s="356" t="str">
        <f t="shared" si="32"/>
        <v>OK</v>
      </c>
      <c r="DZ283" s="356" t="str">
        <f t="shared" si="32"/>
        <v>OK</v>
      </c>
      <c r="EA283" s="356" t="str">
        <f t="shared" si="32"/>
        <v>OK</v>
      </c>
      <c r="EB283" s="356" t="str">
        <f t="shared" si="32"/>
        <v>OK</v>
      </c>
      <c r="EC283" s="356" t="str">
        <f t="shared" si="32"/>
        <v>OK</v>
      </c>
      <c r="ED283" s="356" t="str">
        <f t="shared" si="32"/>
        <v>OK</v>
      </c>
      <c r="EE283" s="356" t="str">
        <f t="shared" si="32"/>
        <v>OK</v>
      </c>
      <c r="EF283" s="356" t="str">
        <f t="shared" si="32"/>
        <v>OK</v>
      </c>
      <c r="EG283" s="356" t="str">
        <f t="shared" si="32"/>
        <v>OK</v>
      </c>
      <c r="EH283" s="356" t="str">
        <f t="shared" si="32"/>
        <v>OK</v>
      </c>
      <c r="EI283" s="356" t="str">
        <f t="shared" si="32"/>
        <v>OK</v>
      </c>
      <c r="EJ283" s="356" t="str">
        <f t="shared" si="32"/>
        <v>OK</v>
      </c>
      <c r="EK283" s="356" t="str">
        <f t="shared" si="32"/>
        <v>OK</v>
      </c>
      <c r="EL283" s="356" t="str">
        <f t="shared" si="32"/>
        <v>OK</v>
      </c>
      <c r="EM283" s="356" t="str">
        <f t="shared" si="32"/>
        <v>OK</v>
      </c>
      <c r="EN283" s="356" t="str">
        <f t="shared" si="32"/>
        <v>OK</v>
      </c>
      <c r="EO283" s="356" t="str">
        <f t="shared" si="32"/>
        <v>NG</v>
      </c>
      <c r="EP283" s="356" t="str">
        <f t="shared" si="32"/>
        <v>NG</v>
      </c>
      <c r="EQ283" s="356" t="str">
        <f t="shared" si="32"/>
        <v>NG</v>
      </c>
      <c r="ER283" s="356" t="str">
        <f t="shared" si="32"/>
        <v>NG</v>
      </c>
      <c r="ES283" s="356" t="str">
        <f t="shared" si="32"/>
        <v>NG</v>
      </c>
      <c r="ET283" s="356" t="str">
        <f t="shared" si="32"/>
        <v>NG</v>
      </c>
      <c r="EU283"/>
      <c r="EV283"/>
      <c r="EW283"/>
      <c r="FE283" s="313" t="s">
        <v>916</v>
      </c>
      <c r="FF283" s="356" t="str">
        <f>IF(AND(FF281&gt;=1000,FF281&lt;=2500),"OK","NG")</f>
        <v>OK</v>
      </c>
      <c r="FG283" s="356" t="str">
        <f t="shared" ref="FG283:GD283" si="33">IF(AND(FG281&gt;=1000,FG281&lt;=2500),"OK","NG")</f>
        <v>OK</v>
      </c>
      <c r="FH283" s="356" t="str">
        <f t="shared" si="33"/>
        <v>OK</v>
      </c>
      <c r="FI283" s="356" t="str">
        <f t="shared" si="33"/>
        <v>OK</v>
      </c>
      <c r="FJ283" s="356" t="str">
        <f t="shared" si="33"/>
        <v>OK</v>
      </c>
      <c r="FK283" s="356" t="str">
        <f t="shared" si="33"/>
        <v>OK</v>
      </c>
      <c r="FL283" s="356" t="str">
        <f t="shared" si="33"/>
        <v>OK</v>
      </c>
      <c r="FM283" s="356" t="str">
        <f t="shared" si="33"/>
        <v>OK</v>
      </c>
      <c r="FN283" s="356" t="str">
        <f t="shared" si="33"/>
        <v>OK</v>
      </c>
      <c r="FO283" s="356" t="str">
        <f t="shared" si="33"/>
        <v>OK</v>
      </c>
      <c r="FP283" s="356" t="str">
        <f t="shared" si="33"/>
        <v>OK</v>
      </c>
      <c r="FQ283" s="356" t="str">
        <f t="shared" si="33"/>
        <v>OK</v>
      </c>
      <c r="FR283" s="356" t="str">
        <f t="shared" si="33"/>
        <v>OK</v>
      </c>
      <c r="FS283" s="356" t="str">
        <f t="shared" si="33"/>
        <v>OK</v>
      </c>
      <c r="FT283" s="356" t="str">
        <f t="shared" si="33"/>
        <v>OK</v>
      </c>
      <c r="FU283" s="356" t="str">
        <f t="shared" si="33"/>
        <v>OK</v>
      </c>
      <c r="FV283" s="356" t="str">
        <f t="shared" si="33"/>
        <v>OK</v>
      </c>
      <c r="FW283" s="356" t="str">
        <f t="shared" si="33"/>
        <v>OK</v>
      </c>
      <c r="FX283" s="356" t="str">
        <f t="shared" si="33"/>
        <v>OK</v>
      </c>
      <c r="FY283" s="356" t="str">
        <f t="shared" si="33"/>
        <v>OK</v>
      </c>
      <c r="FZ283" s="356" t="str">
        <f t="shared" si="33"/>
        <v>NG</v>
      </c>
      <c r="GA283" s="356" t="str">
        <f t="shared" si="33"/>
        <v>NG</v>
      </c>
      <c r="GB283" s="356" t="str">
        <f t="shared" si="33"/>
        <v>NG</v>
      </c>
      <c r="GC283" s="356" t="str">
        <f t="shared" si="33"/>
        <v>NG</v>
      </c>
      <c r="GD283" s="356" t="str">
        <f t="shared" si="33"/>
        <v>NG</v>
      </c>
    </row>
    <row r="284" spans="2:186" hidden="1">
      <c r="B284"/>
      <c r="C284"/>
      <c r="D284" s="228"/>
      <c r="E284" s="228"/>
      <c r="F284" s="228"/>
      <c r="G284" s="228"/>
      <c r="H284" s="228"/>
      <c r="I284" s="228"/>
      <c r="J284" s="228"/>
      <c r="K284" s="228"/>
      <c r="L284" s="228"/>
      <c r="M284" s="228"/>
      <c r="N284" s="228"/>
      <c r="O284" s="228"/>
      <c r="P284" s="228"/>
      <c r="Q284" s="228"/>
      <c r="R284" s="228"/>
      <c r="S284" s="228"/>
      <c r="T284" s="228"/>
      <c r="BA284" s="313" t="s">
        <v>920</v>
      </c>
      <c r="BB284" s="356" t="str">
        <f>IF(AND(BB282&gt;5,BB282&lt;90),"OK","NG")</f>
        <v>OK</v>
      </c>
      <c r="BC284" s="356" t="str">
        <f t="shared" ref="BC284:BZ284" si="34">IF(AND(BC282&gt;5,BC282&lt;90),"OK","NG")</f>
        <v>OK</v>
      </c>
      <c r="BD284" s="356" t="str">
        <f t="shared" si="34"/>
        <v>OK</v>
      </c>
      <c r="BE284" s="356" t="str">
        <f t="shared" si="34"/>
        <v>OK</v>
      </c>
      <c r="BF284" s="356" t="str">
        <f t="shared" si="34"/>
        <v>OK</v>
      </c>
      <c r="BG284" s="356" t="str">
        <f t="shared" si="34"/>
        <v>OK</v>
      </c>
      <c r="BH284" s="356" t="str">
        <f t="shared" si="34"/>
        <v>OK</v>
      </c>
      <c r="BI284" s="356" t="str">
        <f t="shared" si="34"/>
        <v>OK</v>
      </c>
      <c r="BJ284" s="356" t="str">
        <f t="shared" si="34"/>
        <v>OK</v>
      </c>
      <c r="BK284" s="356" t="str">
        <f t="shared" si="34"/>
        <v>OK</v>
      </c>
      <c r="BL284" s="356" t="str">
        <f t="shared" si="34"/>
        <v>OK</v>
      </c>
      <c r="BM284" s="356" t="str">
        <f t="shared" si="34"/>
        <v>OK</v>
      </c>
      <c r="BN284" s="356" t="str">
        <f t="shared" si="34"/>
        <v>OK</v>
      </c>
      <c r="BO284" s="356" t="str">
        <f t="shared" si="34"/>
        <v>OK</v>
      </c>
      <c r="BP284" s="356" t="str">
        <f t="shared" si="34"/>
        <v>OK</v>
      </c>
      <c r="BQ284" s="356" t="str">
        <f t="shared" si="34"/>
        <v>OK</v>
      </c>
      <c r="BR284" s="356" t="str">
        <f t="shared" si="34"/>
        <v>OK</v>
      </c>
      <c r="BS284" s="356" t="str">
        <f t="shared" si="34"/>
        <v>OK</v>
      </c>
      <c r="BT284" s="356" t="str">
        <f t="shared" si="34"/>
        <v>OK</v>
      </c>
      <c r="BU284" s="356" t="str">
        <f t="shared" si="34"/>
        <v>OK</v>
      </c>
      <c r="BV284" s="356" t="str">
        <f t="shared" si="34"/>
        <v>OK</v>
      </c>
      <c r="BW284" s="356" t="str">
        <f t="shared" si="34"/>
        <v>OK</v>
      </c>
      <c r="BX284" s="356" t="str">
        <f t="shared" si="34"/>
        <v>OK</v>
      </c>
      <c r="BY284" s="356" t="str">
        <f t="shared" si="34"/>
        <v>OK</v>
      </c>
      <c r="BZ284" s="356" t="str">
        <f t="shared" si="34"/>
        <v>OK</v>
      </c>
      <c r="CA284"/>
      <c r="CB284"/>
      <c r="CC284"/>
      <c r="CD284"/>
      <c r="CE284"/>
      <c r="CF284"/>
      <c r="CG284"/>
      <c r="CH284"/>
      <c r="CI284"/>
      <c r="CJ284"/>
      <c r="CK284" s="313" t="s">
        <v>920</v>
      </c>
      <c r="CL284" s="356" t="str">
        <f>IF(AND(CL282&gt;5,CL282&lt;90),"OK","NG")</f>
        <v>OK</v>
      </c>
      <c r="CM284" s="356" t="str">
        <f t="shared" ref="CM284:DJ284" si="35">IF(AND(CM282&gt;5,CM282&lt;90),"OK","NG")</f>
        <v>OK</v>
      </c>
      <c r="CN284" s="356" t="str">
        <f t="shared" si="35"/>
        <v>OK</v>
      </c>
      <c r="CO284" s="356" t="str">
        <f t="shared" si="35"/>
        <v>OK</v>
      </c>
      <c r="CP284" s="356" t="str">
        <f t="shared" si="35"/>
        <v>OK</v>
      </c>
      <c r="CQ284" s="356" t="str">
        <f t="shared" si="35"/>
        <v>OK</v>
      </c>
      <c r="CR284" s="356" t="str">
        <f t="shared" si="35"/>
        <v>OK</v>
      </c>
      <c r="CS284" s="356" t="str">
        <f t="shared" si="35"/>
        <v>OK</v>
      </c>
      <c r="CT284" s="356" t="str">
        <f t="shared" si="35"/>
        <v>OK</v>
      </c>
      <c r="CU284" s="356" t="str">
        <f t="shared" si="35"/>
        <v>OK</v>
      </c>
      <c r="CV284" s="356" t="str">
        <f t="shared" si="35"/>
        <v>OK</v>
      </c>
      <c r="CW284" s="356" t="str">
        <f t="shared" si="35"/>
        <v>OK</v>
      </c>
      <c r="CX284" s="356" t="str">
        <f t="shared" si="35"/>
        <v>OK</v>
      </c>
      <c r="CY284" s="356" t="str">
        <f t="shared" si="35"/>
        <v>OK</v>
      </c>
      <c r="CZ284" s="356" t="str">
        <f t="shared" si="35"/>
        <v>OK</v>
      </c>
      <c r="DA284" s="356" t="str">
        <f t="shared" si="35"/>
        <v>OK</v>
      </c>
      <c r="DB284" s="356" t="str">
        <f t="shared" si="35"/>
        <v>OK</v>
      </c>
      <c r="DC284" s="356" t="str">
        <f t="shared" si="35"/>
        <v>OK</v>
      </c>
      <c r="DD284" s="356" t="str">
        <f t="shared" si="35"/>
        <v>OK</v>
      </c>
      <c r="DE284" s="356" t="str">
        <f t="shared" si="35"/>
        <v>OK</v>
      </c>
      <c r="DF284" s="356" t="str">
        <f t="shared" si="35"/>
        <v>OK</v>
      </c>
      <c r="DG284" s="356" t="str">
        <f t="shared" si="35"/>
        <v>OK</v>
      </c>
      <c r="DH284" s="356" t="str">
        <f t="shared" si="35"/>
        <v>OK</v>
      </c>
      <c r="DI284" s="356" t="str">
        <f t="shared" si="35"/>
        <v>OK</v>
      </c>
      <c r="DJ284" s="356" t="str">
        <f t="shared" si="35"/>
        <v>OK</v>
      </c>
      <c r="DK284"/>
      <c r="DL284"/>
      <c r="DM284"/>
      <c r="DN284"/>
      <c r="DO284"/>
      <c r="DP284"/>
      <c r="DQ284"/>
      <c r="DR284"/>
      <c r="DS284"/>
      <c r="DT284"/>
      <c r="DU284" s="313" t="s">
        <v>920</v>
      </c>
      <c r="DV284" s="356" t="str">
        <f>IF(AND(DV282&gt;5,DV282&lt;90),"OK","NG")</f>
        <v>OK</v>
      </c>
      <c r="DW284" s="356" t="str">
        <f t="shared" ref="DW284:ET284" si="36">IF(AND(DW282&gt;5,DW282&lt;90),"OK","NG")</f>
        <v>OK</v>
      </c>
      <c r="DX284" s="356" t="str">
        <f t="shared" si="36"/>
        <v>OK</v>
      </c>
      <c r="DY284" s="356" t="str">
        <f t="shared" si="36"/>
        <v>OK</v>
      </c>
      <c r="DZ284" s="356" t="str">
        <f t="shared" si="36"/>
        <v>OK</v>
      </c>
      <c r="EA284" s="356" t="str">
        <f t="shared" si="36"/>
        <v>OK</v>
      </c>
      <c r="EB284" s="356" t="str">
        <f t="shared" si="36"/>
        <v>OK</v>
      </c>
      <c r="EC284" s="356" t="str">
        <f t="shared" si="36"/>
        <v>OK</v>
      </c>
      <c r="ED284" s="356" t="str">
        <f t="shared" si="36"/>
        <v>OK</v>
      </c>
      <c r="EE284" s="356" t="str">
        <f t="shared" si="36"/>
        <v>OK</v>
      </c>
      <c r="EF284" s="356" t="str">
        <f t="shared" si="36"/>
        <v>OK</v>
      </c>
      <c r="EG284" s="356" t="str">
        <f t="shared" si="36"/>
        <v>OK</v>
      </c>
      <c r="EH284" s="356" t="str">
        <f t="shared" si="36"/>
        <v>OK</v>
      </c>
      <c r="EI284" s="356" t="str">
        <f t="shared" si="36"/>
        <v>OK</v>
      </c>
      <c r="EJ284" s="356" t="str">
        <f t="shared" si="36"/>
        <v>OK</v>
      </c>
      <c r="EK284" s="356" t="str">
        <f>IF(AND(EK282&gt;5,EK282&lt;90),"OK","NG")</f>
        <v>OK</v>
      </c>
      <c r="EL284" s="356" t="str">
        <f t="shared" si="36"/>
        <v>OK</v>
      </c>
      <c r="EM284" s="356" t="str">
        <f t="shared" si="36"/>
        <v>OK</v>
      </c>
      <c r="EN284" s="356" t="str">
        <f t="shared" si="36"/>
        <v>OK</v>
      </c>
      <c r="EO284" s="356" t="str">
        <f t="shared" si="36"/>
        <v>OK</v>
      </c>
      <c r="EP284" s="356" t="str">
        <f t="shared" si="36"/>
        <v>OK</v>
      </c>
      <c r="EQ284" s="356" t="str">
        <f t="shared" si="36"/>
        <v>OK</v>
      </c>
      <c r="ER284" s="356" t="str">
        <f t="shared" si="36"/>
        <v>OK</v>
      </c>
      <c r="ES284" s="356" t="str">
        <f t="shared" si="36"/>
        <v>OK</v>
      </c>
      <c r="ET284" s="356" t="str">
        <f t="shared" si="36"/>
        <v>OK</v>
      </c>
      <c r="EU284"/>
      <c r="EV284"/>
      <c r="EW284"/>
      <c r="FE284" s="313" t="s">
        <v>920</v>
      </c>
      <c r="FF284" s="356" t="str">
        <f>IF(AND(FF282&gt;5,FF282&lt;90),"OK","NG")</f>
        <v>OK</v>
      </c>
      <c r="FG284" s="356" t="str">
        <f t="shared" ref="FG284:GD284" si="37">IF(AND(FG282&gt;5,FG282&lt;90),"OK","NG")</f>
        <v>OK</v>
      </c>
      <c r="FH284" s="356" t="str">
        <f t="shared" si="37"/>
        <v>OK</v>
      </c>
      <c r="FI284" s="356" t="str">
        <f t="shared" si="37"/>
        <v>OK</v>
      </c>
      <c r="FJ284" s="356" t="str">
        <f t="shared" si="37"/>
        <v>OK</v>
      </c>
      <c r="FK284" s="356" t="str">
        <f t="shared" si="37"/>
        <v>OK</v>
      </c>
      <c r="FL284" s="356" t="str">
        <f t="shared" si="37"/>
        <v>OK</v>
      </c>
      <c r="FM284" s="356" t="str">
        <f t="shared" si="37"/>
        <v>OK</v>
      </c>
      <c r="FN284" s="356" t="str">
        <f t="shared" si="37"/>
        <v>OK</v>
      </c>
      <c r="FO284" s="356" t="str">
        <f t="shared" si="37"/>
        <v>OK</v>
      </c>
      <c r="FP284" s="356" t="str">
        <f t="shared" si="37"/>
        <v>OK</v>
      </c>
      <c r="FQ284" s="356" t="str">
        <f t="shared" si="37"/>
        <v>OK</v>
      </c>
      <c r="FR284" s="356" t="str">
        <f t="shared" si="37"/>
        <v>OK</v>
      </c>
      <c r="FS284" s="356" t="str">
        <f t="shared" si="37"/>
        <v>OK</v>
      </c>
      <c r="FT284" s="356" t="str">
        <f t="shared" si="37"/>
        <v>OK</v>
      </c>
      <c r="FU284" s="356" t="str">
        <f t="shared" si="37"/>
        <v>OK</v>
      </c>
      <c r="FV284" s="356" t="str">
        <f t="shared" si="37"/>
        <v>OK</v>
      </c>
      <c r="FW284" s="356" t="str">
        <f t="shared" si="37"/>
        <v>OK</v>
      </c>
      <c r="FX284" s="356" t="str">
        <f t="shared" si="37"/>
        <v>OK</v>
      </c>
      <c r="FY284" s="356" t="str">
        <f t="shared" si="37"/>
        <v>OK</v>
      </c>
      <c r="FZ284" s="356" t="str">
        <f t="shared" si="37"/>
        <v>OK</v>
      </c>
      <c r="GA284" s="356" t="str">
        <f t="shared" si="37"/>
        <v>OK</v>
      </c>
      <c r="GB284" s="356" t="str">
        <f t="shared" si="37"/>
        <v>OK</v>
      </c>
      <c r="GC284" s="356" t="str">
        <f t="shared" si="37"/>
        <v>OK</v>
      </c>
      <c r="GD284" s="356" t="str">
        <f t="shared" si="37"/>
        <v>OK</v>
      </c>
    </row>
    <row r="285" spans="2:186" hidden="1">
      <c r="B285" s="66" t="s">
        <v>645</v>
      </c>
      <c r="C285" s="78" t="str">
        <f>DEC2HEX(D285,8)</f>
        <v>00000030</v>
      </c>
      <c r="D285" s="322">
        <f>E286*2^31+F286*2^30+G286*2^29+H286*2^28+I286*2^27+J286*2^26+K286*2^25+L286*2^24+M286*2^23+N286*2^22+O286*2^21+P286*2^20+Q286*2^19+R286*2^18+S286*2^17+T286*2^16+E285*2^15+F285*2^14+G285*2^13+H285*2^12+I285*2^11+J285*2^10+K285*2^9+L285*2^8+M285*2^7+N285*2^6+O285*2^5+P285*2^4+Q285*2^3+R285*2^2+S285*2^1+T285*2^0</f>
        <v>48</v>
      </c>
      <c r="E285" s="228">
        <v>0</v>
      </c>
      <c r="F285" s="228">
        <v>0</v>
      </c>
      <c r="G285" s="228">
        <v>0</v>
      </c>
      <c r="H285" s="228">
        <v>0</v>
      </c>
      <c r="I285" s="228">
        <v>0</v>
      </c>
      <c r="J285" s="228">
        <v>0</v>
      </c>
      <c r="K285" s="228">
        <v>0</v>
      </c>
      <c r="L285" s="228">
        <v>0</v>
      </c>
      <c r="M285" s="228">
        <v>0</v>
      </c>
      <c r="N285" s="228">
        <v>0</v>
      </c>
      <c r="O285" s="228">
        <v>1</v>
      </c>
      <c r="P285" s="228">
        <v>1</v>
      </c>
      <c r="Q285" s="228">
        <v>0</v>
      </c>
      <c r="R285" s="228">
        <v>0</v>
      </c>
      <c r="S285" s="228">
        <v>0</v>
      </c>
      <c r="T285" s="228">
        <v>0</v>
      </c>
      <c r="BA285" s="313" t="s">
        <v>1565</v>
      </c>
      <c r="BB285" s="462">
        <f>1.0564*BB$280+1.078</f>
        <v>9.5291999999999994</v>
      </c>
      <c r="BC285" s="462">
        <f t="shared" ref="BC285:BJ285" si="38">1.0564*BC$280+1.078</f>
        <v>10.585599999999999</v>
      </c>
      <c r="BD285" s="462">
        <f t="shared" si="38"/>
        <v>11.641999999999999</v>
      </c>
      <c r="BE285" s="462">
        <f t="shared" si="38"/>
        <v>11.641999999999999</v>
      </c>
      <c r="BF285" s="462">
        <f t="shared" si="38"/>
        <v>11.641999999999999</v>
      </c>
      <c r="BG285" s="462">
        <f t="shared" si="38"/>
        <v>6.36</v>
      </c>
      <c r="BH285" s="462">
        <f t="shared" si="38"/>
        <v>7.4164000000000003</v>
      </c>
      <c r="BI285" s="462">
        <f t="shared" si="38"/>
        <v>7.4164000000000003</v>
      </c>
      <c r="BJ285" s="462">
        <f t="shared" si="38"/>
        <v>10.585599999999999</v>
      </c>
      <c r="BK285" s="462">
        <f>1.0564*BK$280+1.078</f>
        <v>11.641999999999999</v>
      </c>
      <c r="BL285" s="462">
        <f t="shared" ref="BL285:BZ285" si="39">1.0564*BL$280+1.078</f>
        <v>11.641999999999999</v>
      </c>
      <c r="BM285" s="462">
        <f t="shared" si="39"/>
        <v>11.641999999999999</v>
      </c>
      <c r="BN285" s="462">
        <f t="shared" si="39"/>
        <v>12.698399999999999</v>
      </c>
      <c r="BO285" s="462">
        <f t="shared" si="39"/>
        <v>12.698399999999999</v>
      </c>
      <c r="BP285" s="462">
        <f t="shared" si="39"/>
        <v>13.754799999999999</v>
      </c>
      <c r="BQ285" s="462">
        <f t="shared" si="39"/>
        <v>14.811199999999999</v>
      </c>
      <c r="BR285" s="462">
        <f t="shared" si="39"/>
        <v>14.811199999999999</v>
      </c>
      <c r="BS285" s="465">
        <f t="shared" si="39"/>
        <v>15.867599999999999</v>
      </c>
      <c r="BT285" s="465">
        <f t="shared" si="39"/>
        <v>15.867599999999999</v>
      </c>
      <c r="BU285" s="465">
        <f t="shared" si="39"/>
        <v>17.980399999999999</v>
      </c>
      <c r="BV285" s="465">
        <f t="shared" si="39"/>
        <v>19.036799999999999</v>
      </c>
      <c r="BW285" s="465">
        <f t="shared" si="39"/>
        <v>20.0932</v>
      </c>
      <c r="BX285" s="465">
        <f t="shared" si="39"/>
        <v>21.1496</v>
      </c>
      <c r="BY285" s="465">
        <f t="shared" si="39"/>
        <v>22.206</v>
      </c>
      <c r="BZ285" s="465">
        <f t="shared" si="39"/>
        <v>22.206</v>
      </c>
      <c r="CA285"/>
      <c r="CB285"/>
      <c r="CC285"/>
      <c r="CD285"/>
      <c r="CE285"/>
      <c r="CF285"/>
      <c r="CG285"/>
      <c r="CH285"/>
      <c r="CI285"/>
      <c r="CJ285"/>
      <c r="CK285" s="313" t="s">
        <v>1565</v>
      </c>
      <c r="CL285" s="462">
        <f>1.0564*CL$280+1.078</f>
        <v>7.4164000000000003</v>
      </c>
      <c r="CM285" s="462">
        <f t="shared" ref="CM285:CT285" si="40">1.0564*CM$280+1.078</f>
        <v>8.4727999999999994</v>
      </c>
      <c r="CN285" s="462">
        <f t="shared" si="40"/>
        <v>11.641999999999999</v>
      </c>
      <c r="CO285" s="462">
        <f t="shared" si="40"/>
        <v>11.641999999999999</v>
      </c>
      <c r="CP285" s="462">
        <f t="shared" si="40"/>
        <v>11.641999999999999</v>
      </c>
      <c r="CQ285" s="462">
        <f t="shared" si="40"/>
        <v>6.36</v>
      </c>
      <c r="CR285" s="462">
        <f t="shared" si="40"/>
        <v>7.4164000000000003</v>
      </c>
      <c r="CS285" s="462">
        <f t="shared" si="40"/>
        <v>7.4164000000000003</v>
      </c>
      <c r="CT285" s="462">
        <f t="shared" si="40"/>
        <v>8.4727999999999994</v>
      </c>
      <c r="CU285" s="462">
        <f>1.0564*CU$280+1.078</f>
        <v>11.641999999999999</v>
      </c>
      <c r="CV285" s="462">
        <f t="shared" ref="CV285:DI285" si="41">1.0564*CV$280+1.078</f>
        <v>11.641999999999999</v>
      </c>
      <c r="CW285" s="462">
        <f t="shared" si="41"/>
        <v>11.641999999999999</v>
      </c>
      <c r="CX285" s="462">
        <f t="shared" si="41"/>
        <v>12.698399999999999</v>
      </c>
      <c r="CY285" s="462">
        <f t="shared" si="41"/>
        <v>12.698399999999999</v>
      </c>
      <c r="CZ285" s="462">
        <f t="shared" si="41"/>
        <v>13.754799999999999</v>
      </c>
      <c r="DA285" s="462">
        <f t="shared" si="41"/>
        <v>14.811199999999999</v>
      </c>
      <c r="DB285" s="462">
        <f t="shared" si="41"/>
        <v>15.867599999999999</v>
      </c>
      <c r="DC285" s="465">
        <f t="shared" si="41"/>
        <v>15.867599999999999</v>
      </c>
      <c r="DD285" s="465">
        <f t="shared" si="41"/>
        <v>16.923999999999999</v>
      </c>
      <c r="DE285" s="465">
        <f t="shared" si="41"/>
        <v>16.923999999999999</v>
      </c>
      <c r="DF285" s="465">
        <f t="shared" si="41"/>
        <v>17.980399999999999</v>
      </c>
      <c r="DG285" s="465">
        <f t="shared" si="41"/>
        <v>19.036799999999999</v>
      </c>
      <c r="DH285" s="465">
        <f t="shared" si="41"/>
        <v>20.0932</v>
      </c>
      <c r="DI285" s="465">
        <f t="shared" si="41"/>
        <v>20.0932</v>
      </c>
      <c r="DJ285" s="465">
        <f>1.0564*DJ$280+1.078</f>
        <v>21.1496</v>
      </c>
      <c r="DK285"/>
      <c r="DL285"/>
      <c r="DM285"/>
      <c r="DN285"/>
      <c r="DO285"/>
      <c r="DP285"/>
      <c r="DQ285"/>
      <c r="DR285"/>
      <c r="DS285"/>
      <c r="DT285"/>
      <c r="DU285" s="313" t="s">
        <v>1565</v>
      </c>
      <c r="DV285" s="462">
        <f>1.0564*DV$280+1.078</f>
        <v>7.4164000000000003</v>
      </c>
      <c r="DW285" s="462">
        <f t="shared" ref="DW285:ED285" si="42">1.0564*DW$280+1.078</f>
        <v>8.4727999999999994</v>
      </c>
      <c r="DX285" s="462">
        <f t="shared" si="42"/>
        <v>11.641999999999999</v>
      </c>
      <c r="DY285" s="462">
        <f t="shared" si="42"/>
        <v>11.641999999999999</v>
      </c>
      <c r="DZ285" s="462">
        <f t="shared" si="42"/>
        <v>11.641999999999999</v>
      </c>
      <c r="EA285" s="462">
        <f t="shared" si="42"/>
        <v>8.4727999999999994</v>
      </c>
      <c r="EB285" s="462">
        <f>1.0564*EB$280+1.078</f>
        <v>8.4727999999999994</v>
      </c>
      <c r="EC285" s="462">
        <f t="shared" si="42"/>
        <v>7.4164000000000003</v>
      </c>
      <c r="ED285" s="462">
        <f t="shared" si="42"/>
        <v>8.4727999999999994</v>
      </c>
      <c r="EE285" s="462">
        <f>1.0564*EE$280+1.078</f>
        <v>11.641999999999999</v>
      </c>
      <c r="EF285" s="462">
        <f t="shared" ref="EF285:ES285" si="43">1.0564*EF$280+1.078</f>
        <v>11.641999999999999</v>
      </c>
      <c r="EG285" s="462">
        <f t="shared" si="43"/>
        <v>11.641999999999999</v>
      </c>
      <c r="EH285" s="462">
        <f t="shared" si="43"/>
        <v>12.698399999999999</v>
      </c>
      <c r="EI285" s="462">
        <f t="shared" si="43"/>
        <v>14.811199999999999</v>
      </c>
      <c r="EJ285" s="462">
        <f t="shared" si="43"/>
        <v>13.754799999999999</v>
      </c>
      <c r="EK285" s="462">
        <f t="shared" si="43"/>
        <v>15.867599999999999</v>
      </c>
      <c r="EL285" s="462">
        <f t="shared" si="43"/>
        <v>14.811199999999999</v>
      </c>
      <c r="EM285" s="465">
        <f t="shared" si="43"/>
        <v>17.980399999999999</v>
      </c>
      <c r="EN285" s="465">
        <f t="shared" si="43"/>
        <v>19.036799999999999</v>
      </c>
      <c r="EO285" s="465">
        <f t="shared" si="43"/>
        <v>16.923999999999999</v>
      </c>
      <c r="EP285" s="465">
        <f t="shared" si="43"/>
        <v>20.0932</v>
      </c>
      <c r="EQ285" s="465">
        <f t="shared" si="43"/>
        <v>20.0932</v>
      </c>
      <c r="ER285" s="465">
        <f t="shared" si="43"/>
        <v>21.1496</v>
      </c>
      <c r="ES285" s="465">
        <f t="shared" si="43"/>
        <v>17.980399999999999</v>
      </c>
      <c r="ET285" s="465">
        <f>1.0564*ET$280+1.078</f>
        <v>21.1496</v>
      </c>
      <c r="EU285"/>
      <c r="EV285"/>
      <c r="EW285"/>
      <c r="FE285" s="313" t="s">
        <v>1565</v>
      </c>
      <c r="FF285" s="462">
        <f>1.0564*FF$280+1.078</f>
        <v>8.4727999999999994</v>
      </c>
      <c r="FG285" s="462">
        <f t="shared" ref="FG285:FN285" si="44">1.0564*FG$280+1.078</f>
        <v>8.4727999999999994</v>
      </c>
      <c r="FH285" s="462">
        <f t="shared" si="44"/>
        <v>11.641999999999999</v>
      </c>
      <c r="FI285" s="462">
        <f t="shared" si="44"/>
        <v>11.641999999999999</v>
      </c>
      <c r="FJ285" s="462">
        <f t="shared" si="44"/>
        <v>11.641999999999999</v>
      </c>
      <c r="FK285" s="462">
        <f t="shared" si="44"/>
        <v>8.4727999999999994</v>
      </c>
      <c r="FL285" s="462">
        <f>1.0564*FL$280+1.078</f>
        <v>8.4727999999999994</v>
      </c>
      <c r="FM285" s="462">
        <f t="shared" si="44"/>
        <v>8.4727999999999994</v>
      </c>
      <c r="FN285" s="462">
        <f t="shared" si="44"/>
        <v>8.4727999999999994</v>
      </c>
      <c r="FO285" s="462">
        <f>1.0564*FO$280+1.078</f>
        <v>11.641999999999999</v>
      </c>
      <c r="FP285" s="462">
        <f t="shared" ref="FP285:GC285" si="45">1.0564*FP$280+1.078</f>
        <v>12.698399999999999</v>
      </c>
      <c r="FQ285" s="462">
        <f t="shared" si="45"/>
        <v>12.698399999999999</v>
      </c>
      <c r="FR285" s="462">
        <f t="shared" si="45"/>
        <v>13.754799999999999</v>
      </c>
      <c r="FS285" s="462">
        <f t="shared" si="45"/>
        <v>14.811199999999999</v>
      </c>
      <c r="FT285" s="462">
        <f t="shared" si="45"/>
        <v>15.867599999999999</v>
      </c>
      <c r="FU285" s="462">
        <f t="shared" si="45"/>
        <v>15.867599999999999</v>
      </c>
      <c r="FV285" s="462">
        <f t="shared" si="45"/>
        <v>13.754799999999999</v>
      </c>
      <c r="FW285" s="465">
        <f t="shared" si="45"/>
        <v>15.867599999999999</v>
      </c>
      <c r="FX285" s="465">
        <f t="shared" si="45"/>
        <v>19.036799999999999</v>
      </c>
      <c r="FY285" s="465">
        <f t="shared" si="45"/>
        <v>19.036799999999999</v>
      </c>
      <c r="FZ285" s="465">
        <f t="shared" si="45"/>
        <v>20.0932</v>
      </c>
      <c r="GA285" s="465">
        <f t="shared" si="45"/>
        <v>21.1496</v>
      </c>
      <c r="GB285" s="465">
        <f t="shared" si="45"/>
        <v>21.1496</v>
      </c>
      <c r="GC285" s="465">
        <f t="shared" si="45"/>
        <v>19.036799999999999</v>
      </c>
      <c r="GD285" s="465">
        <f>1.0564*GD$280+1.078</f>
        <v>19.036799999999999</v>
      </c>
    </row>
    <row r="286" spans="2:186" hidden="1">
      <c r="D286" s="228"/>
      <c r="E286" s="228">
        <v>0</v>
      </c>
      <c r="F286" s="228">
        <v>0</v>
      </c>
      <c r="G286" s="228">
        <v>0</v>
      </c>
      <c r="H286" s="228">
        <v>0</v>
      </c>
      <c r="I286" s="228">
        <v>0</v>
      </c>
      <c r="J286" s="228">
        <v>0</v>
      </c>
      <c r="K286" s="228">
        <v>0</v>
      </c>
      <c r="L286" s="228">
        <v>0</v>
      </c>
      <c r="M286" s="228">
        <v>0</v>
      </c>
      <c r="N286" s="228">
        <v>0</v>
      </c>
      <c r="O286" s="228">
        <v>0</v>
      </c>
      <c r="P286" s="228">
        <v>0</v>
      </c>
      <c r="Q286" s="228">
        <v>0</v>
      </c>
      <c r="R286" s="228">
        <v>0</v>
      </c>
      <c r="S286" s="228">
        <v>0</v>
      </c>
      <c r="T286" s="228">
        <v>0</v>
      </c>
      <c r="BA286" s="328" t="s">
        <v>1566</v>
      </c>
      <c r="BB286" s="465">
        <f>1.4008*BB$280+1.4232</f>
        <v>12.6296</v>
      </c>
      <c r="BC286" s="465">
        <f t="shared" ref="BC286:BJ286" si="46">1.4008*BC$280+1.4232</f>
        <v>14.0304</v>
      </c>
      <c r="BD286" s="465">
        <f t="shared" si="46"/>
        <v>15.4312</v>
      </c>
      <c r="BE286" s="465">
        <f t="shared" si="46"/>
        <v>15.4312</v>
      </c>
      <c r="BF286" s="465">
        <f t="shared" si="46"/>
        <v>15.4312</v>
      </c>
      <c r="BG286" s="465">
        <f t="shared" si="46"/>
        <v>8.4272000000000009</v>
      </c>
      <c r="BH286" s="465">
        <f t="shared" si="46"/>
        <v>9.8279999999999994</v>
      </c>
      <c r="BI286" s="465">
        <f t="shared" si="46"/>
        <v>9.8279999999999994</v>
      </c>
      <c r="BJ286" s="465">
        <f t="shared" si="46"/>
        <v>14.0304</v>
      </c>
      <c r="BK286" s="465">
        <f>1.4008*BK$280+1.4232</f>
        <v>15.4312</v>
      </c>
      <c r="BL286" s="465">
        <f t="shared" ref="BL286:BZ286" si="47">1.4008*BL$280+1.4232</f>
        <v>15.4312</v>
      </c>
      <c r="BM286" s="465">
        <f t="shared" si="47"/>
        <v>15.4312</v>
      </c>
      <c r="BN286" s="465">
        <f t="shared" si="47"/>
        <v>16.832000000000001</v>
      </c>
      <c r="BO286" s="465">
        <f t="shared" si="47"/>
        <v>16.832000000000001</v>
      </c>
      <c r="BP286" s="465">
        <f t="shared" si="47"/>
        <v>18.232800000000001</v>
      </c>
      <c r="BQ286" s="465">
        <f t="shared" si="47"/>
        <v>19.633600000000001</v>
      </c>
      <c r="BR286" s="465">
        <f t="shared" si="47"/>
        <v>19.633600000000001</v>
      </c>
      <c r="BS286" s="465">
        <f t="shared" si="47"/>
        <v>21.034400000000002</v>
      </c>
      <c r="BT286" s="465">
        <f t="shared" si="47"/>
        <v>21.034400000000002</v>
      </c>
      <c r="BU286" s="465">
        <f t="shared" si="47"/>
        <v>23.836000000000002</v>
      </c>
      <c r="BV286" s="465">
        <f t="shared" si="47"/>
        <v>25.236800000000002</v>
      </c>
      <c r="BW286" s="465">
        <f t="shared" si="47"/>
        <v>26.637600000000003</v>
      </c>
      <c r="BX286" s="465">
        <f t="shared" si="47"/>
        <v>28.038400000000003</v>
      </c>
      <c r="BY286" s="465">
        <f t="shared" si="47"/>
        <v>29.439200000000003</v>
      </c>
      <c r="BZ286" s="465">
        <f t="shared" si="47"/>
        <v>29.439200000000003</v>
      </c>
      <c r="CK286" s="328" t="s">
        <v>1566</v>
      </c>
      <c r="CL286" s="465">
        <f>1.4008*CL$280+1.4232</f>
        <v>9.8279999999999994</v>
      </c>
      <c r="CM286" s="465">
        <f t="shared" ref="CM286:CT286" si="48">1.4008*CM$280+1.4232</f>
        <v>11.2288</v>
      </c>
      <c r="CN286" s="465">
        <f t="shared" si="48"/>
        <v>15.4312</v>
      </c>
      <c r="CO286" s="465">
        <f t="shared" si="48"/>
        <v>15.4312</v>
      </c>
      <c r="CP286" s="465">
        <f t="shared" si="48"/>
        <v>15.4312</v>
      </c>
      <c r="CQ286" s="465">
        <f t="shared" si="48"/>
        <v>8.4272000000000009</v>
      </c>
      <c r="CR286" s="465">
        <f t="shared" si="48"/>
        <v>9.8279999999999994</v>
      </c>
      <c r="CS286" s="465">
        <f t="shared" si="48"/>
        <v>9.8279999999999994</v>
      </c>
      <c r="CT286" s="465">
        <f t="shared" si="48"/>
        <v>11.2288</v>
      </c>
      <c r="CU286" s="465">
        <f>1.4008*CU$280+1.4232</f>
        <v>15.4312</v>
      </c>
      <c r="CV286" s="465">
        <f t="shared" ref="CV286:DI286" si="49">1.4008*CV$280+1.4232</f>
        <v>15.4312</v>
      </c>
      <c r="CW286" s="465">
        <f t="shared" si="49"/>
        <v>15.4312</v>
      </c>
      <c r="CX286" s="465">
        <f t="shared" si="49"/>
        <v>16.832000000000001</v>
      </c>
      <c r="CY286" s="465">
        <f t="shared" si="49"/>
        <v>16.832000000000001</v>
      </c>
      <c r="CZ286" s="465">
        <f t="shared" si="49"/>
        <v>18.232800000000001</v>
      </c>
      <c r="DA286" s="465">
        <f t="shared" si="49"/>
        <v>19.633600000000001</v>
      </c>
      <c r="DB286" s="465">
        <f t="shared" si="49"/>
        <v>21.034400000000002</v>
      </c>
      <c r="DC286" s="465">
        <f t="shared" si="49"/>
        <v>21.034400000000002</v>
      </c>
      <c r="DD286" s="465">
        <f t="shared" si="49"/>
        <v>22.435200000000002</v>
      </c>
      <c r="DE286" s="465">
        <f t="shared" si="49"/>
        <v>22.435200000000002</v>
      </c>
      <c r="DF286" s="465">
        <f t="shared" si="49"/>
        <v>23.836000000000002</v>
      </c>
      <c r="DG286" s="465">
        <f t="shared" si="49"/>
        <v>25.236800000000002</v>
      </c>
      <c r="DH286" s="465">
        <f t="shared" si="49"/>
        <v>26.637600000000003</v>
      </c>
      <c r="DI286" s="465">
        <f t="shared" si="49"/>
        <v>26.637600000000003</v>
      </c>
      <c r="DJ286" s="465">
        <f>1.4008*DJ$280+1.4232</f>
        <v>28.038400000000003</v>
      </c>
      <c r="DU286" s="328" t="s">
        <v>1566</v>
      </c>
      <c r="DV286" s="465">
        <f>1.4008*DV$280+1.4232</f>
        <v>9.8279999999999994</v>
      </c>
      <c r="DW286" s="465">
        <f t="shared" ref="DW286:ED286" si="50">1.4008*DW$280+1.4232</f>
        <v>11.2288</v>
      </c>
      <c r="DX286" s="465">
        <f t="shared" si="50"/>
        <v>15.4312</v>
      </c>
      <c r="DY286" s="465">
        <f t="shared" si="50"/>
        <v>15.4312</v>
      </c>
      <c r="DZ286" s="465">
        <f t="shared" si="50"/>
        <v>15.4312</v>
      </c>
      <c r="EA286" s="465">
        <f t="shared" si="50"/>
        <v>11.2288</v>
      </c>
      <c r="EB286" s="465">
        <f>1.4008*EB$280+1.4232</f>
        <v>11.2288</v>
      </c>
      <c r="EC286" s="465">
        <f t="shared" si="50"/>
        <v>9.8279999999999994</v>
      </c>
      <c r="ED286" s="465">
        <f t="shared" si="50"/>
        <v>11.2288</v>
      </c>
      <c r="EE286" s="465">
        <f>1.4008*EE$280+1.4232</f>
        <v>15.4312</v>
      </c>
      <c r="EF286" s="465">
        <f t="shared" ref="EF286:ES286" si="51">1.4008*EF$280+1.4232</f>
        <v>15.4312</v>
      </c>
      <c r="EG286" s="465">
        <f t="shared" si="51"/>
        <v>15.4312</v>
      </c>
      <c r="EH286" s="465">
        <f t="shared" si="51"/>
        <v>16.832000000000001</v>
      </c>
      <c r="EI286" s="465">
        <f t="shared" si="51"/>
        <v>19.633600000000001</v>
      </c>
      <c r="EJ286" s="465">
        <f t="shared" si="51"/>
        <v>18.232800000000001</v>
      </c>
      <c r="EK286" s="465">
        <f t="shared" si="51"/>
        <v>21.034400000000002</v>
      </c>
      <c r="EL286" s="465">
        <f t="shared" si="51"/>
        <v>19.633600000000001</v>
      </c>
      <c r="EM286" s="465">
        <f t="shared" si="51"/>
        <v>23.836000000000002</v>
      </c>
      <c r="EN286" s="465">
        <f t="shared" si="51"/>
        <v>25.236800000000002</v>
      </c>
      <c r="EO286" s="465">
        <f t="shared" si="51"/>
        <v>22.435200000000002</v>
      </c>
      <c r="EP286" s="465">
        <f t="shared" si="51"/>
        <v>26.637600000000003</v>
      </c>
      <c r="EQ286" s="465">
        <f t="shared" si="51"/>
        <v>26.637600000000003</v>
      </c>
      <c r="ER286" s="465">
        <f t="shared" si="51"/>
        <v>28.038400000000003</v>
      </c>
      <c r="ES286" s="465">
        <f t="shared" si="51"/>
        <v>23.836000000000002</v>
      </c>
      <c r="ET286" s="465">
        <f>1.4008*ET$280+1.4232</f>
        <v>28.038400000000003</v>
      </c>
      <c r="FE286" s="328" t="s">
        <v>1566</v>
      </c>
      <c r="FF286" s="465">
        <f>1.4008*FF$280+1.4232</f>
        <v>11.2288</v>
      </c>
      <c r="FG286" s="465">
        <f t="shared" ref="FG286:FN286" si="52">1.4008*FG$280+1.4232</f>
        <v>11.2288</v>
      </c>
      <c r="FH286" s="465">
        <f t="shared" si="52"/>
        <v>15.4312</v>
      </c>
      <c r="FI286" s="465">
        <f t="shared" si="52"/>
        <v>15.4312</v>
      </c>
      <c r="FJ286" s="465">
        <f t="shared" si="52"/>
        <v>15.4312</v>
      </c>
      <c r="FK286" s="465">
        <f t="shared" si="52"/>
        <v>11.2288</v>
      </c>
      <c r="FL286" s="465">
        <f>1.4008*FL$280+1.4232</f>
        <v>11.2288</v>
      </c>
      <c r="FM286" s="465">
        <f t="shared" si="52"/>
        <v>11.2288</v>
      </c>
      <c r="FN286" s="465">
        <f t="shared" si="52"/>
        <v>11.2288</v>
      </c>
      <c r="FO286" s="465">
        <f>1.4008*FO$280+1.4232</f>
        <v>15.4312</v>
      </c>
      <c r="FP286" s="465">
        <f t="shared" ref="FP286:GC286" si="53">1.4008*FP$280+1.4232</f>
        <v>16.832000000000001</v>
      </c>
      <c r="FQ286" s="465">
        <f t="shared" si="53"/>
        <v>16.832000000000001</v>
      </c>
      <c r="FR286" s="465">
        <f t="shared" si="53"/>
        <v>18.232800000000001</v>
      </c>
      <c r="FS286" s="465">
        <f t="shared" si="53"/>
        <v>19.633600000000001</v>
      </c>
      <c r="FT286" s="465">
        <f t="shared" si="53"/>
        <v>21.034400000000002</v>
      </c>
      <c r="FU286" s="465">
        <f t="shared" si="53"/>
        <v>21.034400000000002</v>
      </c>
      <c r="FV286" s="465">
        <f t="shared" si="53"/>
        <v>18.232800000000001</v>
      </c>
      <c r="FW286" s="465">
        <f t="shared" si="53"/>
        <v>21.034400000000002</v>
      </c>
      <c r="FX286" s="465">
        <f t="shared" si="53"/>
        <v>25.236800000000002</v>
      </c>
      <c r="FY286" s="465">
        <f t="shared" si="53"/>
        <v>25.236800000000002</v>
      </c>
      <c r="FZ286" s="465">
        <f t="shared" si="53"/>
        <v>26.637600000000003</v>
      </c>
      <c r="GA286" s="465">
        <f t="shared" si="53"/>
        <v>28.038400000000003</v>
      </c>
      <c r="GB286" s="465">
        <f t="shared" si="53"/>
        <v>28.038400000000003</v>
      </c>
      <c r="GC286" s="465">
        <f t="shared" si="53"/>
        <v>25.236800000000002</v>
      </c>
      <c r="GD286" s="465">
        <f>1.4008*GD$280+1.4232</f>
        <v>25.236800000000002</v>
      </c>
    </row>
    <row r="287" spans="2:186" hidden="1">
      <c r="E287" s="228"/>
      <c r="F287" s="228"/>
      <c r="G287" s="228"/>
      <c r="H287" s="228"/>
      <c r="I287" s="228"/>
      <c r="J287" s="228"/>
      <c r="K287" s="228"/>
      <c r="L287" s="228"/>
      <c r="M287" s="228"/>
      <c r="N287" s="228"/>
      <c r="O287" s="228"/>
      <c r="P287" s="228"/>
      <c r="Q287" s="228"/>
      <c r="R287" s="228"/>
      <c r="S287" s="228"/>
      <c r="T287" s="228"/>
      <c r="BA287" s="313" t="s">
        <v>1567</v>
      </c>
      <c r="BB287" s="462">
        <f>2.0911*BB$280+2.1488</f>
        <v>18.877600000000001</v>
      </c>
      <c r="BC287" s="462">
        <f t="shared" ref="BC287:BJ287" si="54">2.0911*BC$280+2.1488</f>
        <v>20.968700000000002</v>
      </c>
      <c r="BD287" s="462">
        <f t="shared" si="54"/>
        <v>23.059800000000003</v>
      </c>
      <c r="BE287" s="462">
        <f t="shared" si="54"/>
        <v>23.059800000000003</v>
      </c>
      <c r="BF287" s="462">
        <f t="shared" si="54"/>
        <v>23.059800000000003</v>
      </c>
      <c r="BG287" s="462">
        <f t="shared" si="54"/>
        <v>12.6043</v>
      </c>
      <c r="BH287" s="462">
        <f t="shared" si="54"/>
        <v>14.695399999999999</v>
      </c>
      <c r="BI287" s="462">
        <f t="shared" si="54"/>
        <v>14.695399999999999</v>
      </c>
      <c r="BJ287" s="462">
        <f t="shared" si="54"/>
        <v>20.968700000000002</v>
      </c>
      <c r="BK287" s="462">
        <f>2.0911*BK$280+2.1488</f>
        <v>23.059800000000003</v>
      </c>
      <c r="BL287" s="462">
        <f t="shared" ref="BL287:BZ287" si="55">2.0911*BL$280+2.1488</f>
        <v>23.059800000000003</v>
      </c>
      <c r="BM287" s="462">
        <f t="shared" si="55"/>
        <v>23.059800000000003</v>
      </c>
      <c r="BN287" s="462">
        <f t="shared" si="55"/>
        <v>25.1509</v>
      </c>
      <c r="BO287" s="462">
        <f t="shared" si="55"/>
        <v>25.1509</v>
      </c>
      <c r="BP287" s="462">
        <f t="shared" si="55"/>
        <v>27.242000000000001</v>
      </c>
      <c r="BQ287" s="462">
        <f t="shared" si="55"/>
        <v>29.333100000000002</v>
      </c>
      <c r="BR287" s="462">
        <f t="shared" si="55"/>
        <v>29.333100000000002</v>
      </c>
      <c r="BS287" s="462">
        <f t="shared" si="55"/>
        <v>31.424199999999999</v>
      </c>
      <c r="BT287" s="462">
        <f t="shared" si="55"/>
        <v>31.424199999999999</v>
      </c>
      <c r="BU287" s="462">
        <f t="shared" si="55"/>
        <v>35.606400000000001</v>
      </c>
      <c r="BV287" s="462">
        <f t="shared" si="55"/>
        <v>37.697499999999998</v>
      </c>
      <c r="BW287" s="462">
        <f t="shared" si="55"/>
        <v>39.788600000000002</v>
      </c>
      <c r="BX287" s="462">
        <f t="shared" si="55"/>
        <v>41.8797</v>
      </c>
      <c r="BY287" s="462">
        <f t="shared" si="55"/>
        <v>43.970800000000004</v>
      </c>
      <c r="BZ287" s="462">
        <f t="shared" si="55"/>
        <v>43.970800000000004</v>
      </c>
      <c r="CK287" s="313" t="s">
        <v>1567</v>
      </c>
      <c r="CL287" s="462">
        <f>2.0911*CL$280+2.1488</f>
        <v>14.695399999999999</v>
      </c>
      <c r="CM287" s="462">
        <f t="shared" ref="CM287:CT287" si="56">2.0911*CM$280+2.1488</f>
        <v>16.7865</v>
      </c>
      <c r="CN287" s="462">
        <f t="shared" si="56"/>
        <v>23.059800000000003</v>
      </c>
      <c r="CO287" s="462">
        <f t="shared" si="56"/>
        <v>23.059800000000003</v>
      </c>
      <c r="CP287" s="462">
        <f t="shared" si="56"/>
        <v>23.059800000000003</v>
      </c>
      <c r="CQ287" s="462">
        <f t="shared" si="56"/>
        <v>12.6043</v>
      </c>
      <c r="CR287" s="462">
        <f t="shared" si="56"/>
        <v>14.695399999999999</v>
      </c>
      <c r="CS287" s="462">
        <f t="shared" si="56"/>
        <v>14.695399999999999</v>
      </c>
      <c r="CT287" s="462">
        <f t="shared" si="56"/>
        <v>16.7865</v>
      </c>
      <c r="CU287" s="462">
        <f>2.0911*CU$280+2.1488</f>
        <v>23.059800000000003</v>
      </c>
      <c r="CV287" s="462">
        <f t="shared" ref="CV287:DI287" si="57">2.0911*CV$280+2.1488</f>
        <v>23.059800000000003</v>
      </c>
      <c r="CW287" s="462">
        <f t="shared" si="57"/>
        <v>23.059800000000003</v>
      </c>
      <c r="CX287" s="462">
        <f t="shared" si="57"/>
        <v>25.1509</v>
      </c>
      <c r="CY287" s="462">
        <f t="shared" si="57"/>
        <v>25.1509</v>
      </c>
      <c r="CZ287" s="462">
        <f t="shared" si="57"/>
        <v>27.242000000000001</v>
      </c>
      <c r="DA287" s="462">
        <f t="shared" si="57"/>
        <v>29.333100000000002</v>
      </c>
      <c r="DB287" s="462">
        <f t="shared" si="57"/>
        <v>31.424199999999999</v>
      </c>
      <c r="DC287" s="462">
        <f t="shared" si="57"/>
        <v>31.424199999999999</v>
      </c>
      <c r="DD287" s="462">
        <f t="shared" si="57"/>
        <v>33.515299999999996</v>
      </c>
      <c r="DE287" s="462">
        <f t="shared" si="57"/>
        <v>33.515299999999996</v>
      </c>
      <c r="DF287" s="462">
        <f t="shared" si="57"/>
        <v>35.606400000000001</v>
      </c>
      <c r="DG287" s="462">
        <f t="shared" si="57"/>
        <v>37.697499999999998</v>
      </c>
      <c r="DH287" s="462">
        <f t="shared" si="57"/>
        <v>39.788600000000002</v>
      </c>
      <c r="DI287" s="462">
        <f t="shared" si="57"/>
        <v>39.788600000000002</v>
      </c>
      <c r="DJ287" s="462">
        <f>2.0911*DJ$280+2.1488</f>
        <v>41.8797</v>
      </c>
      <c r="DU287" s="313" t="s">
        <v>1567</v>
      </c>
      <c r="DV287" s="462">
        <f>2.0911*DV$280+2.1488</f>
        <v>14.695399999999999</v>
      </c>
      <c r="DW287" s="462">
        <f t="shared" ref="DW287:ED287" si="58">2.0911*DW$280+2.1488</f>
        <v>16.7865</v>
      </c>
      <c r="DX287" s="462">
        <f t="shared" si="58"/>
        <v>23.059800000000003</v>
      </c>
      <c r="DY287" s="462">
        <f t="shared" si="58"/>
        <v>23.059800000000003</v>
      </c>
      <c r="DZ287" s="462">
        <f t="shared" si="58"/>
        <v>23.059800000000003</v>
      </c>
      <c r="EA287" s="462">
        <f t="shared" si="58"/>
        <v>16.7865</v>
      </c>
      <c r="EB287" s="462">
        <f>2.0911*EB$280+2.1488</f>
        <v>16.7865</v>
      </c>
      <c r="EC287" s="462">
        <f t="shared" si="58"/>
        <v>14.695399999999999</v>
      </c>
      <c r="ED287" s="462">
        <f t="shared" si="58"/>
        <v>16.7865</v>
      </c>
      <c r="EE287" s="462">
        <f>2.0911*EE$280+2.1488</f>
        <v>23.059800000000003</v>
      </c>
      <c r="EF287" s="462">
        <f t="shared" ref="EF287:ES287" si="59">2.0911*EF$280+2.1488</f>
        <v>23.059800000000003</v>
      </c>
      <c r="EG287" s="462">
        <f t="shared" si="59"/>
        <v>23.059800000000003</v>
      </c>
      <c r="EH287" s="462">
        <f t="shared" si="59"/>
        <v>25.1509</v>
      </c>
      <c r="EI287" s="462">
        <f t="shared" si="59"/>
        <v>29.333100000000002</v>
      </c>
      <c r="EJ287" s="462">
        <f t="shared" si="59"/>
        <v>27.242000000000001</v>
      </c>
      <c r="EK287" s="462">
        <f t="shared" si="59"/>
        <v>31.424199999999999</v>
      </c>
      <c r="EL287" s="462">
        <f t="shared" si="59"/>
        <v>29.333100000000002</v>
      </c>
      <c r="EM287" s="462">
        <f t="shared" si="59"/>
        <v>35.606400000000001</v>
      </c>
      <c r="EN287" s="462">
        <f t="shared" si="59"/>
        <v>37.697499999999998</v>
      </c>
      <c r="EO287" s="462">
        <f t="shared" si="59"/>
        <v>33.515299999999996</v>
      </c>
      <c r="EP287" s="462">
        <f t="shared" si="59"/>
        <v>39.788600000000002</v>
      </c>
      <c r="EQ287" s="462">
        <f t="shared" si="59"/>
        <v>39.788600000000002</v>
      </c>
      <c r="ER287" s="462">
        <f t="shared" si="59"/>
        <v>41.8797</v>
      </c>
      <c r="ES287" s="462">
        <f t="shared" si="59"/>
        <v>35.606400000000001</v>
      </c>
      <c r="ET287" s="462">
        <f>2.0911*ET$280+2.1488</f>
        <v>41.8797</v>
      </c>
      <c r="FE287" s="313" t="s">
        <v>1567</v>
      </c>
      <c r="FF287" s="462">
        <f>2.0911*FF$280+2.1488</f>
        <v>16.7865</v>
      </c>
      <c r="FG287" s="462">
        <f t="shared" ref="FG287:FN287" si="60">2.0911*FG$280+2.1488</f>
        <v>16.7865</v>
      </c>
      <c r="FH287" s="462">
        <f t="shared" si="60"/>
        <v>23.059800000000003</v>
      </c>
      <c r="FI287" s="462">
        <f t="shared" si="60"/>
        <v>23.059800000000003</v>
      </c>
      <c r="FJ287" s="462">
        <f t="shared" si="60"/>
        <v>23.059800000000003</v>
      </c>
      <c r="FK287" s="462">
        <f t="shared" si="60"/>
        <v>16.7865</v>
      </c>
      <c r="FL287" s="462">
        <f>2.0911*FL$280+2.1488</f>
        <v>16.7865</v>
      </c>
      <c r="FM287" s="462">
        <f t="shared" si="60"/>
        <v>16.7865</v>
      </c>
      <c r="FN287" s="462">
        <f t="shared" si="60"/>
        <v>16.7865</v>
      </c>
      <c r="FO287" s="462">
        <f>2.0911*FO$280+2.1488</f>
        <v>23.059800000000003</v>
      </c>
      <c r="FP287" s="462">
        <f t="shared" ref="FP287:GC287" si="61">2.0911*FP$280+2.1488</f>
        <v>25.1509</v>
      </c>
      <c r="FQ287" s="462">
        <f t="shared" si="61"/>
        <v>25.1509</v>
      </c>
      <c r="FR287" s="462">
        <f t="shared" si="61"/>
        <v>27.242000000000001</v>
      </c>
      <c r="FS287" s="462">
        <f t="shared" si="61"/>
        <v>29.333100000000002</v>
      </c>
      <c r="FT287" s="462">
        <f t="shared" si="61"/>
        <v>31.424199999999999</v>
      </c>
      <c r="FU287" s="462">
        <f t="shared" si="61"/>
        <v>31.424199999999999</v>
      </c>
      <c r="FV287" s="462">
        <f t="shared" si="61"/>
        <v>27.242000000000001</v>
      </c>
      <c r="FW287" s="462">
        <f t="shared" si="61"/>
        <v>31.424199999999999</v>
      </c>
      <c r="FX287" s="462">
        <f t="shared" si="61"/>
        <v>37.697499999999998</v>
      </c>
      <c r="FY287" s="462">
        <f t="shared" si="61"/>
        <v>37.697499999999998</v>
      </c>
      <c r="FZ287" s="462">
        <f t="shared" si="61"/>
        <v>39.788600000000002</v>
      </c>
      <c r="GA287" s="462">
        <f t="shared" si="61"/>
        <v>41.8797</v>
      </c>
      <c r="GB287" s="462">
        <f t="shared" si="61"/>
        <v>41.8797</v>
      </c>
      <c r="GC287" s="462">
        <f t="shared" si="61"/>
        <v>37.697499999999998</v>
      </c>
      <c r="GD287" s="462">
        <f>2.0911*GD$280+2.1488</f>
        <v>37.697499999999998</v>
      </c>
    </row>
    <row r="288" spans="2:186" hidden="1">
      <c r="E288" s="228"/>
      <c r="F288" s="228"/>
      <c r="G288" s="228"/>
      <c r="H288" s="228"/>
      <c r="I288" s="228"/>
      <c r="J288" s="228"/>
      <c r="K288" s="228"/>
      <c r="L288" s="228"/>
      <c r="M288" s="228"/>
      <c r="N288" s="228"/>
      <c r="O288" s="228"/>
      <c r="P288" s="228"/>
      <c r="Q288" s="228"/>
      <c r="R288" s="228"/>
      <c r="S288" s="228"/>
      <c r="T288" s="228"/>
      <c r="BA288" s="313" t="s">
        <v>1568</v>
      </c>
      <c r="BB288" s="462">
        <f>3.9603*BB$280+4.9671</f>
        <v>36.649500000000003</v>
      </c>
      <c r="BC288" s="462">
        <f t="shared" ref="BC288:BJ288" si="62">3.9603*BC$280+4.9671</f>
        <v>40.609800000000007</v>
      </c>
      <c r="BD288" s="462">
        <f t="shared" si="62"/>
        <v>44.570100000000004</v>
      </c>
      <c r="BE288" s="462">
        <f t="shared" si="62"/>
        <v>44.570100000000004</v>
      </c>
      <c r="BF288" s="462">
        <f t="shared" si="62"/>
        <v>44.570100000000004</v>
      </c>
      <c r="BG288" s="462">
        <f t="shared" si="62"/>
        <v>24.768599999999999</v>
      </c>
      <c r="BH288" s="462">
        <f t="shared" si="62"/>
        <v>28.728900000000003</v>
      </c>
      <c r="BI288" s="462">
        <f t="shared" si="62"/>
        <v>28.728900000000003</v>
      </c>
      <c r="BJ288" s="462">
        <f t="shared" si="62"/>
        <v>40.609800000000007</v>
      </c>
      <c r="BK288" s="462">
        <f>3.9603*BK$280+4.9671</f>
        <v>44.570100000000004</v>
      </c>
      <c r="BL288" s="462">
        <f t="shared" ref="BL288:BZ288" si="63">3.9603*BL$280+4.9671</f>
        <v>44.570100000000004</v>
      </c>
      <c r="BM288" s="462">
        <f t="shared" si="63"/>
        <v>44.570100000000004</v>
      </c>
      <c r="BN288" s="462">
        <f t="shared" si="63"/>
        <v>48.5304</v>
      </c>
      <c r="BO288" s="462">
        <f t="shared" si="63"/>
        <v>48.5304</v>
      </c>
      <c r="BP288" s="462">
        <f t="shared" si="63"/>
        <v>52.490700000000004</v>
      </c>
      <c r="BQ288" s="462">
        <f t="shared" si="63"/>
        <v>56.451000000000008</v>
      </c>
      <c r="BR288" s="462">
        <f t="shared" si="63"/>
        <v>56.451000000000008</v>
      </c>
      <c r="BS288" s="462">
        <f t="shared" si="63"/>
        <v>60.411300000000004</v>
      </c>
      <c r="BT288" s="462">
        <f t="shared" si="63"/>
        <v>60.411300000000004</v>
      </c>
      <c r="BU288" s="462">
        <f t="shared" si="63"/>
        <v>68.331900000000005</v>
      </c>
      <c r="BV288" s="462">
        <f t="shared" si="63"/>
        <v>72.292200000000008</v>
      </c>
      <c r="BW288" s="462">
        <f t="shared" si="63"/>
        <v>76.252500000000012</v>
      </c>
      <c r="BX288" s="462">
        <f t="shared" si="63"/>
        <v>80.212800000000001</v>
      </c>
      <c r="BY288" s="462">
        <f t="shared" si="63"/>
        <v>84.173100000000005</v>
      </c>
      <c r="BZ288" s="462">
        <f t="shared" si="63"/>
        <v>84.173100000000005</v>
      </c>
      <c r="CK288" s="313" t="s">
        <v>1568</v>
      </c>
      <c r="CL288" s="462">
        <f>3.9603*CL$280+4.9671</f>
        <v>28.728900000000003</v>
      </c>
      <c r="CM288" s="462">
        <f t="shared" ref="CM288:CT288" si="64">3.9603*CM$280+4.9671</f>
        <v>32.6892</v>
      </c>
      <c r="CN288" s="462">
        <f t="shared" si="64"/>
        <v>44.570100000000004</v>
      </c>
      <c r="CO288" s="462">
        <f t="shared" si="64"/>
        <v>44.570100000000004</v>
      </c>
      <c r="CP288" s="462">
        <f t="shared" si="64"/>
        <v>44.570100000000004</v>
      </c>
      <c r="CQ288" s="462">
        <f t="shared" si="64"/>
        <v>24.768599999999999</v>
      </c>
      <c r="CR288" s="462">
        <f t="shared" si="64"/>
        <v>28.728900000000003</v>
      </c>
      <c r="CS288" s="462">
        <f t="shared" si="64"/>
        <v>28.728900000000003</v>
      </c>
      <c r="CT288" s="462">
        <f t="shared" si="64"/>
        <v>32.6892</v>
      </c>
      <c r="CU288" s="462">
        <f>3.9603*CU$280+4.9671</f>
        <v>44.570100000000004</v>
      </c>
      <c r="CV288" s="462">
        <f t="shared" ref="CV288:DI288" si="65">3.9603*CV$280+4.9671</f>
        <v>44.570100000000004</v>
      </c>
      <c r="CW288" s="462">
        <f t="shared" si="65"/>
        <v>44.570100000000004</v>
      </c>
      <c r="CX288" s="462">
        <f t="shared" si="65"/>
        <v>48.5304</v>
      </c>
      <c r="CY288" s="462">
        <f t="shared" si="65"/>
        <v>48.5304</v>
      </c>
      <c r="CZ288" s="462">
        <f t="shared" si="65"/>
        <v>52.490700000000004</v>
      </c>
      <c r="DA288" s="462">
        <f t="shared" si="65"/>
        <v>56.451000000000008</v>
      </c>
      <c r="DB288" s="462">
        <f t="shared" si="65"/>
        <v>60.411300000000004</v>
      </c>
      <c r="DC288" s="462">
        <f t="shared" si="65"/>
        <v>60.411300000000004</v>
      </c>
      <c r="DD288" s="462">
        <f t="shared" si="65"/>
        <v>64.371600000000001</v>
      </c>
      <c r="DE288" s="462">
        <f t="shared" si="65"/>
        <v>64.371600000000001</v>
      </c>
      <c r="DF288" s="462">
        <f t="shared" si="65"/>
        <v>68.331900000000005</v>
      </c>
      <c r="DG288" s="462">
        <f t="shared" si="65"/>
        <v>72.292200000000008</v>
      </c>
      <c r="DH288" s="462">
        <f t="shared" si="65"/>
        <v>76.252500000000012</v>
      </c>
      <c r="DI288" s="462">
        <f t="shared" si="65"/>
        <v>76.252500000000012</v>
      </c>
      <c r="DJ288" s="462">
        <f>3.9603*DJ$280+4.9671</f>
        <v>80.212800000000001</v>
      </c>
      <c r="DU288" s="313" t="s">
        <v>1568</v>
      </c>
      <c r="DV288" s="462">
        <f>3.9603*DV$280+4.9671</f>
        <v>28.728900000000003</v>
      </c>
      <c r="DW288" s="462">
        <f t="shared" ref="DW288:ED288" si="66">3.9603*DW$280+4.9671</f>
        <v>32.6892</v>
      </c>
      <c r="DX288" s="462">
        <f t="shared" si="66"/>
        <v>44.570100000000004</v>
      </c>
      <c r="DY288" s="462">
        <f t="shared" si="66"/>
        <v>44.570100000000004</v>
      </c>
      <c r="DZ288" s="462">
        <f t="shared" si="66"/>
        <v>44.570100000000004</v>
      </c>
      <c r="EA288" s="462">
        <f t="shared" si="66"/>
        <v>32.6892</v>
      </c>
      <c r="EB288" s="462">
        <f>3.9603*EB$280+4.9671</f>
        <v>32.6892</v>
      </c>
      <c r="EC288" s="462">
        <f t="shared" si="66"/>
        <v>28.728900000000003</v>
      </c>
      <c r="ED288" s="462">
        <f t="shared" si="66"/>
        <v>32.6892</v>
      </c>
      <c r="EE288" s="462">
        <f>3.9603*EE$280+4.9671</f>
        <v>44.570100000000004</v>
      </c>
      <c r="EF288" s="462">
        <f t="shared" ref="EF288:ES288" si="67">3.9603*EF$280+4.9671</f>
        <v>44.570100000000004</v>
      </c>
      <c r="EG288" s="462">
        <f t="shared" si="67"/>
        <v>44.570100000000004</v>
      </c>
      <c r="EH288" s="462">
        <f t="shared" si="67"/>
        <v>48.5304</v>
      </c>
      <c r="EI288" s="462">
        <f t="shared" si="67"/>
        <v>56.451000000000008</v>
      </c>
      <c r="EJ288" s="462">
        <f t="shared" si="67"/>
        <v>52.490700000000004</v>
      </c>
      <c r="EK288" s="462">
        <f t="shared" si="67"/>
        <v>60.411300000000004</v>
      </c>
      <c r="EL288" s="462">
        <f t="shared" si="67"/>
        <v>56.451000000000008</v>
      </c>
      <c r="EM288" s="462">
        <f t="shared" si="67"/>
        <v>68.331900000000005</v>
      </c>
      <c r="EN288" s="462">
        <f t="shared" si="67"/>
        <v>72.292200000000008</v>
      </c>
      <c r="EO288" s="462">
        <f t="shared" si="67"/>
        <v>64.371600000000001</v>
      </c>
      <c r="EP288" s="462">
        <f t="shared" si="67"/>
        <v>76.252500000000012</v>
      </c>
      <c r="EQ288" s="462">
        <f t="shared" si="67"/>
        <v>76.252500000000012</v>
      </c>
      <c r="ER288" s="462">
        <f t="shared" si="67"/>
        <v>80.212800000000001</v>
      </c>
      <c r="ES288" s="462">
        <f t="shared" si="67"/>
        <v>68.331900000000005</v>
      </c>
      <c r="ET288" s="462">
        <f>3.9603*ET$280+4.9671</f>
        <v>80.212800000000001</v>
      </c>
      <c r="FE288" s="313" t="s">
        <v>1568</v>
      </c>
      <c r="FF288" s="462">
        <f>3.9603*FF$280+4.9671</f>
        <v>32.6892</v>
      </c>
      <c r="FG288" s="462">
        <f t="shared" ref="FG288:FN288" si="68">3.9603*FG$280+4.9671</f>
        <v>32.6892</v>
      </c>
      <c r="FH288" s="462">
        <f t="shared" si="68"/>
        <v>44.570100000000004</v>
      </c>
      <c r="FI288" s="462">
        <f t="shared" si="68"/>
        <v>44.570100000000004</v>
      </c>
      <c r="FJ288" s="462">
        <f t="shared" si="68"/>
        <v>44.570100000000004</v>
      </c>
      <c r="FK288" s="462">
        <f t="shared" si="68"/>
        <v>32.6892</v>
      </c>
      <c r="FL288" s="462">
        <f>3.9603*FL$280+4.9671</f>
        <v>32.6892</v>
      </c>
      <c r="FM288" s="462">
        <f t="shared" si="68"/>
        <v>32.6892</v>
      </c>
      <c r="FN288" s="462">
        <f t="shared" si="68"/>
        <v>32.6892</v>
      </c>
      <c r="FO288" s="462">
        <f>3.9603*FO$280+4.9671</f>
        <v>44.570100000000004</v>
      </c>
      <c r="FP288" s="462">
        <f t="shared" ref="FP288:GC288" si="69">3.9603*FP$280+4.9671</f>
        <v>48.5304</v>
      </c>
      <c r="FQ288" s="462">
        <f t="shared" si="69"/>
        <v>48.5304</v>
      </c>
      <c r="FR288" s="462">
        <f t="shared" si="69"/>
        <v>52.490700000000004</v>
      </c>
      <c r="FS288" s="462">
        <f t="shared" si="69"/>
        <v>56.451000000000008</v>
      </c>
      <c r="FT288" s="462">
        <f t="shared" si="69"/>
        <v>60.411300000000004</v>
      </c>
      <c r="FU288" s="462">
        <f t="shared" si="69"/>
        <v>60.411300000000004</v>
      </c>
      <c r="FV288" s="462">
        <f t="shared" si="69"/>
        <v>52.490700000000004</v>
      </c>
      <c r="FW288" s="462">
        <f t="shared" si="69"/>
        <v>60.411300000000004</v>
      </c>
      <c r="FX288" s="462">
        <f t="shared" si="69"/>
        <v>72.292200000000008</v>
      </c>
      <c r="FY288" s="462">
        <f t="shared" si="69"/>
        <v>72.292200000000008</v>
      </c>
      <c r="FZ288" s="462">
        <f t="shared" si="69"/>
        <v>76.252500000000012</v>
      </c>
      <c r="GA288" s="462">
        <f t="shared" si="69"/>
        <v>80.212800000000001</v>
      </c>
      <c r="GB288" s="462">
        <f t="shared" si="69"/>
        <v>80.212800000000001</v>
      </c>
      <c r="GC288" s="462">
        <f t="shared" si="69"/>
        <v>72.292200000000008</v>
      </c>
      <c r="GD288" s="462">
        <f>3.9603*GD$280+4.9671</f>
        <v>72.292200000000008</v>
      </c>
    </row>
    <row r="289" spans="2:186" hidden="1">
      <c r="B289" s="66" t="s">
        <v>646</v>
      </c>
      <c r="C289" s="78" t="str">
        <f ca="1">DEC2HEX(D289,8)</f>
        <v>0000021C</v>
      </c>
      <c r="D289" s="322">
        <f ca="1">F20/2</f>
        <v>540</v>
      </c>
      <c r="E289" s="228"/>
      <c r="F289" s="228"/>
      <c r="G289" s="228"/>
      <c r="H289" s="228"/>
      <c r="I289" s="228"/>
      <c r="J289" s="228"/>
      <c r="K289" s="228"/>
      <c r="L289" s="228"/>
      <c r="M289" s="228"/>
      <c r="N289" s="228"/>
      <c r="O289" s="228"/>
      <c r="P289" s="228"/>
      <c r="Q289" s="228"/>
      <c r="R289" s="228"/>
      <c r="S289" s="228"/>
      <c r="T289" s="228"/>
      <c r="BA289" s="313" t="s">
        <v>1569</v>
      </c>
      <c r="BB289" s="466">
        <f ca="1">OFFSET(BB285,BB270,0)</f>
        <v>18.877600000000001</v>
      </c>
      <c r="BC289" s="466">
        <f t="shared" ref="BC289:BJ289" ca="1" si="70">OFFSET(BC285,BC270,0)</f>
        <v>20.968700000000002</v>
      </c>
      <c r="BD289" s="466">
        <f t="shared" ca="1" si="70"/>
        <v>23.059800000000003</v>
      </c>
      <c r="BE289" s="466">
        <f t="shared" ca="1" si="70"/>
        <v>23.059800000000003</v>
      </c>
      <c r="BF289" s="466">
        <f t="shared" ca="1" si="70"/>
        <v>23.059800000000003</v>
      </c>
      <c r="BG289" s="466">
        <f t="shared" ca="1" si="70"/>
        <v>12.6043</v>
      </c>
      <c r="BH289" s="466">
        <f t="shared" ca="1" si="70"/>
        <v>14.695399999999999</v>
      </c>
      <c r="BI289" s="466">
        <f t="shared" ca="1" si="70"/>
        <v>14.695399999999999</v>
      </c>
      <c r="BJ289" s="466">
        <f t="shared" ca="1" si="70"/>
        <v>20.968700000000002</v>
      </c>
      <c r="BK289" s="466">
        <f ca="1">OFFSET(BK285,BK270,0)</f>
        <v>23.059800000000003</v>
      </c>
      <c r="BL289" s="466">
        <f t="shared" ref="BL289:BY289" ca="1" si="71">OFFSET(BL285,BL270,0)</f>
        <v>23.059800000000003</v>
      </c>
      <c r="BM289" s="466">
        <f t="shared" ca="1" si="71"/>
        <v>23.059800000000003</v>
      </c>
      <c r="BN289" s="466">
        <f t="shared" ca="1" si="71"/>
        <v>25.1509</v>
      </c>
      <c r="BO289" s="466">
        <f t="shared" ca="1" si="71"/>
        <v>25.1509</v>
      </c>
      <c r="BP289" s="466">
        <f t="shared" ca="1" si="71"/>
        <v>27.242000000000001</v>
      </c>
      <c r="BQ289" s="466">
        <f t="shared" ca="1" si="71"/>
        <v>29.333100000000002</v>
      </c>
      <c r="BR289" s="466">
        <f t="shared" ca="1" si="71"/>
        <v>29.333100000000002</v>
      </c>
      <c r="BS289" s="466">
        <f t="shared" ca="1" si="71"/>
        <v>31.424199999999999</v>
      </c>
      <c r="BT289" s="466">
        <f t="shared" ca="1" si="71"/>
        <v>31.424199999999999</v>
      </c>
      <c r="BU289" s="466">
        <f t="shared" ca="1" si="71"/>
        <v>35.606400000000001</v>
      </c>
      <c r="BV289" s="466">
        <f t="shared" ca="1" si="71"/>
        <v>37.697499999999998</v>
      </c>
      <c r="BW289" s="466">
        <f t="shared" ca="1" si="71"/>
        <v>39.788600000000002</v>
      </c>
      <c r="BX289" s="466">
        <f t="shared" ca="1" si="71"/>
        <v>41.8797</v>
      </c>
      <c r="BY289" s="466">
        <f t="shared" ca="1" si="71"/>
        <v>43.970800000000004</v>
      </c>
      <c r="BZ289" s="466">
        <f ca="1">OFFSET(BZ285,BZ270,0)</f>
        <v>43.970800000000004</v>
      </c>
      <c r="CK289" s="313" t="s">
        <v>1569</v>
      </c>
      <c r="CL289" s="466">
        <f ca="1">OFFSET(CL285,CL270,0)</f>
        <v>14.695399999999999</v>
      </c>
      <c r="CM289" s="466">
        <f t="shared" ref="CM289:CT289" ca="1" si="72">OFFSET(CM285,CM270,0)</f>
        <v>16.7865</v>
      </c>
      <c r="CN289" s="466">
        <f t="shared" ca="1" si="72"/>
        <v>23.059800000000003</v>
      </c>
      <c r="CO289" s="466">
        <f t="shared" ca="1" si="72"/>
        <v>23.059800000000003</v>
      </c>
      <c r="CP289" s="466">
        <f t="shared" ca="1" si="72"/>
        <v>23.059800000000003</v>
      </c>
      <c r="CQ289" s="466">
        <f t="shared" ca="1" si="72"/>
        <v>12.6043</v>
      </c>
      <c r="CR289" s="466">
        <f t="shared" ca="1" si="72"/>
        <v>14.695399999999999</v>
      </c>
      <c r="CS289" s="466">
        <f t="shared" ca="1" si="72"/>
        <v>14.695399999999999</v>
      </c>
      <c r="CT289" s="466">
        <f t="shared" ca="1" si="72"/>
        <v>16.7865</v>
      </c>
      <c r="CU289" s="466">
        <f ca="1">OFFSET(CU285,CU270,0)</f>
        <v>23.059800000000003</v>
      </c>
      <c r="CV289" s="466">
        <f t="shared" ref="CV289:DI289" ca="1" si="73">OFFSET(CV285,CV270,0)</f>
        <v>23.059800000000003</v>
      </c>
      <c r="CW289" s="466">
        <f t="shared" ca="1" si="73"/>
        <v>23.059800000000003</v>
      </c>
      <c r="CX289" s="466">
        <f t="shared" ca="1" si="73"/>
        <v>25.1509</v>
      </c>
      <c r="CY289" s="466">
        <f t="shared" ca="1" si="73"/>
        <v>25.1509</v>
      </c>
      <c r="CZ289" s="466">
        <f t="shared" ca="1" si="73"/>
        <v>27.242000000000001</v>
      </c>
      <c r="DA289" s="466">
        <f t="shared" ca="1" si="73"/>
        <v>29.333100000000002</v>
      </c>
      <c r="DB289" s="466">
        <f t="shared" ca="1" si="73"/>
        <v>31.424199999999999</v>
      </c>
      <c r="DC289" s="466">
        <f t="shared" ca="1" si="73"/>
        <v>31.424199999999999</v>
      </c>
      <c r="DD289" s="466">
        <f t="shared" ca="1" si="73"/>
        <v>33.515299999999996</v>
      </c>
      <c r="DE289" s="466">
        <f t="shared" ca="1" si="73"/>
        <v>33.515299999999996</v>
      </c>
      <c r="DF289" s="466">
        <f t="shared" ca="1" si="73"/>
        <v>35.606400000000001</v>
      </c>
      <c r="DG289" s="466">
        <f t="shared" ca="1" si="73"/>
        <v>37.697499999999998</v>
      </c>
      <c r="DH289" s="466">
        <f t="shared" ca="1" si="73"/>
        <v>39.788600000000002</v>
      </c>
      <c r="DI289" s="466">
        <f t="shared" ca="1" si="73"/>
        <v>39.788600000000002</v>
      </c>
      <c r="DJ289" s="466">
        <f ca="1">OFFSET(DJ285,DJ270,0)</f>
        <v>41.8797</v>
      </c>
      <c r="DU289" s="313" t="s">
        <v>1569</v>
      </c>
      <c r="DV289" s="466">
        <f ca="1">OFFSET(DV285,DV270,0)</f>
        <v>14.695399999999999</v>
      </c>
      <c r="DW289" s="466">
        <f t="shared" ref="DW289:ED289" ca="1" si="74">OFFSET(DW285,DW270,0)</f>
        <v>16.7865</v>
      </c>
      <c r="DX289" s="466">
        <f t="shared" ca="1" si="74"/>
        <v>23.059800000000003</v>
      </c>
      <c r="DY289" s="466">
        <f t="shared" ca="1" si="74"/>
        <v>23.059800000000003</v>
      </c>
      <c r="DZ289" s="466">
        <f t="shared" ca="1" si="74"/>
        <v>23.059800000000003</v>
      </c>
      <c r="EA289" s="466">
        <f t="shared" ca="1" si="74"/>
        <v>16.7865</v>
      </c>
      <c r="EB289" s="466">
        <f ca="1">OFFSET(EB285,EB270,0)</f>
        <v>16.7865</v>
      </c>
      <c r="EC289" s="466">
        <f t="shared" ca="1" si="74"/>
        <v>14.695399999999999</v>
      </c>
      <c r="ED289" s="466">
        <f t="shared" ca="1" si="74"/>
        <v>16.7865</v>
      </c>
      <c r="EE289" s="466">
        <f ca="1">OFFSET(EE285,EE270,0)</f>
        <v>23.059800000000003</v>
      </c>
      <c r="EF289" s="466">
        <f t="shared" ref="EF289:ES289" ca="1" si="75">OFFSET(EF285,EF270,0)</f>
        <v>23.059800000000003</v>
      </c>
      <c r="EG289" s="466">
        <f t="shared" ca="1" si="75"/>
        <v>23.059800000000003</v>
      </c>
      <c r="EH289" s="466">
        <f t="shared" ca="1" si="75"/>
        <v>25.1509</v>
      </c>
      <c r="EI289" s="466">
        <f t="shared" ca="1" si="75"/>
        <v>29.333100000000002</v>
      </c>
      <c r="EJ289" s="466">
        <f t="shared" ca="1" si="75"/>
        <v>27.242000000000001</v>
      </c>
      <c r="EK289" s="466">
        <f t="shared" ca="1" si="75"/>
        <v>31.424199999999999</v>
      </c>
      <c r="EL289" s="466">
        <f t="shared" ca="1" si="75"/>
        <v>29.333100000000002</v>
      </c>
      <c r="EM289" s="466">
        <f t="shared" ca="1" si="75"/>
        <v>35.606400000000001</v>
      </c>
      <c r="EN289" s="466">
        <f t="shared" ca="1" si="75"/>
        <v>37.697499999999998</v>
      </c>
      <c r="EO289" s="466">
        <f t="shared" ca="1" si="75"/>
        <v>33.515299999999996</v>
      </c>
      <c r="EP289" s="466">
        <f t="shared" ca="1" si="75"/>
        <v>39.788600000000002</v>
      </c>
      <c r="EQ289" s="466">
        <f t="shared" ca="1" si="75"/>
        <v>39.788600000000002</v>
      </c>
      <c r="ER289" s="466">
        <f t="shared" ca="1" si="75"/>
        <v>41.8797</v>
      </c>
      <c r="ES289" s="466">
        <f t="shared" ca="1" si="75"/>
        <v>35.606400000000001</v>
      </c>
      <c r="ET289" s="466">
        <f ca="1">OFFSET(ET285,ET270,0)</f>
        <v>41.8797</v>
      </c>
      <c r="FE289" s="313" t="s">
        <v>1569</v>
      </c>
      <c r="FF289" s="466">
        <f ca="1">OFFSET(FF285,FF270,0)</f>
        <v>16.7865</v>
      </c>
      <c r="FG289" s="466">
        <f t="shared" ref="FG289:FK289" ca="1" si="76">OFFSET(FG285,FG270,0)</f>
        <v>16.7865</v>
      </c>
      <c r="FH289" s="466">
        <f t="shared" ca="1" si="76"/>
        <v>23.059800000000003</v>
      </c>
      <c r="FI289" s="466">
        <f t="shared" ca="1" si="76"/>
        <v>23.059800000000003</v>
      </c>
      <c r="FJ289" s="466">
        <f t="shared" ca="1" si="76"/>
        <v>23.059800000000003</v>
      </c>
      <c r="FK289" s="466">
        <f t="shared" ca="1" si="76"/>
        <v>16.7865</v>
      </c>
      <c r="FL289" s="466">
        <f ca="1">OFFSET(FL285,FL270,0)</f>
        <v>16.7865</v>
      </c>
      <c r="FM289" s="466">
        <f t="shared" ref="FM289:FN289" ca="1" si="77">OFFSET(FM285,FM270,0)</f>
        <v>16.7865</v>
      </c>
      <c r="FN289" s="466">
        <f t="shared" ca="1" si="77"/>
        <v>16.7865</v>
      </c>
      <c r="FO289" s="466">
        <f ca="1">OFFSET(FO285,FO270,0)</f>
        <v>23.059800000000003</v>
      </c>
      <c r="FP289" s="466">
        <f t="shared" ref="FP289:GC289" ca="1" si="78">OFFSET(FP285,FP270,0)</f>
        <v>25.1509</v>
      </c>
      <c r="FQ289" s="466">
        <f t="shared" ca="1" si="78"/>
        <v>25.1509</v>
      </c>
      <c r="FR289" s="466">
        <f t="shared" ca="1" si="78"/>
        <v>27.242000000000001</v>
      </c>
      <c r="FS289" s="466">
        <f t="shared" ca="1" si="78"/>
        <v>29.333100000000002</v>
      </c>
      <c r="FT289" s="466">
        <f t="shared" ca="1" si="78"/>
        <v>31.424199999999999</v>
      </c>
      <c r="FU289" s="466">
        <f t="shared" ca="1" si="78"/>
        <v>31.424199999999999</v>
      </c>
      <c r="FV289" s="466">
        <f t="shared" ca="1" si="78"/>
        <v>27.242000000000001</v>
      </c>
      <c r="FW289" s="466">
        <f t="shared" ca="1" si="78"/>
        <v>31.424199999999999</v>
      </c>
      <c r="FX289" s="466">
        <f t="shared" ca="1" si="78"/>
        <v>37.697499999999998</v>
      </c>
      <c r="FY289" s="466">
        <f t="shared" ca="1" si="78"/>
        <v>37.697499999999998</v>
      </c>
      <c r="FZ289" s="466">
        <f t="shared" ca="1" si="78"/>
        <v>39.788600000000002</v>
      </c>
      <c r="GA289" s="466">
        <f t="shared" ca="1" si="78"/>
        <v>41.8797</v>
      </c>
      <c r="GB289" s="466">
        <f t="shared" ca="1" si="78"/>
        <v>41.8797</v>
      </c>
      <c r="GC289" s="466">
        <f t="shared" ca="1" si="78"/>
        <v>37.697499999999998</v>
      </c>
      <c r="GD289" s="466">
        <f ca="1">OFFSET(GD285,GD270,0)</f>
        <v>37.697499999999998</v>
      </c>
    </row>
    <row r="290" spans="2:186" hidden="1">
      <c r="D290" s="228"/>
      <c r="E290" s="228"/>
      <c r="F290" s="228"/>
      <c r="G290" s="228"/>
      <c r="H290" s="228"/>
      <c r="I290" s="228"/>
      <c r="J290" s="228"/>
      <c r="K290" s="228"/>
      <c r="L290" s="228"/>
      <c r="M290" s="228"/>
      <c r="N290" s="228"/>
      <c r="O290" s="228"/>
      <c r="P290" s="228"/>
      <c r="Q290" s="228"/>
      <c r="R290" s="228"/>
      <c r="S290" s="228"/>
      <c r="T290" s="228"/>
      <c r="BA290" s="313" t="s">
        <v>1570</v>
      </c>
      <c r="BB290" s="462">
        <f>IF(BB277=0,2.75,IF(BB277=1,5.5,IF(BB277&lt;=3,10.99,IF(BB277&lt;=7,21.97,43.93))))</f>
        <v>5.5</v>
      </c>
      <c r="BC290" s="462">
        <f t="shared" ref="BC290:BJ290" si="79">IF(BC277=0,2.75,IF(BC277=1,5.5,IF(BC277&lt;=3,10.99,IF(BC277&lt;=7,21.97,43.93))))</f>
        <v>5.5</v>
      </c>
      <c r="BD290" s="462">
        <f t="shared" si="79"/>
        <v>5.5</v>
      </c>
      <c r="BE290" s="462">
        <f t="shared" si="79"/>
        <v>5.5</v>
      </c>
      <c r="BF290" s="462">
        <f t="shared" si="79"/>
        <v>5.5</v>
      </c>
      <c r="BG290" s="462">
        <f t="shared" si="79"/>
        <v>5.5</v>
      </c>
      <c r="BH290" s="462">
        <f t="shared" si="79"/>
        <v>5.5</v>
      </c>
      <c r="BI290" s="462">
        <f t="shared" si="79"/>
        <v>5.5</v>
      </c>
      <c r="BJ290" s="462">
        <f t="shared" si="79"/>
        <v>5.5</v>
      </c>
      <c r="BK290" s="462">
        <f>IF(BK277=0,2.75,IF(BK277=1,5.5,IF(BK277&lt;=3,10.99,IF(BK277&lt;=7,21.97,43.93))))</f>
        <v>5.5</v>
      </c>
      <c r="BL290" s="462">
        <f t="shared" ref="BL290:BZ290" si="80">IF(BL277=0,2.75,IF(BL277=1,5.5,IF(BL277&lt;=3,10.99,IF(BL277&lt;=7,21.97,43.93))))</f>
        <v>5.5</v>
      </c>
      <c r="BM290" s="462">
        <f t="shared" si="80"/>
        <v>5.5</v>
      </c>
      <c r="BN290" s="462">
        <f t="shared" si="80"/>
        <v>5.5</v>
      </c>
      <c r="BO290" s="462">
        <f t="shared" si="80"/>
        <v>5.5</v>
      </c>
      <c r="BP290" s="462">
        <f t="shared" si="80"/>
        <v>5.5</v>
      </c>
      <c r="BQ290" s="462">
        <f t="shared" si="80"/>
        <v>5.5</v>
      </c>
      <c r="BR290" s="462">
        <f t="shared" si="80"/>
        <v>5.5</v>
      </c>
      <c r="BS290" s="462">
        <f t="shared" si="80"/>
        <v>5.5</v>
      </c>
      <c r="BT290" s="462">
        <f t="shared" si="80"/>
        <v>5.5</v>
      </c>
      <c r="BU290" s="462">
        <f t="shared" si="80"/>
        <v>5.5</v>
      </c>
      <c r="BV290" s="462">
        <f t="shared" si="80"/>
        <v>5.5</v>
      </c>
      <c r="BW290" s="462">
        <f t="shared" si="80"/>
        <v>5.5</v>
      </c>
      <c r="BX290" s="462">
        <f t="shared" si="80"/>
        <v>5.5</v>
      </c>
      <c r="BY290" s="462">
        <f t="shared" si="80"/>
        <v>5.5</v>
      </c>
      <c r="BZ290" s="462">
        <f t="shared" si="80"/>
        <v>5.5</v>
      </c>
      <c r="CK290" s="313" t="s">
        <v>1570</v>
      </c>
      <c r="CL290" s="462">
        <f>IF(CL277=0,2.75,IF(CL277=1,5.5,IF(CL277&lt;=3,10.99,IF(CL277&lt;=7,21.97,43.93))))</f>
        <v>5.5</v>
      </c>
      <c r="CM290" s="462">
        <f t="shared" ref="CM290:CT290" si="81">IF(CM277=0,2.75,IF(CM277=1,5.5,IF(CM277&lt;=3,10.99,IF(CM277&lt;=7,21.97,43.93))))</f>
        <v>5.5</v>
      </c>
      <c r="CN290" s="462">
        <f t="shared" si="81"/>
        <v>5.5</v>
      </c>
      <c r="CO290" s="462">
        <f t="shared" si="81"/>
        <v>5.5</v>
      </c>
      <c r="CP290" s="462">
        <f t="shared" si="81"/>
        <v>5.5</v>
      </c>
      <c r="CQ290" s="462">
        <f t="shared" si="81"/>
        <v>5.5</v>
      </c>
      <c r="CR290" s="462">
        <f t="shared" si="81"/>
        <v>5.5</v>
      </c>
      <c r="CS290" s="462">
        <f t="shared" si="81"/>
        <v>5.5</v>
      </c>
      <c r="CT290" s="462">
        <f t="shared" si="81"/>
        <v>5.5</v>
      </c>
      <c r="CU290" s="462">
        <f>IF(CU277=0,2.75,IF(CU277=1,5.5,IF(CU277&lt;=3,10.99,IF(CU277&lt;=7,21.97,43.93))))</f>
        <v>5.5</v>
      </c>
      <c r="CV290" s="462">
        <f t="shared" ref="CV290:DI290" si="82">IF(CV277=0,2.75,IF(CV277=1,5.5,IF(CV277&lt;=3,10.99,IF(CV277&lt;=7,21.97,43.93))))</f>
        <v>5.5</v>
      </c>
      <c r="CW290" s="462">
        <f t="shared" si="82"/>
        <v>5.5</v>
      </c>
      <c r="CX290" s="462">
        <f t="shared" si="82"/>
        <v>5.5</v>
      </c>
      <c r="CY290" s="462">
        <f t="shared" si="82"/>
        <v>5.5</v>
      </c>
      <c r="CZ290" s="462">
        <f t="shared" si="82"/>
        <v>5.5</v>
      </c>
      <c r="DA290" s="462">
        <f t="shared" si="82"/>
        <v>5.5</v>
      </c>
      <c r="DB290" s="462">
        <f t="shared" si="82"/>
        <v>5.5</v>
      </c>
      <c r="DC290" s="462">
        <f t="shared" si="82"/>
        <v>5.5</v>
      </c>
      <c r="DD290" s="462">
        <f t="shared" si="82"/>
        <v>5.5</v>
      </c>
      <c r="DE290" s="462">
        <f t="shared" si="82"/>
        <v>5.5</v>
      </c>
      <c r="DF290" s="462">
        <f t="shared" si="82"/>
        <v>5.5</v>
      </c>
      <c r="DG290" s="462">
        <f t="shared" si="82"/>
        <v>5.5</v>
      </c>
      <c r="DH290" s="462">
        <f t="shared" si="82"/>
        <v>5.5</v>
      </c>
      <c r="DI290" s="462">
        <f t="shared" si="82"/>
        <v>5.5</v>
      </c>
      <c r="DJ290" s="462">
        <f>IF(DJ277=0,2.75,IF(DJ277=1,5.5,IF(DJ277&lt;=3,10.99,IF(DJ277&lt;=7,21.97,43.93))))</f>
        <v>5.5</v>
      </c>
      <c r="DU290" s="313" t="s">
        <v>1570</v>
      </c>
      <c r="DV290" s="462">
        <f>IF(DV277=0,2.75,IF(DV277=1,5.5,IF(DV277&lt;=3,10.99,IF(DV277&lt;=7,21.97,43.93))))</f>
        <v>5.5</v>
      </c>
      <c r="DW290" s="462">
        <f t="shared" ref="DW290:ED290" si="83">IF(DW277=0,2.75,IF(DW277=1,5.5,IF(DW277&lt;=3,10.99,IF(DW277&lt;=7,21.97,43.93))))</f>
        <v>5.5</v>
      </c>
      <c r="DX290" s="462">
        <f t="shared" si="83"/>
        <v>5.5</v>
      </c>
      <c r="DY290" s="462">
        <f t="shared" si="83"/>
        <v>5.5</v>
      </c>
      <c r="DZ290" s="462">
        <f t="shared" si="83"/>
        <v>5.5</v>
      </c>
      <c r="EA290" s="462">
        <f t="shared" si="83"/>
        <v>5.5</v>
      </c>
      <c r="EB290" s="462">
        <f>IF(EB277=0,2.75,IF(EB277=1,5.5,IF(EB277&lt;=3,10.99,IF(EB277&lt;=7,21.97,43.93))))</f>
        <v>5.5</v>
      </c>
      <c r="EC290" s="462">
        <f t="shared" si="83"/>
        <v>5.5</v>
      </c>
      <c r="ED290" s="462">
        <f t="shared" si="83"/>
        <v>5.5</v>
      </c>
      <c r="EE290" s="462">
        <f>IF(EE277=0,2.75,IF(EE277=1,5.5,IF(EE277&lt;=3,10.99,IF(EE277&lt;=7,21.97,43.93))))</f>
        <v>5.5</v>
      </c>
      <c r="EF290" s="462">
        <f t="shared" ref="EF290:ES290" si="84">IF(EF277=0,2.75,IF(EF277=1,5.5,IF(EF277&lt;=3,10.99,IF(EF277&lt;=7,21.97,43.93))))</f>
        <v>5.5</v>
      </c>
      <c r="EG290" s="462">
        <f t="shared" si="84"/>
        <v>5.5</v>
      </c>
      <c r="EH290" s="462">
        <f t="shared" si="84"/>
        <v>5.5</v>
      </c>
      <c r="EI290" s="462">
        <f t="shared" si="84"/>
        <v>5.5</v>
      </c>
      <c r="EJ290" s="462">
        <f t="shared" si="84"/>
        <v>5.5</v>
      </c>
      <c r="EK290" s="462">
        <f t="shared" si="84"/>
        <v>5.5</v>
      </c>
      <c r="EL290" s="462">
        <f t="shared" si="84"/>
        <v>5.5</v>
      </c>
      <c r="EM290" s="462">
        <f t="shared" si="84"/>
        <v>5.5</v>
      </c>
      <c r="EN290" s="462">
        <f t="shared" si="84"/>
        <v>5.5</v>
      </c>
      <c r="EO290" s="462">
        <f t="shared" si="84"/>
        <v>5.5</v>
      </c>
      <c r="EP290" s="462">
        <f t="shared" si="84"/>
        <v>5.5</v>
      </c>
      <c r="EQ290" s="462">
        <f t="shared" si="84"/>
        <v>5.5</v>
      </c>
      <c r="ER290" s="462">
        <f t="shared" si="84"/>
        <v>5.5</v>
      </c>
      <c r="ES290" s="462">
        <f t="shared" si="84"/>
        <v>5.5</v>
      </c>
      <c r="ET290" s="462">
        <f>IF(ET277=0,2.75,IF(ET277=1,5.5,IF(ET277&lt;=3,10.99,IF(ET277&lt;=7,21.97,43.93))))</f>
        <v>5.5</v>
      </c>
      <c r="FE290" s="313" t="s">
        <v>1570</v>
      </c>
      <c r="FF290" s="462">
        <f>IF(FF277=0,2.75,IF(FF277=1,5.5,IF(FF277&lt;=3,10.99,IF(FF277&lt;=7,21.97,43.93))))</f>
        <v>5.5</v>
      </c>
      <c r="FG290" s="462">
        <f t="shared" ref="FG290:FK290" si="85">IF(FG277=0,2.75,IF(FG277=1,5.5,IF(FG277&lt;=3,10.99,IF(FG277&lt;=7,21.97,43.93))))</f>
        <v>5.5</v>
      </c>
      <c r="FH290" s="462">
        <f t="shared" si="85"/>
        <v>5.5</v>
      </c>
      <c r="FI290" s="462">
        <f t="shared" si="85"/>
        <v>5.5</v>
      </c>
      <c r="FJ290" s="462">
        <f t="shared" si="85"/>
        <v>5.5</v>
      </c>
      <c r="FK290" s="462">
        <f t="shared" si="85"/>
        <v>5.5</v>
      </c>
      <c r="FL290" s="462">
        <f>IF(FL277=0,2.75,IF(FL277=1,5.5,IF(FL277&lt;=3,10.99,IF(FL277&lt;=7,21.97,43.93))))</f>
        <v>5.5</v>
      </c>
      <c r="FM290" s="462">
        <f t="shared" ref="FM290:FN290" si="86">IF(FM277=0,2.75,IF(FM277=1,5.5,IF(FM277&lt;=3,10.99,IF(FM277&lt;=7,21.97,43.93))))</f>
        <v>5.5</v>
      </c>
      <c r="FN290" s="462">
        <f t="shared" si="86"/>
        <v>5.5</v>
      </c>
      <c r="FO290" s="462">
        <f>IF(FO277=0,2.75,IF(FO277=1,5.5,IF(FO277&lt;=3,10.99,IF(FO277&lt;=7,21.97,43.93))))</f>
        <v>5.5</v>
      </c>
      <c r="FP290" s="462">
        <f t="shared" ref="FP290:GC290" si="87">IF(FP277=0,2.75,IF(FP277=1,5.5,IF(FP277&lt;=3,10.99,IF(FP277&lt;=7,21.97,43.93))))</f>
        <v>5.5</v>
      </c>
      <c r="FQ290" s="462">
        <f t="shared" si="87"/>
        <v>5.5</v>
      </c>
      <c r="FR290" s="462">
        <f t="shared" si="87"/>
        <v>5.5</v>
      </c>
      <c r="FS290" s="462">
        <f t="shared" si="87"/>
        <v>5.5</v>
      </c>
      <c r="FT290" s="462">
        <f t="shared" si="87"/>
        <v>5.5</v>
      </c>
      <c r="FU290" s="462">
        <f t="shared" si="87"/>
        <v>5.5</v>
      </c>
      <c r="FV290" s="462">
        <f t="shared" si="87"/>
        <v>5.5</v>
      </c>
      <c r="FW290" s="462">
        <f t="shared" si="87"/>
        <v>5.5</v>
      </c>
      <c r="FX290" s="462">
        <f t="shared" si="87"/>
        <v>5.5</v>
      </c>
      <c r="FY290" s="462">
        <f t="shared" si="87"/>
        <v>5.5</v>
      </c>
      <c r="FZ290" s="462">
        <f t="shared" si="87"/>
        <v>5.5</v>
      </c>
      <c r="GA290" s="462">
        <f t="shared" si="87"/>
        <v>5.5</v>
      </c>
      <c r="GB290" s="462">
        <f t="shared" si="87"/>
        <v>5.5</v>
      </c>
      <c r="GC290" s="462">
        <f t="shared" si="87"/>
        <v>5.5</v>
      </c>
      <c r="GD290" s="462">
        <f>IF(GD277=0,2.75,IF(GD277=1,5.5,IF(GD277&lt;=3,10.99,IF(GD277&lt;=7,21.97,43.93))))</f>
        <v>5.5</v>
      </c>
    </row>
    <row r="291" spans="2:186" hidden="1">
      <c r="B291" s="66" t="s">
        <v>647</v>
      </c>
      <c r="C291" s="78" t="str">
        <f ca="1">DEC2HEX(D291,8)</f>
        <v>0000021C</v>
      </c>
      <c r="D291" s="322">
        <f ca="1">F20/2</f>
        <v>540</v>
      </c>
      <c r="E291" s="228"/>
      <c r="F291" s="228"/>
      <c r="G291" s="228"/>
      <c r="H291" s="228"/>
      <c r="I291" s="228"/>
      <c r="J291" s="228"/>
      <c r="K291" s="228"/>
      <c r="L291" s="228"/>
      <c r="M291" s="228"/>
      <c r="N291" s="228"/>
      <c r="O291" s="228"/>
      <c r="P291" s="228"/>
      <c r="Q291" s="228"/>
      <c r="R291" s="228"/>
      <c r="S291" s="228"/>
      <c r="T291" s="228"/>
      <c r="BA291" s="313" t="s">
        <v>1571</v>
      </c>
      <c r="BB291" s="462">
        <f>7000/2^BB278/2^BB279/2</f>
        <v>3500</v>
      </c>
      <c r="BC291" s="462">
        <f t="shared" ref="BC291:BJ291" si="88">7000/2^BC278/2^BC279/2</f>
        <v>3500</v>
      </c>
      <c r="BD291" s="462">
        <f t="shared" si="88"/>
        <v>3500</v>
      </c>
      <c r="BE291" s="462">
        <f t="shared" si="88"/>
        <v>3500</v>
      </c>
      <c r="BF291" s="462">
        <f t="shared" si="88"/>
        <v>3500</v>
      </c>
      <c r="BG291" s="462">
        <f t="shared" si="88"/>
        <v>3500</v>
      </c>
      <c r="BH291" s="462">
        <f t="shared" si="88"/>
        <v>3500</v>
      </c>
      <c r="BI291" s="462">
        <f t="shared" si="88"/>
        <v>3500</v>
      </c>
      <c r="BJ291" s="462">
        <f t="shared" si="88"/>
        <v>3500</v>
      </c>
      <c r="BK291" s="462">
        <f>7000/2^BK278/2^BK279/2</f>
        <v>3500</v>
      </c>
      <c r="BL291" s="462">
        <f t="shared" ref="BL291:BZ291" si="89">7000/2^BL278/2^BL279/2</f>
        <v>3500</v>
      </c>
      <c r="BM291" s="462">
        <f t="shared" si="89"/>
        <v>3500</v>
      </c>
      <c r="BN291" s="462">
        <f t="shared" si="89"/>
        <v>3500</v>
      </c>
      <c r="BO291" s="462">
        <f t="shared" si="89"/>
        <v>3500</v>
      </c>
      <c r="BP291" s="462">
        <f t="shared" si="89"/>
        <v>3500</v>
      </c>
      <c r="BQ291" s="462">
        <f t="shared" si="89"/>
        <v>3500</v>
      </c>
      <c r="BR291" s="462">
        <f t="shared" si="89"/>
        <v>3500</v>
      </c>
      <c r="BS291" s="462">
        <f t="shared" si="89"/>
        <v>3500</v>
      </c>
      <c r="BT291" s="462">
        <f t="shared" si="89"/>
        <v>3500</v>
      </c>
      <c r="BU291" s="462">
        <f t="shared" si="89"/>
        <v>3500</v>
      </c>
      <c r="BV291" s="462">
        <f t="shared" si="89"/>
        <v>3500</v>
      </c>
      <c r="BW291" s="462">
        <f t="shared" si="89"/>
        <v>3500</v>
      </c>
      <c r="BX291" s="462">
        <f t="shared" si="89"/>
        <v>3500</v>
      </c>
      <c r="BY291" s="462">
        <f t="shared" si="89"/>
        <v>3500</v>
      </c>
      <c r="BZ291" s="462">
        <f t="shared" si="89"/>
        <v>3500</v>
      </c>
      <c r="CK291" s="313" t="s">
        <v>1571</v>
      </c>
      <c r="CL291" s="462">
        <f>7000/2^CL278/2^CL279/2</f>
        <v>3500</v>
      </c>
      <c r="CM291" s="462">
        <f t="shared" ref="CM291:CT291" si="90">7000/2^CM278/2^CM279/2</f>
        <v>3500</v>
      </c>
      <c r="CN291" s="462">
        <f t="shared" si="90"/>
        <v>3500</v>
      </c>
      <c r="CO291" s="462">
        <f t="shared" si="90"/>
        <v>3500</v>
      </c>
      <c r="CP291" s="462">
        <f t="shared" si="90"/>
        <v>3500</v>
      </c>
      <c r="CQ291" s="462">
        <f t="shared" si="90"/>
        <v>3500</v>
      </c>
      <c r="CR291" s="462">
        <f t="shared" si="90"/>
        <v>3500</v>
      </c>
      <c r="CS291" s="462">
        <f t="shared" si="90"/>
        <v>3500</v>
      </c>
      <c r="CT291" s="462">
        <f t="shared" si="90"/>
        <v>3500</v>
      </c>
      <c r="CU291" s="462">
        <f>7000/2^CU278/2^CU279/2</f>
        <v>3500</v>
      </c>
      <c r="CV291" s="462">
        <f t="shared" ref="CV291:DI291" si="91">7000/2^CV278/2^CV279/2</f>
        <v>3500</v>
      </c>
      <c r="CW291" s="462">
        <f t="shared" si="91"/>
        <v>3500</v>
      </c>
      <c r="CX291" s="462">
        <f t="shared" si="91"/>
        <v>3500</v>
      </c>
      <c r="CY291" s="462">
        <f t="shared" si="91"/>
        <v>3500</v>
      </c>
      <c r="CZ291" s="462">
        <f t="shared" si="91"/>
        <v>3500</v>
      </c>
      <c r="DA291" s="462">
        <f t="shared" si="91"/>
        <v>3500</v>
      </c>
      <c r="DB291" s="462">
        <f t="shared" si="91"/>
        <v>3500</v>
      </c>
      <c r="DC291" s="462">
        <f t="shared" si="91"/>
        <v>3500</v>
      </c>
      <c r="DD291" s="462">
        <f t="shared" si="91"/>
        <v>3500</v>
      </c>
      <c r="DE291" s="462">
        <f t="shared" si="91"/>
        <v>3500</v>
      </c>
      <c r="DF291" s="462">
        <f t="shared" si="91"/>
        <v>3500</v>
      </c>
      <c r="DG291" s="462">
        <f t="shared" si="91"/>
        <v>3500</v>
      </c>
      <c r="DH291" s="462">
        <f t="shared" si="91"/>
        <v>3500</v>
      </c>
      <c r="DI291" s="462">
        <f t="shared" si="91"/>
        <v>3500</v>
      </c>
      <c r="DJ291" s="462">
        <f>7000/2^DJ278/2^DJ279/2</f>
        <v>3500</v>
      </c>
      <c r="DU291" s="313" t="s">
        <v>1571</v>
      </c>
      <c r="DV291" s="462">
        <f>7000/2^DV278/2^DV279/2</f>
        <v>3500</v>
      </c>
      <c r="DW291" s="462">
        <f t="shared" ref="DW291:ED291" si="92">7000/2^DW278/2^DW279/2</f>
        <v>3500</v>
      </c>
      <c r="DX291" s="462">
        <f t="shared" si="92"/>
        <v>3500</v>
      </c>
      <c r="DY291" s="462">
        <f t="shared" si="92"/>
        <v>3500</v>
      </c>
      <c r="DZ291" s="462">
        <f t="shared" si="92"/>
        <v>3500</v>
      </c>
      <c r="EA291" s="462">
        <f t="shared" si="92"/>
        <v>3500</v>
      </c>
      <c r="EB291" s="462">
        <f>7000/2^EB278/2^EB279/2</f>
        <v>3500</v>
      </c>
      <c r="EC291" s="462">
        <f t="shared" si="92"/>
        <v>3500</v>
      </c>
      <c r="ED291" s="462">
        <f t="shared" si="92"/>
        <v>3500</v>
      </c>
      <c r="EE291" s="462">
        <f>7000/2^EE278/2^EE279/2</f>
        <v>3500</v>
      </c>
      <c r="EF291" s="462">
        <f t="shared" ref="EF291:ES291" si="93">7000/2^EF278/2^EF279/2</f>
        <v>3500</v>
      </c>
      <c r="EG291" s="462">
        <f t="shared" si="93"/>
        <v>3500</v>
      </c>
      <c r="EH291" s="462">
        <f t="shared" si="93"/>
        <v>3500</v>
      </c>
      <c r="EI291" s="462">
        <f t="shared" si="93"/>
        <v>3500</v>
      </c>
      <c r="EJ291" s="462">
        <f t="shared" si="93"/>
        <v>3500</v>
      </c>
      <c r="EK291" s="462">
        <f t="shared" si="93"/>
        <v>3500</v>
      </c>
      <c r="EL291" s="462">
        <f t="shared" si="93"/>
        <v>3500</v>
      </c>
      <c r="EM291" s="462">
        <f t="shared" si="93"/>
        <v>3500</v>
      </c>
      <c r="EN291" s="462">
        <f t="shared" si="93"/>
        <v>3500</v>
      </c>
      <c r="EO291" s="462">
        <f t="shared" si="93"/>
        <v>3500</v>
      </c>
      <c r="EP291" s="462">
        <f t="shared" si="93"/>
        <v>3500</v>
      </c>
      <c r="EQ291" s="462">
        <f t="shared" si="93"/>
        <v>3500</v>
      </c>
      <c r="ER291" s="462">
        <f t="shared" si="93"/>
        <v>3500</v>
      </c>
      <c r="ES291" s="462">
        <f t="shared" si="93"/>
        <v>3500</v>
      </c>
      <c r="ET291" s="462">
        <f>7000/2^ET278/2^ET279/2</f>
        <v>3500</v>
      </c>
      <c r="FE291" s="313" t="s">
        <v>1571</v>
      </c>
      <c r="FF291" s="462">
        <f>7000/2^FF278/2^FF279/2</f>
        <v>3500</v>
      </c>
      <c r="FG291" s="462">
        <f t="shared" ref="FG291:FK291" si="94">7000/2^FG278/2^FG279/2</f>
        <v>3500</v>
      </c>
      <c r="FH291" s="462">
        <f t="shared" si="94"/>
        <v>3500</v>
      </c>
      <c r="FI291" s="462">
        <f t="shared" si="94"/>
        <v>3500</v>
      </c>
      <c r="FJ291" s="462">
        <f t="shared" si="94"/>
        <v>3500</v>
      </c>
      <c r="FK291" s="462">
        <f t="shared" si="94"/>
        <v>3500</v>
      </c>
      <c r="FL291" s="462">
        <f>7000/2^FL278/2^FL279/2</f>
        <v>3500</v>
      </c>
      <c r="FM291" s="462">
        <f t="shared" ref="FM291:FN291" si="95">7000/2^FM278/2^FM279/2</f>
        <v>3500</v>
      </c>
      <c r="FN291" s="462">
        <f t="shared" si="95"/>
        <v>3500</v>
      </c>
      <c r="FO291" s="462">
        <f>7000/2^FO278/2^FO279/2</f>
        <v>3500</v>
      </c>
      <c r="FP291" s="462">
        <f t="shared" ref="FP291:GC291" si="96">7000/2^FP278/2^FP279/2</f>
        <v>3500</v>
      </c>
      <c r="FQ291" s="462">
        <f t="shared" si="96"/>
        <v>3500</v>
      </c>
      <c r="FR291" s="462">
        <f t="shared" si="96"/>
        <v>3500</v>
      </c>
      <c r="FS291" s="462">
        <f t="shared" si="96"/>
        <v>3500</v>
      </c>
      <c r="FT291" s="462">
        <f t="shared" si="96"/>
        <v>3500</v>
      </c>
      <c r="FU291" s="462">
        <f t="shared" si="96"/>
        <v>3500</v>
      </c>
      <c r="FV291" s="462">
        <f t="shared" si="96"/>
        <v>3500</v>
      </c>
      <c r="FW291" s="462">
        <f t="shared" si="96"/>
        <v>3500</v>
      </c>
      <c r="FX291" s="462">
        <f t="shared" si="96"/>
        <v>3500</v>
      </c>
      <c r="FY291" s="462">
        <f t="shared" si="96"/>
        <v>3500</v>
      </c>
      <c r="FZ291" s="462">
        <f t="shared" si="96"/>
        <v>3500</v>
      </c>
      <c r="GA291" s="462">
        <f t="shared" si="96"/>
        <v>3500</v>
      </c>
      <c r="GB291" s="462">
        <f t="shared" si="96"/>
        <v>3500</v>
      </c>
      <c r="GC291" s="462">
        <f t="shared" si="96"/>
        <v>3500</v>
      </c>
      <c r="GD291" s="462">
        <f>7000/2^GD278/2^GD279/2</f>
        <v>3500</v>
      </c>
    </row>
    <row r="292" spans="2:186" hidden="1">
      <c r="D292" s="228"/>
      <c r="E292" s="228"/>
      <c r="F292" s="228"/>
      <c r="G292" s="228"/>
      <c r="H292" s="228"/>
      <c r="I292" s="228"/>
      <c r="J292" s="228"/>
      <c r="K292" s="228"/>
      <c r="L292" s="228"/>
      <c r="M292" s="228"/>
      <c r="N292" s="228"/>
      <c r="O292" s="228"/>
      <c r="P292" s="228"/>
      <c r="Q292" s="228"/>
      <c r="R292" s="228"/>
      <c r="S292" s="228"/>
      <c r="T292" s="228"/>
      <c r="BA292" s="313" t="s">
        <v>1572</v>
      </c>
      <c r="BB292" s="462">
        <f ca="1">BB289*BB290*BB291/((BB274+1)*(BB279+1))/2/PI()/1000</f>
        <v>0.7711455941193015</v>
      </c>
      <c r="BC292" s="462">
        <f t="shared" ref="BC292:BJ292" ca="1" si="97">BC289*BC290*BC291/((BC274+1)*(BC279+1))/2/PI()/1000</f>
        <v>0.54908111891292521</v>
      </c>
      <c r="BD292" s="462">
        <f t="shared" ca="1" si="97"/>
        <v>0.70649062266676899</v>
      </c>
      <c r="BE292" s="462">
        <f t="shared" ca="1" si="97"/>
        <v>0.9419874968890255</v>
      </c>
      <c r="BF292" s="462">
        <f t="shared" ca="1" si="97"/>
        <v>0.56519249813341521</v>
      </c>
      <c r="BG292" s="462">
        <f t="shared" ca="1" si="97"/>
        <v>1.6789654564066803</v>
      </c>
      <c r="BH292" s="462">
        <f t="shared" ca="1" si="97"/>
        <v>0.60030369134957717</v>
      </c>
      <c r="BI292" s="462">
        <f t="shared" ca="1" si="97"/>
        <v>1.6675102537488256</v>
      </c>
      <c r="BJ292" s="462">
        <f t="shared" ca="1" si="97"/>
        <v>0.54908111891292521</v>
      </c>
      <c r="BK292" s="462">
        <f t="shared" ref="BK292:BZ292" ca="1" si="98">BK289*BK290*BK291/((BK274+1)*(BK279+1))/2/PI()/1000</f>
        <v>0.56519249813341521</v>
      </c>
      <c r="BL292" s="462">
        <f t="shared" ca="1" si="98"/>
        <v>0.70649062266676899</v>
      </c>
      <c r="BM292" s="462">
        <f t="shared" ca="1" si="98"/>
        <v>0.99505721502361844</v>
      </c>
      <c r="BN292" s="462">
        <f t="shared" ca="1" si="98"/>
        <v>1.0274084482738874</v>
      </c>
      <c r="BO292" s="462">
        <f t="shared" ca="1" si="98"/>
        <v>0.9753877673486272</v>
      </c>
      <c r="BP292" s="462">
        <f t="shared" ca="1" si="98"/>
        <v>0.66769763979524976</v>
      </c>
      <c r="BQ292" s="462">
        <f t="shared" ca="1" si="98"/>
        <v>0.5135358647329763</v>
      </c>
      <c r="BR292" s="462">
        <f t="shared" ca="1" si="98"/>
        <v>0.49108620944410303</v>
      </c>
      <c r="BS292" s="462">
        <f t="shared" ca="1" si="98"/>
        <v>0.50143410251112241</v>
      </c>
      <c r="BT292" s="462">
        <f t="shared" ca="1" si="98"/>
        <v>0.48137673841067741</v>
      </c>
      <c r="BU292" s="462">
        <f t="shared" ca="1" si="98"/>
        <v>0.52446389610511923</v>
      </c>
      <c r="BV292" s="462">
        <f t="shared" ca="1" si="98"/>
        <v>0.53223530757478998</v>
      </c>
      <c r="BW292" s="462">
        <f t="shared" ca="1" si="98"/>
        <v>0.54178503598930716</v>
      </c>
      <c r="BX292" s="462">
        <f t="shared" ca="1" si="98"/>
        <v>0.5506789890620547</v>
      </c>
      <c r="BY292" s="462">
        <f t="shared" ca="1" si="98"/>
        <v>0.55667262729472489</v>
      </c>
      <c r="BZ292" s="462">
        <f t="shared" ca="1" si="98"/>
        <v>0.5388591032212936</v>
      </c>
      <c r="CK292" s="313" t="s">
        <v>1572</v>
      </c>
      <c r="CL292" s="462">
        <f ca="1">CL289*CL290*CL291/((CL274+1)*(CL279+1))/2/PI()/1000</f>
        <v>1.8759490354674289</v>
      </c>
      <c r="CM292" s="462">
        <f t="shared" ref="CM292" ca="1" si="99">CM289*CM290*CM291/((CM274+1)*(CM279+1))/2/PI()/1000</f>
        <v>1.8367624358958197</v>
      </c>
      <c r="CN292" s="462">
        <f t="shared" ref="CN292" ca="1" si="100">CN289*CN290*CN291/((CN274+1)*(CN279+1))/2/PI()/1000</f>
        <v>2.2077831958336533</v>
      </c>
      <c r="CO292" s="462">
        <f t="shared" ref="CO292" ca="1" si="101">CO289*CO290*CO291/((CO274+1)*(CO279+1))/2/PI()/1000</f>
        <v>1.9624739518521361</v>
      </c>
      <c r="CP292" s="462">
        <f t="shared" ref="CP292" ca="1" si="102">CP289*CP290*CP291/((CP274+1)*(CP279+1))/2/PI()/1000</f>
        <v>0.88311327833346143</v>
      </c>
      <c r="CQ292" s="462">
        <f t="shared" ref="CQ292" ca="1" si="103">CQ289*CQ290*CQ291/((CQ274+1)*(CQ279+1))/2/PI()/1000</f>
        <v>1.7552820680615291</v>
      </c>
      <c r="CR292" s="462">
        <f t="shared" ref="CR292" ca="1" si="104">CR289*CR290*CR291/((CR274+1)*(CR279+1))/2/PI()/1000</f>
        <v>1.8759490354674289</v>
      </c>
      <c r="CS292" s="462">
        <f t="shared" ref="CS292" ca="1" si="105">CS289*CS290*CS291/((CS274+1)*(CS279+1))/2/PI()/1000</f>
        <v>1.7316452635083959</v>
      </c>
      <c r="CT292" s="462">
        <f t="shared" ref="CT292" ca="1" si="106">CT289*CT290*CT291/((CT274+1)*(CT279+1))/2/PI()/1000</f>
        <v>1.8367624358958197</v>
      </c>
      <c r="CU292" s="462">
        <f t="shared" ref="CU292" ca="1" si="107">CU289*CU290*CU291/((CU274+1)*(CU279+1))/2/PI()/1000</f>
        <v>2.3549687422225638</v>
      </c>
      <c r="CV292" s="462">
        <f t="shared" ref="CV292" ca="1" si="108">CV289*CV290*CV291/((CV274+1)*(CV279+1))/2/PI()/1000</f>
        <v>2.2077831958336533</v>
      </c>
      <c r="CW292" s="462">
        <f t="shared" ref="CW292" ca="1" si="109">CW289*CW290*CW291/((CW274+1)*(CW279+1))/2/PI()/1000</f>
        <v>2.0779135960787332</v>
      </c>
      <c r="CX292" s="462">
        <f t="shared" ref="CX292" ca="1" si="110">CX289*CX290*CX291/((CX274+1)*(CX279+1))/2/PI()/1000</f>
        <v>2.1404342672372656</v>
      </c>
      <c r="CY292" s="462">
        <f t="shared" ref="CY292" ca="1" si="111">CY289*CY290*CY291/((CY274+1)*(CY279+1))/2/PI()/1000</f>
        <v>2.0277798321195144</v>
      </c>
      <c r="CZ292" s="462">
        <f t="shared" ref="CZ292" ca="1" si="112">CZ289*CZ290*CZ291/((CZ274+1)*(CZ279+1))/2/PI()/1000</f>
        <v>2.0865551243601552</v>
      </c>
      <c r="DA292" s="462">
        <f t="shared" ref="DA292" ca="1" si="113">DA289*DA290*DA291/((DA274+1)*(DA279+1))/2/PI()/1000</f>
        <v>2.1397327697207347</v>
      </c>
      <c r="DB292" s="462">
        <f t="shared" ref="DB292" ca="1" si="114">DB289*DB290*DB291/((DB274+1)*(DB279+1))/2/PI()/1000</f>
        <v>2.1880760836848978</v>
      </c>
      <c r="DC292" s="462">
        <f t="shared" ref="DC292" ca="1" si="115">DC289*DC290*DC291/((DC274+1)*(DC279+1))/2/PI()/1000</f>
        <v>2.0929423409159891</v>
      </c>
      <c r="DD292" s="462">
        <f t="shared" ref="DD292" ca="1" si="116">DD289*DD290*DD291/((DD274+1)*(DD279+1))/2/PI()/1000</f>
        <v>2.1392066465833364</v>
      </c>
      <c r="DE292" s="462">
        <f t="shared" ref="DE292" ca="1" si="117">DE289*DE290*DE291/((DE274+1)*(DE279+1))/2/PI()/1000</f>
        <v>2.0536383807200029</v>
      </c>
      <c r="DF292" s="462">
        <f t="shared" ref="DF292" ca="1" si="118">DF289*DF290*DF291/((DF274+1)*(DF279+1))/2/PI()/1000</f>
        <v>2.0978555844204769</v>
      </c>
      <c r="DG292" s="462">
        <f t="shared" ref="DG292" ca="1" si="119">DG289*DG290*DG291/((DG274+1)*(DG279+1))/2/PI()/1000</f>
        <v>2.1387974396986933</v>
      </c>
      <c r="DH292" s="462">
        <f t="shared" ref="DH292" ca="1" si="120">DH289*DH290*DH291/((DH274+1)*(DH279+1))/2/PI()/1000</f>
        <v>2.176814876742752</v>
      </c>
      <c r="DI292" s="462">
        <f t="shared" ref="DI292" ca="1" si="121">DI289*DI290*DI291/((DI274+1)*(DI279+1))/2/PI()/1000</f>
        <v>2.1017522947861051</v>
      </c>
      <c r="DJ292" s="462">
        <f ca="1">DJ289*DJ290*DJ291/((DJ274+1)*(DJ279+1))/2/PI()/1000</f>
        <v>2.138470074190979</v>
      </c>
      <c r="DU292" s="313" t="s">
        <v>1572</v>
      </c>
      <c r="DV292" s="462">
        <f ca="1">DV289*DV290*DV291/((DV274+1)*(DV279+1))/2/PI()/1000</f>
        <v>0.50587389720469988</v>
      </c>
      <c r="DW292" s="462">
        <f t="shared" ref="DW292" ca="1" si="122">DW289*DW290*DW291/((DW274+1)*(DW279+1))/2/PI()/1000</f>
        <v>1.9780518540416516</v>
      </c>
      <c r="DX292" s="462">
        <f t="shared" ref="DX292" ca="1" si="123">DX289*DX290*DX291/((DX274+1)*(DX279+1))/2/PI()/1000</f>
        <v>0.79380968838962818</v>
      </c>
      <c r="DY292" s="462">
        <f t="shared" ref="DY292" ca="1" si="124">DY289*DY290*DY291/((DY274+1)*(DY279+1))/2/PI()/1000</f>
        <v>0.70649062266676899</v>
      </c>
      <c r="DZ292" s="462">
        <f t="shared" ref="DZ292" ca="1" si="125">DZ289*DZ290*DZ291/((DZ274+1)*(DZ279+1))/2/PI()/1000</f>
        <v>1.9094341153155923</v>
      </c>
      <c r="EA292" s="462">
        <f t="shared" ref="EA292" ca="1" si="126">EA289*EA290*EA291/((EA274+1)*(EA279+1))/2/PI()/1000</f>
        <v>0.50420929612826426</v>
      </c>
      <c r="EB292" s="462">
        <f ca="1">EB289*EB290*EB291/((EB274+1)*(EB279+1))/2/PI()/1000</f>
        <v>0.57785784500093196</v>
      </c>
      <c r="EC292" s="462">
        <f t="shared" ref="EC292" ca="1" si="127">EC289*EC290*EC291/((EC274+1)*(EC279+1))/2/PI()/1000</f>
        <v>1.8759490354674289</v>
      </c>
      <c r="ED292" s="462">
        <f t="shared" ref="ED292" ca="1" si="128">ED289*ED290*ED291/((ED274+1)*(ED279+1))/2/PI()/1000</f>
        <v>1.9780518540416516</v>
      </c>
      <c r="EE292" s="462">
        <f t="shared" ref="EE292" ca="1" si="129">EE289*EE290*EE291/((EE274+1)*(EE279+1))/2/PI()/1000</f>
        <v>0.50826663501206415</v>
      </c>
      <c r="EF292" s="462">
        <f t="shared" ref="EF292" ca="1" si="130">EF289*EF290*EF291/((EF274+1)*(EF279+1))/2/PI()/1000</f>
        <v>0.47735852882889807</v>
      </c>
      <c r="EG292" s="462">
        <f t="shared" ref="EG292" ca="1" si="131">EG289*EG290*EG291/((EG274+1)*(EG279+1))/2/PI()/1000</f>
        <v>1.1214136867726492</v>
      </c>
      <c r="EH292" s="462">
        <f t="shared" ref="EH292" ca="1" si="132">EH289*EH290*EH291/((EH274+1)*(EH279+1))/2/PI()/1000</f>
        <v>0.77055633620541553</v>
      </c>
      <c r="EI292" s="462">
        <f t="shared" ref="EI292" ca="1" si="133">EI289*EI290*EI291/((EI274+1)*(EI279+1))/2/PI()/1000</f>
        <v>0.51061804731972071</v>
      </c>
      <c r="EJ292" s="462">
        <f t="shared" ref="EJ292" ca="1" si="134">EJ289*EJ290*EJ291/((EJ274+1)*(EJ279+1))/2/PI()/1000</f>
        <v>2.2557352695785462</v>
      </c>
      <c r="EK292" s="462">
        <f t="shared" ref="EK292" ca="1" si="135">EK289*EK290*EK291/((EK274+1)*(EK279+1))/2/PI()/1000</f>
        <v>0.49626467877389435</v>
      </c>
      <c r="EL292" s="462">
        <f t="shared" ref="EL292" ca="1" si="136">EL289*EL290*EL291/((EL274+1)*(EL279+1))/2/PI()/1000</f>
        <v>0.55134218606301133</v>
      </c>
      <c r="EM292" s="462">
        <f t="shared" ref="EM292" ca="1" si="137">EM289*EM290*EM291/((EM274+1)*(EM279+1))/2/PI()/1000</f>
        <v>0.51215253704161889</v>
      </c>
      <c r="EN292" s="462">
        <f t="shared" ref="EN292" ca="1" si="138">EN289*EN290*EN291/((EN274+1)*(EN279+1))/2/PI()/1000</f>
        <v>0.52024802587265517</v>
      </c>
      <c r="EO292" s="462">
        <f t="shared" ref="EO292" ca="1" si="139">EO289*EO290*EO291/((EO274+1)*(EO279+1))/2/PI()/1000</f>
        <v>0.73871884198561244</v>
      </c>
      <c r="EP292" s="462">
        <f t="shared" ref="EP292" ca="1" si="140">EP289*EP290*EP291/((EP274+1)*(EP279+1))/2/PI()/1000</f>
        <v>0.5058159049692702</v>
      </c>
      <c r="EQ292" s="462">
        <f t="shared" ref="EQ292" ca="1" si="141">EQ289*EQ290*EQ291/((EQ274+1)*(EQ279+1))/2/PI()/1000</f>
        <v>0.48760653239037638</v>
      </c>
      <c r="ER292" s="462">
        <f t="shared" ref="ER292" ca="1" si="142">ER289*ER290*ER291/((ER274+1)*(ER279+1))/2/PI()/1000</f>
        <v>0.49539847278555504</v>
      </c>
      <c r="ES292" s="462">
        <f t="shared" ref="ES292" ca="1" si="143">ES289*ES290*ES291/((ES274+1)*(ES279+1))/2/PI()/1000</f>
        <v>0.67756826329108588</v>
      </c>
      <c r="ET292" s="462">
        <f ca="1">ET289*ET290*ET291/((ET274+1)*(ET279+1))/2/PI()/1000</f>
        <v>0.5779648849164809</v>
      </c>
      <c r="FE292" s="313" t="s">
        <v>1572</v>
      </c>
      <c r="FF292" s="462">
        <f ca="1">FF289*FF290*FF291/((FF274+1)*(FF279+1))/2/PI()/1000</f>
        <v>0.55901465440307552</v>
      </c>
      <c r="FG292" s="462">
        <f t="shared" ref="FG292" ca="1" si="144">FG289*FG290*FG291/((FG274+1)*(FG279+1))/2/PI()/1000</f>
        <v>1.9047906742623313</v>
      </c>
      <c r="FH292" s="462">
        <f t="shared" ref="FH292" ca="1" si="145">FH289*FH290*FH291/((FH274+1)*(FH279+1))/2/PI()/1000</f>
        <v>0.76792458985518375</v>
      </c>
      <c r="FI292" s="462">
        <f t="shared" ref="FI292" ca="1" si="146">FI289*FI290*FI291/((FI274+1)*(FI279+1))/2/PI()/1000</f>
        <v>0.67931790641035494</v>
      </c>
      <c r="FJ292" s="462">
        <f t="shared" ref="FJ292" ca="1" si="147">FJ289*FJ290*FJ291/((FJ274+1)*(FJ279+1))/2/PI()/1000</f>
        <v>1.8591858491230766</v>
      </c>
      <c r="FK292" s="462">
        <f t="shared" ref="FK292" ca="1" si="148">FK289*FK290*FK291/((FK274+1)*(FK279+1))/2/PI()/1000</f>
        <v>0.48518253023663155</v>
      </c>
      <c r="FL292" s="462">
        <f ca="1">FL289*FL290*FL291/((FL274+1)*(FL279+1))/2/PI()/1000</f>
        <v>0.55901465440307552</v>
      </c>
      <c r="FM292" s="462">
        <f t="shared" ref="FM292" ca="1" si="149">FM289*FM290*FM291/((FM274+1)*(FM279+1))/2/PI()/1000</f>
        <v>2.0571739282033179</v>
      </c>
      <c r="FN292" s="462">
        <f t="shared" ref="FN292" ca="1" si="150">FN289*FN290*FN291/((FN274+1)*(FN279+1))/2/PI()/1000</f>
        <v>1.9047906742623313</v>
      </c>
      <c r="FO292" s="462">
        <f t="shared" ref="FO292" ca="1" si="151">FO289*FO290*FO291/((FO274+1)*(FO279+1))/2/PI()/1000</f>
        <v>0.49061848796303403</v>
      </c>
      <c r="FP292" s="462">
        <f t="shared" ref="FP292" ca="1" si="152">FP289*FP290*FP291/((FP274+1)*(FP279+1))/2/PI()/1000</f>
        <v>0.62646856602066303</v>
      </c>
      <c r="FQ292" s="462">
        <f t="shared" ref="FQ292" ca="1" si="153">FQ289*FQ290*FQ291/((FQ274+1)*(FQ279+1))/2/PI()/1000</f>
        <v>1.1854712864698702</v>
      </c>
      <c r="FR292" s="462">
        <f t="shared" ref="FR292" ca="1" si="154">FR289*FR290*FR291/((FR274+1)*(FR279+1))/2/PI()/1000</f>
        <v>0.48244049118153887</v>
      </c>
      <c r="FS292" s="462">
        <f t="shared" ref="FS292" ca="1" si="155">FS289*FS290*FS291/((FS274+1)*(FS279+1))/2/PI()/1000</f>
        <v>0.49108620944410303</v>
      </c>
      <c r="FT292" s="462">
        <f t="shared" ref="FT292" ca="1" si="156">FT289*FT290*FT291/((FT274+1)*(FT279+1))/2/PI()/1000</f>
        <v>0.62516459533854218</v>
      </c>
      <c r="FU292" s="462">
        <f t="shared" ref="FU292" ca="1" si="157">FU289*FU290*FU291/((FU274+1)*(FU279+1))/2/PI()/1000</f>
        <v>0.47661063208977966</v>
      </c>
      <c r="FV292" s="462">
        <f t="shared" ref="FV292" ca="1" si="158">FV289*FV290*FV291/((FV274+1)*(FV279+1))/2/PI()/1000</f>
        <v>0.65718271633390712</v>
      </c>
      <c r="FW292" s="462">
        <f t="shared" ref="FW292" ca="1" si="159">FW289*FW290*FW291/((FW274+1)*(FW279+1))/2/PI()/1000</f>
        <v>0.54392851797816666</v>
      </c>
      <c r="FX292" s="462">
        <f t="shared" ref="FX292" ca="1" si="160">FX289*FX290*FX291/((FX274+1)*(FX279+1))/2/PI()/1000</f>
        <v>0.499978622267227</v>
      </c>
      <c r="FY292" s="462">
        <f t="shared" ref="FY292" ca="1" si="161">FY289*FY290*FY291/((FY274+1)*(FY279+1))/2/PI()/1000</f>
        <v>0.48122942393220597</v>
      </c>
      <c r="FZ292" s="462">
        <f t="shared" ref="FZ292" ca="1" si="162">FZ289*FZ290*FZ291/((FZ274+1)*(FZ279+1))/2/PI()/1000</f>
        <v>0.48760653239037638</v>
      </c>
      <c r="GA292" s="462">
        <f t="shared" ref="GA292" ca="1" si="163">GA289*GA290*GA291/((GA274+1)*(GA279+1))/2/PI()/1000</f>
        <v>0.4934930940440721</v>
      </c>
      <c r="GB292" s="462">
        <f t="shared" ref="GB292" ca="1" si="164">GB289*GB290*GB291/((GB274+1)*(GB279+1))/2/PI()/1000</f>
        <v>0.47698217268200277</v>
      </c>
      <c r="GC292" s="462">
        <f t="shared" ref="GC292" ca="1" si="165">GC289*GC290*GC291/((GC274+1)*(GC279+1))/2/PI()/1000</f>
        <v>0.51791507508398837</v>
      </c>
      <c r="GD292" s="462">
        <f ca="1">GD289*GD290*GD291/((GD274+1)*(GD279+1))/2/PI()/1000</f>
        <v>0.66760151296953429</v>
      </c>
    </row>
    <row r="293" spans="2:186" hidden="1">
      <c r="B293" s="66" t="s">
        <v>648</v>
      </c>
      <c r="C293" s="78" t="str">
        <f ca="1">DEC2HEX(D293,8)</f>
        <v>00000438</v>
      </c>
      <c r="D293" s="322">
        <f ca="1">F20</f>
        <v>1080</v>
      </c>
      <c r="E293" s="228"/>
      <c r="F293" s="228"/>
      <c r="G293" s="228"/>
      <c r="H293" s="228"/>
      <c r="I293" s="228"/>
      <c r="J293" s="228"/>
      <c r="K293" s="228"/>
      <c r="L293" s="228"/>
      <c r="M293" s="228"/>
      <c r="N293" s="228"/>
      <c r="O293" s="228"/>
      <c r="P293" s="228"/>
      <c r="Q293" s="228"/>
      <c r="R293" s="228"/>
      <c r="S293" s="228"/>
      <c r="T293" s="228"/>
      <c r="BA293" s="357" t="s">
        <v>1573</v>
      </c>
      <c r="BB293" s="462">
        <f ca="1">BB282/BB292</f>
        <v>10.374175850847623</v>
      </c>
      <c r="BC293" s="462">
        <f t="shared" ref="BC293:BJ293" ca="1" si="166">BC282/BC292</f>
        <v>10.927347150233182</v>
      </c>
      <c r="BD293" s="462">
        <f t="shared" ca="1" si="166"/>
        <v>11.323575633322124</v>
      </c>
      <c r="BE293" s="462">
        <f t="shared" ca="1" si="166"/>
        <v>12.739022587487387</v>
      </c>
      <c r="BF293" s="462">
        <f t="shared" ca="1" si="166"/>
        <v>14.154469541652654</v>
      </c>
      <c r="BG293" s="462">
        <f t="shared" ca="1" si="166"/>
        <v>14.294516845727589</v>
      </c>
      <c r="BH293" s="462">
        <f t="shared" ca="1" si="166"/>
        <v>13.326588050815982</v>
      </c>
      <c r="BI293" s="462">
        <f t="shared" ca="1" si="166"/>
        <v>14.392715094881259</v>
      </c>
      <c r="BJ293" s="462">
        <f t="shared" ca="1" si="166"/>
        <v>10.927347150233182</v>
      </c>
      <c r="BK293" s="465">
        <f t="shared" ref="BK293:BZ293" ca="1" si="167">BK282/BK292</f>
        <v>10.615852156239491</v>
      </c>
      <c r="BL293" s="465">
        <f t="shared" ca="1" si="167"/>
        <v>11.323575633322124</v>
      </c>
      <c r="BM293" s="465">
        <f t="shared" ca="1" si="167"/>
        <v>12.059608049488061</v>
      </c>
      <c r="BN293" s="465">
        <f t="shared" ca="1" si="167"/>
        <v>11.679872810235087</v>
      </c>
      <c r="BO293" s="465">
        <f t="shared" ca="1" si="167"/>
        <v>12.302799360114294</v>
      </c>
      <c r="BP293" s="465">
        <f t="shared" ca="1" si="167"/>
        <v>11.981471137824014</v>
      </c>
      <c r="BQ293" s="465">
        <f t="shared" ca="1" si="167"/>
        <v>11.683701980814574</v>
      </c>
      <c r="BR293" s="465">
        <f t="shared" ca="1" si="167"/>
        <v>12.217814071366096</v>
      </c>
      <c r="BS293" s="465">
        <f t="shared" ca="1" si="167"/>
        <v>11.965679976596551</v>
      </c>
      <c r="BT293" s="465">
        <f t="shared" ca="1" si="167"/>
        <v>12.46424997562141</v>
      </c>
      <c r="BU293" s="465">
        <f t="shared" ca="1" si="167"/>
        <v>11.440253646739889</v>
      </c>
      <c r="BV293" s="465">
        <f t="shared" ca="1" si="167"/>
        <v>11.273209264037556</v>
      </c>
      <c r="BW293" s="465">
        <f t="shared" ca="1" si="167"/>
        <v>11.0745029881527</v>
      </c>
      <c r="BX293" s="465">
        <f t="shared" ca="1" si="167"/>
        <v>10.895639962983724</v>
      </c>
      <c r="BY293" s="465">
        <f t="shared" ca="1" si="167"/>
        <v>10.778327702510435</v>
      </c>
      <c r="BZ293" s="465">
        <f t="shared" ca="1" si="167"/>
        <v>11.134636056312436</v>
      </c>
      <c r="CK293" s="357" t="s">
        <v>1573</v>
      </c>
      <c r="CL293" s="462">
        <f ca="1">CL282/CL292</f>
        <v>13.32658805081598</v>
      </c>
      <c r="CM293" s="462">
        <f t="shared" ref="CM293" ca="1" si="168">CM282/CM292</f>
        <v>13.610905532161039</v>
      </c>
      <c r="CN293" s="462">
        <f t="shared" ref="CN293" ca="1" si="169">CN282/CN292</f>
        <v>11.323575633322122</v>
      </c>
      <c r="CO293" s="462">
        <f t="shared" ref="CO293" ca="1" si="170">CO282/CO292</f>
        <v>12.739022587487389</v>
      </c>
      <c r="CP293" s="462">
        <f t="shared" ref="CP293" ca="1" si="171">CP282/CP292</f>
        <v>14.15446954165265</v>
      </c>
      <c r="CQ293" s="462">
        <f t="shared" ref="CQ293" ca="1" si="172">CQ282/CQ292</f>
        <v>14.24272511802568</v>
      </c>
      <c r="CR293" s="462">
        <f t="shared" ref="CR293" ca="1" si="173">CR282/CR292</f>
        <v>13.32658805081598</v>
      </c>
      <c r="CS293" s="462">
        <f t="shared" ref="CS293" ca="1" si="174">CS282/CS292</f>
        <v>14.437137055050645</v>
      </c>
      <c r="CT293" s="462">
        <f t="shared" ref="CT293" ca="1" si="175">CT282/CT292</f>
        <v>13.610905532161039</v>
      </c>
      <c r="CU293" s="465">
        <f t="shared" ref="CU293" ca="1" si="176">CU282/CU292</f>
        <v>10.615852156239489</v>
      </c>
      <c r="CV293" s="465">
        <f t="shared" ref="CV293" ca="1" si="177">CV282/CV292</f>
        <v>11.323575633322122</v>
      </c>
      <c r="CW293" s="465">
        <f t="shared" ref="CW293" ca="1" si="178">CW282/CW292</f>
        <v>12.031299110404751</v>
      </c>
      <c r="CX293" s="465">
        <f t="shared" ref="CX293" ca="1" si="179">CX282/CX292</f>
        <v>11.679872810235087</v>
      </c>
      <c r="CY293" s="465">
        <f t="shared" ref="CY293" ca="1" si="180">CY282/CY292</f>
        <v>12.328754633025927</v>
      </c>
      <c r="CZ293" s="465">
        <f t="shared" ref="CZ293" ca="1" si="181">CZ282/CZ292</f>
        <v>11.981471137824016</v>
      </c>
      <c r="DA293" s="465">
        <f t="shared" ref="DA293" ca="1" si="182">DA282/DA292</f>
        <v>11.683701980814574</v>
      </c>
      <c r="DB293" s="465">
        <f t="shared" ref="DB293" ca="1" si="183">DB282/DB292</f>
        <v>11.425562477652957</v>
      </c>
      <c r="DC293" s="465">
        <f t="shared" ref="DC293" ca="1" si="184">DC282/DC292</f>
        <v>11.944906226637183</v>
      </c>
      <c r="DD293" s="465">
        <f t="shared" ref="DD293" ca="1" si="185">DD282/DD292</f>
        <v>11.686575506825905</v>
      </c>
      <c r="DE293" s="465">
        <f t="shared" ref="DE293" ca="1" si="186">DE282/DE292</f>
        <v>12.173516152943652</v>
      </c>
      <c r="DF293" s="465">
        <f t="shared" ref="DF293" ca="1" si="187">DF282/DF292</f>
        <v>11.916930882020717</v>
      </c>
      <c r="DG293" s="465">
        <f t="shared" ref="DG293" ca="1" si="188">DG282/DG292</f>
        <v>11.688811448886865</v>
      </c>
      <c r="DH293" s="465">
        <f t="shared" ref="DH293" ca="1" si="189">DH282/DH292</f>
        <v>11.484669765491688</v>
      </c>
      <c r="DI293" s="465">
        <f t="shared" ref="DI293" ca="1" si="190">DI282/DI292</f>
        <v>11.894836542830678</v>
      </c>
      <c r="DJ293" s="465">
        <f ca="1">DJ282/DJ292</f>
        <v>11.690600818652065</v>
      </c>
      <c r="DU293" s="357" t="s">
        <v>1573</v>
      </c>
      <c r="DV293" s="462">
        <f ca="1">DV282/DV292</f>
        <v>13.3432462858795</v>
      </c>
      <c r="DW293" s="462">
        <f t="shared" ref="DW293" ca="1" si="191">DW282/DW292</f>
        <v>13.649793833681503</v>
      </c>
      <c r="DX293" s="462">
        <f t="shared" ref="DX293" ca="1" si="192">DX282/DX292</f>
        <v>11.337730102863775</v>
      </c>
      <c r="DY293" s="462">
        <f t="shared" ref="DY293" ca="1" si="193">DY282/DY292</f>
        <v>12.739022587487389</v>
      </c>
      <c r="DZ293" s="462">
        <f t="shared" ref="DZ293" ca="1" si="194">DZ282/DZ292</f>
        <v>14.140315072110999</v>
      </c>
      <c r="EA293" s="462">
        <f t="shared" ref="EA293" ca="1" si="195">EA282/EA292</f>
        <v>10.709838238734715</v>
      </c>
      <c r="EB293" s="462">
        <f ca="1">EB282/EB292</f>
        <v>11.681073569208209</v>
      </c>
      <c r="EC293" s="462">
        <f t="shared" ref="EC293" ca="1" si="196">EC282/EC292</f>
        <v>14.392715094881257</v>
      </c>
      <c r="ED293" s="462">
        <f t="shared" ref="ED293" ca="1" si="197">ED282/ED292</f>
        <v>13.649793833681503</v>
      </c>
      <c r="EE293" s="465">
        <f t="shared" ref="EE293" ca="1" si="198">EE282/EE292</f>
        <v>10.624344837964481</v>
      </c>
      <c r="EF293" s="465">
        <f t="shared" ref="EF293" ca="1" si="199">EF282/EF292</f>
        <v>11.3122520576888</v>
      </c>
      <c r="EG293" s="465">
        <f t="shared" ref="EG293" ca="1" si="200">EG282/EG292</f>
        <v>12.038376345175582</v>
      </c>
      <c r="EH293" s="465">
        <f t="shared" ref="EH293" ca="1" si="201">EH282/EH292</f>
        <v>11.679872810235087</v>
      </c>
      <c r="EI293" s="465">
        <f t="shared" ref="EI293" ca="1" si="202">EI282/EI292</f>
        <v>10.575419392920164</v>
      </c>
      <c r="EJ293" s="465">
        <f t="shared" ref="EJ293" ca="1" si="203">EJ282/EJ292</f>
        <v>11.969489666686192</v>
      </c>
      <c r="EK293" s="465">
        <f t="shared" ref="EK293" ca="1" si="204">EK282/EK292</f>
        <v>10.881290228717489</v>
      </c>
      <c r="EL293" s="465">
        <f t="shared" ref="EL293" ca="1" si="205">EL282/EL292</f>
        <v>12.242850575610699</v>
      </c>
      <c r="EM293" s="465">
        <f t="shared" ref="EM293" ca="1" si="206">EM282/EM292</f>
        <v>10.543733769615558</v>
      </c>
      <c r="EN293" s="465">
        <f t="shared" ref="EN293" ca="1" si="207">EN282/EN292</f>
        <v>10.379664566611536</v>
      </c>
      <c r="EO293" s="465">
        <f t="shared" ref="EO293" ca="1" si="208">EO282/EO292</f>
        <v>12.183254965866009</v>
      </c>
      <c r="EP293" s="465">
        <f t="shared" ref="EP293" ca="1" si="209">EP282/EP292</f>
        <v>10.675820880579202</v>
      </c>
      <c r="EQ293" s="465">
        <f t="shared" ref="EQ293" ca="1" si="210">EQ282/EQ292</f>
        <v>11.074502988152702</v>
      </c>
      <c r="ER293" s="465">
        <f t="shared" ref="ER293" ca="1" si="211">ER282/ER292</f>
        <v>10.900316203311185</v>
      </c>
      <c r="ES293" s="465">
        <f t="shared" ref="ES293" ca="1" si="212">ES282/ES292</f>
        <v>13.282794498498472</v>
      </c>
      <c r="ET293" s="465">
        <f ca="1">ET282/ET292</f>
        <v>11.67891021783341</v>
      </c>
      <c r="FE293" s="357" t="s">
        <v>1573</v>
      </c>
      <c r="FF293" s="462">
        <f ca="1">FF282/FF292</f>
        <v>11.627602154617575</v>
      </c>
      <c r="FG293" s="462">
        <f t="shared" ref="FG293" ca="1" si="213">FG282/FG292</f>
        <v>13.649793833681501</v>
      </c>
      <c r="FH293" s="462">
        <f t="shared" ref="FH293" ca="1" si="214">FH282/FH292</f>
        <v>11.285830381211047</v>
      </c>
      <c r="FI293" s="462">
        <f t="shared" ref="FI293" ca="1" si="215">FI282/FI292</f>
        <v>12.757895213542922</v>
      </c>
      <c r="FJ293" s="462">
        <f t="shared" ref="FJ293" ca="1" si="216">FJ282/FJ292</f>
        <v>13.98461590715282</v>
      </c>
      <c r="FK293" s="462">
        <f t="shared" ref="FK293" ca="1" si="217">FK282/FK292</f>
        <v>10.71761589903881</v>
      </c>
      <c r="FL293" s="462">
        <f ca="1">FL282/FL292</f>
        <v>11.627602154617575</v>
      </c>
      <c r="FM293" s="462">
        <f t="shared" ref="FM293" ca="1" si="218">FM282/FM292</f>
        <v>12.638697994149538</v>
      </c>
      <c r="FN293" s="462">
        <f t="shared" ref="FN293" ca="1" si="219">FN282/FN292</f>
        <v>13.649793833681501</v>
      </c>
      <c r="FO293" s="465">
        <f t="shared" ref="FO293" ca="1" si="220">FO282/FO292</f>
        <v>10.598866792789508</v>
      </c>
      <c r="FP293" s="465">
        <f t="shared" ref="FP293" ca="1" si="221">FP282/FP292</f>
        <v>10.375620346425503</v>
      </c>
      <c r="FQ293" s="465">
        <f t="shared" ref="FQ293" ca="1" si="222">FQ282/FQ292</f>
        <v>10.966102805165164</v>
      </c>
      <c r="FR293" s="465">
        <f t="shared" ref="FR293" ca="1" si="223">FR282/FR292</f>
        <v>10.778531435586483</v>
      </c>
      <c r="FS293" s="465">
        <f t="shared" ref="FS293" ca="1" si="224">FS282/FS292</f>
        <v>10.588772195183951</v>
      </c>
      <c r="FT293" s="465">
        <f t="shared" ref="FT293" ca="1" si="225">FT282/FT292</f>
        <v>10.397261854664192</v>
      </c>
      <c r="FU293" s="465">
        <f t="shared" ref="FU293" ca="1" si="226">FU282/FU292</f>
        <v>10.910373478660608</v>
      </c>
      <c r="FV293" s="465">
        <f t="shared" ref="FV293" ca="1" si="227">FV282/FV292</f>
        <v>13.187605899031633</v>
      </c>
      <c r="FW293" s="465">
        <f t="shared" ref="FW293" ca="1" si="228">FW282/FW292</f>
        <v>11.950099664127025</v>
      </c>
      <c r="FX293" s="465">
        <f t="shared" ref="FX293" ca="1" si="229">FX282/FX292</f>
        <v>10.400444675854002</v>
      </c>
      <c r="FY293" s="465">
        <f t="shared" ref="FY293" ca="1" si="230">FY282/FY292</f>
        <v>10.80565680608208</v>
      </c>
      <c r="FZ293" s="465">
        <f t="shared" ref="FZ293" ca="1" si="231">FZ282/FZ292</f>
        <v>10.664336210813712</v>
      </c>
      <c r="GA293" s="465">
        <f t="shared" ref="GA293" ca="1" si="232">GA282/GA292</f>
        <v>10.537128204545061</v>
      </c>
      <c r="GB293" s="465">
        <f t="shared" ref="GB293" ca="1" si="233">GB282/GB292</f>
        <v>10.901874950087006</v>
      </c>
      <c r="GC293" s="465">
        <f t="shared" ref="GC293" ca="1" si="234">GC282/GC292</f>
        <v>12.550320144564084</v>
      </c>
      <c r="GD293" s="465">
        <f ca="1">GD282/GD292</f>
        <v>12.98179602397361</v>
      </c>
    </row>
    <row r="294" spans="2:186" hidden="1">
      <c r="B294" s="448"/>
      <c r="C294" s="186"/>
      <c r="D294" s="331"/>
      <c r="E294" s="228"/>
      <c r="F294" s="228"/>
      <c r="G294" s="228"/>
      <c r="H294" s="228"/>
      <c r="I294" s="228"/>
      <c r="J294" s="228"/>
      <c r="K294" s="228"/>
      <c r="L294" s="228"/>
      <c r="M294" s="228"/>
      <c r="N294" s="228"/>
      <c r="O294" s="228"/>
      <c r="P294" s="228"/>
      <c r="Q294" s="228"/>
      <c r="R294" s="228"/>
      <c r="S294" s="228"/>
      <c r="T294" s="228"/>
      <c r="BA294" s="313" t="s">
        <v>1574</v>
      </c>
      <c r="BB294" s="464">
        <f ca="1">SQRT(BB291*BB289/((BB274+1)*(BB279+1))/(120*0.000000000001))/1000000</f>
        <v>2.7094812951723601</v>
      </c>
      <c r="BC294" s="464">
        <f t="shared" ref="BC294:BY294" ca="1" si="235">SQRT(BC291*BC289/((BC274+1)*(BC279+1))/(120*0.000000000001))/1000000</f>
        <v>2.2863158199360889</v>
      </c>
      <c r="BD294" s="464">
        <f t="shared" ca="1" si="235"/>
        <v>2.5934099174638785</v>
      </c>
      <c r="BE294" s="464">
        <f t="shared" ca="1" si="235"/>
        <v>2.9946118279336305</v>
      </c>
      <c r="BF294" s="464">
        <f t="shared" ca="1" si="235"/>
        <v>2.3196163475885405</v>
      </c>
      <c r="BG294" s="464">
        <f t="shared" ca="1" si="235"/>
        <v>3.9979637027011568</v>
      </c>
      <c r="BH294" s="464">
        <f t="shared" ca="1" si="235"/>
        <v>2.3905810544254247</v>
      </c>
      <c r="BI294" s="464">
        <f t="shared" ca="1" si="235"/>
        <v>3.9843017573757082</v>
      </c>
      <c r="BJ294" s="464">
        <f t="shared" ca="1" si="235"/>
        <v>2.2863158199360889</v>
      </c>
      <c r="BK294" s="464">
        <f t="shared" ca="1" si="235"/>
        <v>2.3196163475885405</v>
      </c>
      <c r="BL294" s="464">
        <f t="shared" ca="1" si="235"/>
        <v>2.5934099174638785</v>
      </c>
      <c r="BM294" s="464">
        <f t="shared" ca="1" si="235"/>
        <v>3.0778113222241656</v>
      </c>
      <c r="BN294" s="464">
        <f t="shared" ca="1" si="235"/>
        <v>3.1274439332393404</v>
      </c>
      <c r="BO294" s="464">
        <f t="shared" ca="1" si="235"/>
        <v>3.0472397068861565</v>
      </c>
      <c r="BP294" s="464">
        <f t="shared" ca="1" si="235"/>
        <v>2.5212034163602639</v>
      </c>
      <c r="BQ294" s="464">
        <f t="shared" ca="1" si="235"/>
        <v>2.2110743994718947</v>
      </c>
      <c r="BR294" s="464">
        <f t="shared" ca="1" si="235"/>
        <v>2.1622048426133831</v>
      </c>
      <c r="BS294" s="464">
        <f t="shared" ca="1" si="235"/>
        <v>2.1848664703032896</v>
      </c>
      <c r="BT294" s="464">
        <f t="shared" ca="1" si="235"/>
        <v>2.140723203343518</v>
      </c>
      <c r="BU294" s="464">
        <f t="shared" ca="1" si="235"/>
        <v>2.2344763626820079</v>
      </c>
      <c r="BV294" s="464">
        <f t="shared" ca="1" si="235"/>
        <v>2.2509705194804068</v>
      </c>
      <c r="BW294" s="464">
        <f t="shared" ca="1" si="235"/>
        <v>2.2710749616605526</v>
      </c>
      <c r="BX294" s="464">
        <f t="shared" ca="1" si="235"/>
        <v>2.2896400845412797</v>
      </c>
      <c r="BY294" s="464">
        <f t="shared" ca="1" si="235"/>
        <v>2.3020666843694486</v>
      </c>
      <c r="BZ294" s="464">
        <f ca="1">SQRT(BZ291*BZ289/((BZ274+1)*(BZ279+1))/(120*0.000000000001))/1000000</f>
        <v>2.2649341417945612</v>
      </c>
      <c r="CK294" s="313" t="s">
        <v>1574</v>
      </c>
      <c r="CL294" s="464">
        <f ca="1">SQRT(CL291*CL289/((CL274+1)*(CL279+1))/(120*0.000000000001))/1000000</f>
        <v>4.2259901864007627</v>
      </c>
      <c r="CM294" s="464">
        <f t="shared" ref="CM294:DJ294" ca="1" si="236">SQRT(CM291*CM289/((CM274+1)*(CM279+1))/(120*0.000000000001))/1000000</f>
        <v>4.1816190046440145</v>
      </c>
      <c r="CN294" s="464">
        <f t="shared" ca="1" si="236"/>
        <v>4.5845443475878822</v>
      </c>
      <c r="CO294" s="464">
        <f t="shared" ca="1" si="236"/>
        <v>4.3223498624397969</v>
      </c>
      <c r="CP294" s="464">
        <f t="shared" ca="1" si="236"/>
        <v>2.8995204344856753</v>
      </c>
      <c r="CQ294" s="464">
        <f t="shared" ca="1" si="236"/>
        <v>4.0878168026614414</v>
      </c>
      <c r="CR294" s="464">
        <f t="shared" ca="1" si="236"/>
        <v>4.2259901864007627</v>
      </c>
      <c r="CS294" s="464">
        <f t="shared" ca="1" si="236"/>
        <v>4.0602000392806215</v>
      </c>
      <c r="CT294" s="464">
        <f t="shared" ca="1" si="236"/>
        <v>4.1816190046440145</v>
      </c>
      <c r="CU294" s="464">
        <f t="shared" ca="1" si="236"/>
        <v>4.7348970421752572</v>
      </c>
      <c r="CV294" s="464">
        <f t="shared" ca="1" si="236"/>
        <v>4.5845443475878822</v>
      </c>
      <c r="CW294" s="464">
        <f t="shared" ca="1" si="236"/>
        <v>4.4476613153960578</v>
      </c>
      <c r="CX294" s="464">
        <f t="shared" ca="1" si="236"/>
        <v>4.5140764918279883</v>
      </c>
      <c r="CY294" s="464">
        <f t="shared" ca="1" si="236"/>
        <v>4.3936794215838191</v>
      </c>
      <c r="CZ294" s="464">
        <f t="shared" ca="1" si="236"/>
        <v>4.456900081147583</v>
      </c>
      <c r="DA294" s="464">
        <f t="shared" ca="1" si="236"/>
        <v>4.5133367183640685</v>
      </c>
      <c r="DB294" s="464">
        <f t="shared" ca="1" si="236"/>
        <v>4.5640372047191518</v>
      </c>
      <c r="DC294" s="464">
        <f t="shared" ca="1" si="236"/>
        <v>4.4637164440355779</v>
      </c>
      <c r="DD294" s="464">
        <f t="shared" ca="1" si="236"/>
        <v>4.51278180868273</v>
      </c>
      <c r="DE294" s="464">
        <f t="shared" ca="1" si="236"/>
        <v>4.4216051007147472</v>
      </c>
      <c r="DF294" s="464">
        <f t="shared" ca="1" si="236"/>
        <v>4.4689527253640158</v>
      </c>
      <c r="DG294" s="464">
        <f t="shared" ca="1" si="236"/>
        <v>4.5123501650853379</v>
      </c>
      <c r="DH294" s="464">
        <f t="shared" ca="1" si="236"/>
        <v>4.5522773604720825</v>
      </c>
      <c r="DI294" s="464">
        <f t="shared" ca="1" si="236"/>
        <v>4.4731012795901757</v>
      </c>
      <c r="DJ294" s="464">
        <f t="shared" ca="1" si="236"/>
        <v>4.5120048204761485</v>
      </c>
      <c r="DU294" s="313" t="s">
        <v>1574</v>
      </c>
      <c r="DV294" s="464">
        <f ca="1">SQRT(DV291*DV289/((DV274+1)*(DV279+1))/(120*0.000000000001))/1000000</f>
        <v>2.1945177692833506</v>
      </c>
      <c r="DW294" s="464">
        <f t="shared" ref="DW294:ET294" ca="1" si="237">SQRT(DW291*DW289/((DW274+1)*(DW279+1))/(120*0.000000000001))/1000000</f>
        <v>4.3394711216212301</v>
      </c>
      <c r="DX294" s="464">
        <f t="shared" ca="1" si="237"/>
        <v>2.7490090144991801</v>
      </c>
      <c r="DY294" s="464">
        <f t="shared" ca="1" si="237"/>
        <v>2.5934099174638785</v>
      </c>
      <c r="DZ294" s="464">
        <f t="shared" ca="1" si="237"/>
        <v>4.263539640987319</v>
      </c>
      <c r="EA294" s="464">
        <f t="shared" ca="1" si="237"/>
        <v>2.1909042139057116</v>
      </c>
      <c r="EB294" s="464">
        <f t="shared" ca="1" si="237"/>
        <v>2.3454623894287283</v>
      </c>
      <c r="EC294" s="464">
        <f t="shared" ca="1" si="237"/>
        <v>4.2259901864007627</v>
      </c>
      <c r="ED294" s="464">
        <f t="shared" ca="1" si="237"/>
        <v>4.3394711216212301</v>
      </c>
      <c r="EE294" s="464">
        <f t="shared" ca="1" si="237"/>
        <v>2.1997015821151087</v>
      </c>
      <c r="EF294" s="464">
        <f t="shared" ca="1" si="237"/>
        <v>2.1317698204936595</v>
      </c>
      <c r="EG294" s="464">
        <f t="shared" ca="1" si="237"/>
        <v>3.2673893758371277</v>
      </c>
      <c r="EH294" s="464">
        <f t="shared" ca="1" si="237"/>
        <v>2.7084458950967925</v>
      </c>
      <c r="EI294" s="464">
        <f t="shared" ca="1" si="237"/>
        <v>2.2047839901409434</v>
      </c>
      <c r="EJ294" s="464">
        <f t="shared" ca="1" si="237"/>
        <v>4.6340640424523212</v>
      </c>
      <c r="EK294" s="464">
        <f t="shared" ca="1" si="237"/>
        <v>2.1735750951273975</v>
      </c>
      <c r="EL294" s="464">
        <f t="shared" ca="1" si="237"/>
        <v>2.2910184061729653</v>
      </c>
      <c r="EM294" s="464">
        <f t="shared" ca="1" si="237"/>
        <v>2.2080943709845622</v>
      </c>
      <c r="EN294" s="464">
        <f t="shared" ca="1" si="237"/>
        <v>2.2254773925215741</v>
      </c>
      <c r="EO294" s="464">
        <f t="shared" ca="1" si="237"/>
        <v>2.6519025114916341</v>
      </c>
      <c r="EP294" s="464">
        <f t="shared" ca="1" si="237"/>
        <v>2.1943919784099868</v>
      </c>
      <c r="EQ294" s="464">
        <f t="shared" ca="1" si="237"/>
        <v>2.1545308847480773</v>
      </c>
      <c r="ER294" s="464">
        <f t="shared" ca="1" si="237"/>
        <v>2.1716773315648048</v>
      </c>
      <c r="ES294" s="464">
        <f t="shared" ca="1" si="237"/>
        <v>2.5397706161401068</v>
      </c>
      <c r="ET294" s="464">
        <f t="shared" ca="1" si="237"/>
        <v>2.3456796110803024</v>
      </c>
      <c r="FE294" s="313" t="s">
        <v>1574</v>
      </c>
      <c r="FF294" s="464">
        <f t="shared" ref="FF294:GD294" ca="1" si="238">SQRT(FF291*FF289/((FF274+1)*(FF279+1))/(120*0.000000000001))/1000000</f>
        <v>2.3069042167409965</v>
      </c>
      <c r="FG294" s="464">
        <f t="shared" ca="1" si="238"/>
        <v>4.2583523591660208</v>
      </c>
      <c r="FH294" s="464">
        <f t="shared" ca="1" si="238"/>
        <v>2.7038167467489358</v>
      </c>
      <c r="FI294" s="464">
        <f t="shared" ca="1" si="238"/>
        <v>2.5430476492102634</v>
      </c>
      <c r="FJ294" s="464">
        <f t="shared" ca="1" si="238"/>
        <v>4.2070664238560393</v>
      </c>
      <c r="FK294" s="464">
        <f t="shared" ca="1" si="238"/>
        <v>2.1491688827992212</v>
      </c>
      <c r="FL294" s="464">
        <f t="shared" ca="1" si="238"/>
        <v>2.3069042167409965</v>
      </c>
      <c r="FM294" s="464">
        <f t="shared" ca="1" si="238"/>
        <v>4.4254095855638038</v>
      </c>
      <c r="FN294" s="464">
        <f t="shared" ca="1" si="238"/>
        <v>4.2583523591660208</v>
      </c>
      <c r="FO294" s="464">
        <f t="shared" ca="1" si="238"/>
        <v>2.1611749312198985</v>
      </c>
      <c r="FP294" s="464">
        <f t="shared" ca="1" si="238"/>
        <v>2.4421234207484317</v>
      </c>
      <c r="FQ294" s="464">
        <f t="shared" ca="1" si="238"/>
        <v>3.3594136774756183</v>
      </c>
      <c r="FR294" s="464">
        <f t="shared" ca="1" si="238"/>
        <v>2.1430871974865671</v>
      </c>
      <c r="FS294" s="464">
        <f t="shared" ca="1" si="238"/>
        <v>2.1622048426133831</v>
      </c>
      <c r="FT294" s="464">
        <f t="shared" ca="1" si="238"/>
        <v>2.4395805029355007</v>
      </c>
      <c r="FU294" s="464">
        <f t="shared" ca="1" si="238"/>
        <v>2.1300992012722615</v>
      </c>
      <c r="FV294" s="464">
        <f t="shared" ca="1" si="238"/>
        <v>2.5012726419557558</v>
      </c>
      <c r="FW294" s="464">
        <f t="shared" ca="1" si="238"/>
        <v>2.2755630912584146</v>
      </c>
      <c r="FX294" s="464">
        <f t="shared" ca="1" si="238"/>
        <v>2.1816932308496888</v>
      </c>
      <c r="FY294" s="464">
        <f t="shared" ca="1" si="238"/>
        <v>2.1403956182859698</v>
      </c>
      <c r="FZ294" s="464">
        <f t="shared" ca="1" si="238"/>
        <v>2.1545308847480773</v>
      </c>
      <c r="GA294" s="464">
        <f t="shared" ca="1" si="238"/>
        <v>2.1674970055874976</v>
      </c>
      <c r="GB294" s="464">
        <f t="shared" ca="1" si="238"/>
        <v>2.1309292962056507</v>
      </c>
      <c r="GC294" s="464">
        <f t="shared" ca="1" si="238"/>
        <v>2.2204819263061606</v>
      </c>
      <c r="GD294" s="464">
        <f t="shared" ca="1" si="238"/>
        <v>2.5210219240272025</v>
      </c>
    </row>
    <row r="295" spans="2:186" hidden="1">
      <c r="B295" s="452" t="s">
        <v>1518</v>
      </c>
      <c r="C295" s="78" t="str">
        <f>DEC2HEX(D295,8)</f>
        <v>00000000</v>
      </c>
      <c r="D295" s="322">
        <f>G59*2^16+E59</f>
        <v>0</v>
      </c>
      <c r="E295" s="228"/>
      <c r="F295" s="228"/>
      <c r="G295" s="228"/>
      <c r="H295" s="228"/>
      <c r="I295" s="228"/>
      <c r="J295" s="228"/>
      <c r="K295" s="228"/>
      <c r="L295" s="228"/>
      <c r="M295" s="228"/>
      <c r="N295" s="228"/>
      <c r="O295" s="228"/>
      <c r="P295" s="228"/>
      <c r="Q295" s="228"/>
      <c r="R295" s="228"/>
      <c r="S295" s="228"/>
      <c r="T295" s="228"/>
      <c r="BA295" s="357" t="s">
        <v>1575</v>
      </c>
      <c r="BB295" s="464">
        <f ca="1">BB294*1000000*BB290*1000*(120*0.000000000001)/2</f>
        <v>0.89412882740687882</v>
      </c>
      <c r="BC295" s="464">
        <f t="shared" ref="BC295:BJ295" ca="1" si="239">BC294*1000000*BC290*1000*(120*0.000000000001)/2</f>
        <v>0.75448422057890929</v>
      </c>
      <c r="BD295" s="464">
        <f t="shared" ca="1" si="239"/>
        <v>0.85582527276307996</v>
      </c>
      <c r="BE295" s="464">
        <f t="shared" ca="1" si="239"/>
        <v>0.98822190321809811</v>
      </c>
      <c r="BF295" s="464">
        <f t="shared" ca="1" si="239"/>
        <v>0.76547339470421838</v>
      </c>
      <c r="BG295" s="464">
        <f t="shared" ca="1" si="239"/>
        <v>1.3193280218913817</v>
      </c>
      <c r="BH295" s="464">
        <f t="shared" ca="1" si="239"/>
        <v>0.78889174796039019</v>
      </c>
      <c r="BI295" s="464">
        <f t="shared" ca="1" si="239"/>
        <v>1.3148195799339837</v>
      </c>
      <c r="BJ295" s="464">
        <f t="shared" ca="1" si="239"/>
        <v>0.75448422057890929</v>
      </c>
      <c r="BK295" s="464">
        <f t="shared" ref="BK295:BZ295" ca="1" si="240">BK294*1000000*BK290*1000*(120*0.000000000001)/2</f>
        <v>0.76547339470421838</v>
      </c>
      <c r="BL295" s="464">
        <f t="shared" ca="1" si="240"/>
        <v>0.85582527276307996</v>
      </c>
      <c r="BM295" s="464">
        <f t="shared" ca="1" si="240"/>
        <v>1.0156777363339746</v>
      </c>
      <c r="BN295" s="464">
        <f t="shared" ca="1" si="240"/>
        <v>1.0320564979689824</v>
      </c>
      <c r="BO295" s="464">
        <f t="shared" ca="1" si="240"/>
        <v>1.0055891032724316</v>
      </c>
      <c r="BP295" s="464">
        <f t="shared" ca="1" si="240"/>
        <v>0.83199712739888709</v>
      </c>
      <c r="BQ295" s="464">
        <f t="shared" ca="1" si="240"/>
        <v>0.72965455182572536</v>
      </c>
      <c r="BR295" s="464">
        <f t="shared" ca="1" si="240"/>
        <v>0.7135275980624165</v>
      </c>
      <c r="BS295" s="464">
        <f t="shared" ca="1" si="240"/>
        <v>0.7210059352000856</v>
      </c>
      <c r="BT295" s="464">
        <f t="shared" ca="1" si="240"/>
        <v>0.70643865710336096</v>
      </c>
      <c r="BU295" s="464">
        <f t="shared" ca="1" si="240"/>
        <v>0.73737719968506243</v>
      </c>
      <c r="BV295" s="464">
        <f t="shared" ca="1" si="240"/>
        <v>0.74282027142853435</v>
      </c>
      <c r="BW295" s="464">
        <f t="shared" ca="1" si="240"/>
        <v>0.7494547373479824</v>
      </c>
      <c r="BX295" s="464">
        <f t="shared" ca="1" si="240"/>
        <v>0.75558122789862237</v>
      </c>
      <c r="BY295" s="464">
        <f ca="1">BY294*1000000*BY290*1000*(120*0.000000000001)/2</f>
        <v>0.75968200584191803</v>
      </c>
      <c r="BZ295" s="464">
        <f t="shared" ca="1" si="240"/>
        <v>0.7474282667922052</v>
      </c>
      <c r="CK295" s="357" t="s">
        <v>1575</v>
      </c>
      <c r="CL295" s="464">
        <f ca="1">CL294*1000000*CL290*1000*(120*0.000000000001)/2</f>
        <v>1.3945767615122517</v>
      </c>
      <c r="CM295" s="464">
        <f t="shared" ref="CM295" ca="1" si="241">CM294*1000000*CM290*1000*(120*0.000000000001)/2</f>
        <v>1.3799342715325247</v>
      </c>
      <c r="CN295" s="464">
        <f t="shared" ref="CN295" ca="1" si="242">CN294*1000000*CN290*1000*(120*0.000000000001)/2</f>
        <v>1.5128996347040014</v>
      </c>
      <c r="CO295" s="464">
        <f t="shared" ref="CO295" ca="1" si="243">CO294*1000000*CO290*1000*(120*0.000000000001)/2</f>
        <v>1.426375454605133</v>
      </c>
      <c r="CP295" s="464">
        <f t="shared" ref="CP295" ca="1" si="244">CP294*1000000*CP290*1000*(120*0.000000000001)/2</f>
        <v>0.95684174338027284</v>
      </c>
      <c r="CQ295" s="464">
        <f t="shared" ref="CQ295" ca="1" si="245">CQ294*1000000*CQ290*1000*(120*0.000000000001)/2</f>
        <v>1.3489795448782758</v>
      </c>
      <c r="CR295" s="464">
        <f t="shared" ref="CR295" ca="1" si="246">CR294*1000000*CR290*1000*(120*0.000000000001)/2</f>
        <v>1.3945767615122517</v>
      </c>
      <c r="CS295" s="464">
        <f t="shared" ref="CS295" ca="1" si="247">CS294*1000000*CS290*1000*(120*0.000000000001)/2</f>
        <v>1.339866012962605</v>
      </c>
      <c r="CT295" s="464">
        <f t="shared" ref="CT295" ca="1" si="248">CT294*1000000*CT290*1000*(120*0.000000000001)/2</f>
        <v>1.3799342715325247</v>
      </c>
      <c r="CU295" s="464">
        <f t="shared" ref="CU295" ca="1" si="249">CU294*1000000*CU290*1000*(120*0.000000000001)/2</f>
        <v>1.5625160239178351</v>
      </c>
      <c r="CV295" s="464">
        <f t="shared" ref="CV295" ca="1" si="250">CV294*1000000*CV290*1000*(120*0.000000000001)/2</f>
        <v>1.5128996347040014</v>
      </c>
      <c r="CW295" s="464">
        <f t="shared" ref="CW295" ca="1" si="251">CW294*1000000*CW290*1000*(120*0.000000000001)/2</f>
        <v>1.467728234080699</v>
      </c>
      <c r="CX295" s="464">
        <f t="shared" ref="CX295" ca="1" si="252">CX294*1000000*CX290*1000*(120*0.000000000001)/2</f>
        <v>1.489645242303236</v>
      </c>
      <c r="CY295" s="464">
        <f t="shared" ref="CY295" ca="1" si="253">CY294*1000000*CY290*1000*(120*0.000000000001)/2</f>
        <v>1.4499142091226604</v>
      </c>
      <c r="CZ295" s="464">
        <f t="shared" ref="CZ295" ca="1" si="254">CZ294*1000000*CZ290*1000*(120*0.000000000001)/2</f>
        <v>1.4707770267787026</v>
      </c>
      <c r="DA295" s="464">
        <f t="shared" ref="DA295" ca="1" si="255">DA294*1000000*DA290*1000*(120*0.000000000001)/2</f>
        <v>1.4894011170601424</v>
      </c>
      <c r="DB295" s="464">
        <f t="shared" ref="DB295" ca="1" si="256">DB294*1000000*DB290*1000*(120*0.000000000001)/2</f>
        <v>1.50613227755732</v>
      </c>
      <c r="DC295" s="464">
        <f t="shared" ref="DC295" ca="1" si="257">DC294*1000000*DC290*1000*(120*0.000000000001)/2</f>
        <v>1.4730264265317405</v>
      </c>
      <c r="DD295" s="464">
        <f t="shared" ref="DD295" ca="1" si="258">DD294*1000000*DD290*1000*(120*0.000000000001)/2</f>
        <v>1.489217996865301</v>
      </c>
      <c r="DE295" s="464">
        <f t="shared" ref="DE295" ca="1" si="259">DE294*1000000*DE290*1000*(120*0.000000000001)/2</f>
        <v>1.4591296832358667</v>
      </c>
      <c r="DF295" s="464">
        <f t="shared" ref="DF295" ca="1" si="260">DF294*1000000*DF290*1000*(120*0.000000000001)/2</f>
        <v>1.4747543993701249</v>
      </c>
      <c r="DG295" s="464">
        <f t="shared" ref="DG295" ca="1" si="261">DG294*1000000*DG290*1000*(120*0.000000000001)/2</f>
        <v>1.4890755544781615</v>
      </c>
      <c r="DH295" s="464">
        <f t="shared" ref="DH295" ca="1" si="262">DH294*1000000*DH290*1000*(120*0.000000000001)/2</f>
        <v>1.5022515289557872</v>
      </c>
      <c r="DI295" s="464">
        <f t="shared" ref="DI295" ca="1" si="263">DI294*1000000*DI290*1000*(120*0.000000000001)/2</f>
        <v>1.4761234222647579</v>
      </c>
      <c r="DJ295" s="464">
        <f ca="1">DJ294*1000000*DJ290*1000*(120*0.000000000001)/2</f>
        <v>1.488961590757129</v>
      </c>
      <c r="DU295" s="357" t="s">
        <v>1575</v>
      </c>
      <c r="DV295" s="464">
        <f ca="1">DV294*1000000*DV290*1000*(120*0.000000000001)/2</f>
        <v>0.72419086386350562</v>
      </c>
      <c r="DW295" s="464">
        <f t="shared" ref="DW295" ca="1" si="264">DW294*1000000*DW290*1000*(120*0.000000000001)/2</f>
        <v>1.4320254701350057</v>
      </c>
      <c r="DX295" s="464">
        <f t="shared" ref="DX295" ca="1" si="265">DX294*1000000*DX290*1000*(120*0.000000000001)/2</f>
        <v>0.90717297478472947</v>
      </c>
      <c r="DY295" s="464">
        <f t="shared" ref="DY295" ca="1" si="266">DY294*1000000*DY290*1000*(120*0.000000000001)/2</f>
        <v>0.85582527276307996</v>
      </c>
      <c r="DZ295" s="464">
        <f t="shared" ref="DZ295" ca="1" si="267">DZ294*1000000*DZ290*1000*(120*0.000000000001)/2</f>
        <v>1.4069680815258154</v>
      </c>
      <c r="EA295" s="464">
        <f t="shared" ref="EA295" ca="1" si="268">EA294*1000000*EA290*1000*(120*0.000000000001)/2</f>
        <v>0.72299839058888493</v>
      </c>
      <c r="EB295" s="464">
        <f ca="1">EB294*1000000*EB290*1000*(120*0.000000000001)/2</f>
        <v>0.77400258851148029</v>
      </c>
      <c r="EC295" s="464">
        <f t="shared" ref="EC295" ca="1" si="269">EC294*1000000*EC290*1000*(120*0.000000000001)/2</f>
        <v>1.3945767615122517</v>
      </c>
      <c r="ED295" s="464">
        <f t="shared" ref="ED295" ca="1" si="270">ED294*1000000*ED290*1000*(120*0.000000000001)/2</f>
        <v>1.4320254701350057</v>
      </c>
      <c r="EE295" s="464">
        <f t="shared" ref="EE295" ca="1" si="271">EE294*1000000*EE290*1000*(120*0.000000000001)/2</f>
        <v>0.72590152209798575</v>
      </c>
      <c r="EF295" s="464">
        <f t="shared" ref="EF295" ca="1" si="272">EF294*1000000*EF290*1000*(120*0.000000000001)/2</f>
        <v>0.70348404076290771</v>
      </c>
      <c r="EG295" s="464">
        <f t="shared" ref="EG295" ca="1" si="273">EG294*1000000*EG290*1000*(120*0.000000000001)/2</f>
        <v>1.0782384940262522</v>
      </c>
      <c r="EH295" s="464">
        <f t="shared" ref="EH295" ca="1" si="274">EH294*1000000*EH290*1000*(120*0.000000000001)/2</f>
        <v>0.89378714538194148</v>
      </c>
      <c r="EI295" s="464">
        <f t="shared" ref="EI295" ca="1" si="275">EI294*1000000*EI290*1000*(120*0.000000000001)/2</f>
        <v>0.72757871674651131</v>
      </c>
      <c r="EJ295" s="464">
        <f t="shared" ref="EJ295" ca="1" si="276">EJ294*1000000*EJ290*1000*(120*0.000000000001)/2</f>
        <v>1.529241134009266</v>
      </c>
      <c r="EK295" s="464">
        <f t="shared" ref="EK295" ca="1" si="277">EK294*1000000*EK290*1000*(120*0.000000000001)/2</f>
        <v>0.71727978139204129</v>
      </c>
      <c r="EL295" s="464">
        <f t="shared" ref="EL295" ca="1" si="278">EL294*1000000*EL290*1000*(120*0.000000000001)/2</f>
        <v>0.7560360740370784</v>
      </c>
      <c r="EM295" s="464">
        <f t="shared" ref="EM295" ca="1" si="279">EM294*1000000*EM290*1000*(120*0.000000000001)/2</f>
        <v>0.72867114242490538</v>
      </c>
      <c r="EN295" s="464">
        <f t="shared" ref="EN295" ca="1" si="280">EN294*1000000*EN290*1000*(120*0.000000000001)/2</f>
        <v>0.73440753953211946</v>
      </c>
      <c r="EO295" s="464">
        <f t="shared" ref="EO295" ca="1" si="281">EO294*1000000*EO290*1000*(120*0.000000000001)/2</f>
        <v>0.87512782879223927</v>
      </c>
      <c r="EP295" s="464">
        <f t="shared" ref="EP295" ca="1" si="282">EP294*1000000*EP290*1000*(120*0.000000000001)/2</f>
        <v>0.72414935287529569</v>
      </c>
      <c r="EQ295" s="464">
        <f t="shared" ref="EQ295" ca="1" si="283">EQ294*1000000*EQ290*1000*(120*0.000000000001)/2</f>
        <v>0.71099519196686556</v>
      </c>
      <c r="ER295" s="464">
        <f t="shared" ref="ER295" ca="1" si="284">ER294*1000000*ER290*1000*(120*0.000000000001)/2</f>
        <v>0.71665351941638566</v>
      </c>
      <c r="ES295" s="464">
        <f t="shared" ref="ES295" ca="1" si="285">ES294*1000000*ES290*1000*(120*0.000000000001)/2</f>
        <v>0.83812430332623522</v>
      </c>
      <c r="ET295" s="464">
        <f ca="1">ET294*1000000*ET290*1000*(120*0.000000000001)/2</f>
        <v>0.77407427165649978</v>
      </c>
      <c r="FE295" s="357" t="s">
        <v>1575</v>
      </c>
      <c r="FF295" s="464">
        <f ca="1">FF294*1000000*FF290*1000*(120*0.000000000001)/2</f>
        <v>0.76127839152452892</v>
      </c>
      <c r="FG295" s="464">
        <f t="shared" ref="FG295" ca="1" si="286">FG294*1000000*FG290*1000*(120*0.000000000001)/2</f>
        <v>1.4052562785247869</v>
      </c>
      <c r="FH295" s="464">
        <f t="shared" ref="FH295" ca="1" si="287">FH294*1000000*FH290*1000*(120*0.000000000001)/2</f>
        <v>0.89225952642714879</v>
      </c>
      <c r="FI295" s="464">
        <f t="shared" ref="FI295" ca="1" si="288">FI294*1000000*FI290*1000*(120*0.000000000001)/2</f>
        <v>0.83920572423938689</v>
      </c>
      <c r="FJ295" s="464">
        <f t="shared" ref="FJ295" ca="1" si="289">FJ294*1000000*FJ290*1000*(120*0.000000000001)/2</f>
        <v>1.388331919872493</v>
      </c>
      <c r="FK295" s="464">
        <f t="shared" ref="FK295" ca="1" si="290">FK294*1000000*FK290*1000*(120*0.000000000001)/2</f>
        <v>0.70922573132374289</v>
      </c>
      <c r="FL295" s="464">
        <f ca="1">FL294*1000000*FL290*1000*(120*0.000000000001)/2</f>
        <v>0.76127839152452892</v>
      </c>
      <c r="FM295" s="464">
        <f t="shared" ref="FM295" ca="1" si="291">FM294*1000000*FM290*1000*(120*0.000000000001)/2</f>
        <v>1.4603851632360554</v>
      </c>
      <c r="FN295" s="464">
        <f t="shared" ref="FN295" ca="1" si="292">FN294*1000000*FN290*1000*(120*0.000000000001)/2</f>
        <v>1.4052562785247869</v>
      </c>
      <c r="FO295" s="464">
        <f t="shared" ref="FO295" ca="1" si="293">FO294*1000000*FO290*1000*(120*0.000000000001)/2</f>
        <v>0.71318772730256652</v>
      </c>
      <c r="FP295" s="464">
        <f t="shared" ref="FP295" ca="1" si="294">FP294*1000000*FP290*1000*(120*0.000000000001)/2</f>
        <v>0.80590072884698238</v>
      </c>
      <c r="FQ295" s="464">
        <f t="shared" ref="FQ295" ca="1" si="295">FQ294*1000000*FQ290*1000*(120*0.000000000001)/2</f>
        <v>1.1086065135669541</v>
      </c>
      <c r="FR295" s="464">
        <f t="shared" ref="FR295" ca="1" si="296">FR294*1000000*FR290*1000*(120*0.000000000001)/2</f>
        <v>0.70721877517056697</v>
      </c>
      <c r="FS295" s="464">
        <f t="shared" ref="FS295" ca="1" si="297">FS294*1000000*FS290*1000*(120*0.000000000001)/2</f>
        <v>0.7135275980624165</v>
      </c>
      <c r="FT295" s="464">
        <f t="shared" ref="FT295" ca="1" si="298">FT294*1000000*FT290*1000*(120*0.000000000001)/2</f>
        <v>0.80506156596871536</v>
      </c>
      <c r="FU295" s="464">
        <f t="shared" ref="FU295" ca="1" si="299">FU294*1000000*FU290*1000*(120*0.000000000001)/2</f>
        <v>0.70293273641984633</v>
      </c>
      <c r="FV295" s="464">
        <f t="shared" ref="FV295" ca="1" si="300">FV294*1000000*FV290*1000*(120*0.000000000001)/2</f>
        <v>0.82541997184539939</v>
      </c>
      <c r="FW295" s="464">
        <f t="shared" ref="FW295" ca="1" si="301">FW294*1000000*FW290*1000*(120*0.000000000001)/2</f>
        <v>0.75093582011527682</v>
      </c>
      <c r="FX295" s="464">
        <f t="shared" ref="FX295" ca="1" si="302">FX294*1000000*FX290*1000*(120*0.000000000001)/2</f>
        <v>0.71995876618039734</v>
      </c>
      <c r="FY295" s="464">
        <f t="shared" ref="FY295" ca="1" si="303">FY294*1000000*FY290*1000*(120*0.000000000001)/2</f>
        <v>0.70633055403437006</v>
      </c>
      <c r="FZ295" s="464">
        <f t="shared" ref="FZ295" ca="1" si="304">FZ294*1000000*FZ290*1000*(120*0.000000000001)/2</f>
        <v>0.71099519196686556</v>
      </c>
      <c r="GA295" s="464">
        <f t="shared" ref="GA295" ca="1" si="305">GA294*1000000*GA290*1000*(120*0.000000000001)/2</f>
        <v>0.7152740118438744</v>
      </c>
      <c r="GB295" s="464">
        <f t="shared" ref="GB295" ca="1" si="306">GB294*1000000*GB290*1000*(120*0.000000000001)/2</f>
        <v>0.70320666774786467</v>
      </c>
      <c r="GC295" s="464">
        <f t="shared" ref="GC295" ca="1" si="307">GC294*1000000*GC290*1000*(120*0.000000000001)/2</f>
        <v>0.73275903568103307</v>
      </c>
      <c r="GD295" s="464">
        <f ca="1">GD294*1000000*GD290*1000*(120*0.000000000001)/2</f>
        <v>0.83193723492897687</v>
      </c>
    </row>
    <row r="296" spans="2:186" hidden="1">
      <c r="B296" s="452" t="s">
        <v>1526</v>
      </c>
      <c r="C296" s="78" t="str">
        <f t="shared" ref="C296:C297" si="308">DEC2HEX(D296,8)</f>
        <v>00000000</v>
      </c>
      <c r="D296" s="322">
        <f>G60*2^16+E60</f>
        <v>0</v>
      </c>
      <c r="E296" s="228"/>
      <c r="F296" s="228"/>
      <c r="G296" s="228"/>
      <c r="H296" s="228"/>
      <c r="I296" s="228"/>
      <c r="J296" s="228"/>
      <c r="K296" s="228"/>
      <c r="L296" s="228"/>
      <c r="M296" s="228"/>
      <c r="N296" s="228"/>
      <c r="O296" s="228"/>
      <c r="P296" s="228"/>
      <c r="Q296" s="228"/>
      <c r="R296" s="228"/>
      <c r="S296" s="228"/>
      <c r="T296" s="228"/>
      <c r="BA296" s="357" t="s">
        <v>1576</v>
      </c>
      <c r="BB296" s="356" t="str">
        <f ca="1">IF(AND(BB293&gt;=10,BB293&lt;=15),"OK","NG")</f>
        <v>OK</v>
      </c>
      <c r="BC296" s="356" t="str">
        <f t="shared" ref="BC296:BJ296" ca="1" si="309">IF(AND(BC293&gt;=10,BC293&lt;=15),"OK","NG")</f>
        <v>OK</v>
      </c>
      <c r="BD296" s="356" t="str">
        <f t="shared" ca="1" si="309"/>
        <v>OK</v>
      </c>
      <c r="BE296" s="356" t="str">
        <f t="shared" ca="1" si="309"/>
        <v>OK</v>
      </c>
      <c r="BF296" s="356" t="str">
        <f t="shared" ca="1" si="309"/>
        <v>OK</v>
      </c>
      <c r="BG296" s="356" t="str">
        <f t="shared" ca="1" si="309"/>
        <v>OK</v>
      </c>
      <c r="BH296" s="356" t="str">
        <f t="shared" ca="1" si="309"/>
        <v>OK</v>
      </c>
      <c r="BI296" s="356" t="str">
        <f t="shared" ca="1" si="309"/>
        <v>OK</v>
      </c>
      <c r="BJ296" s="356" t="str">
        <f t="shared" ca="1" si="309"/>
        <v>OK</v>
      </c>
      <c r="BK296" s="356" t="str">
        <f t="shared" ref="BK296:BZ296" ca="1" si="310">IF(AND(BK293&gt;=10,BK293&lt;=15),"OK","NG")</f>
        <v>OK</v>
      </c>
      <c r="BL296" s="356" t="str">
        <f t="shared" ca="1" si="310"/>
        <v>OK</v>
      </c>
      <c r="BM296" s="356" t="str">
        <f t="shared" ca="1" si="310"/>
        <v>OK</v>
      </c>
      <c r="BN296" s="356" t="str">
        <f t="shared" ca="1" si="310"/>
        <v>OK</v>
      </c>
      <c r="BO296" s="356" t="str">
        <f t="shared" ca="1" si="310"/>
        <v>OK</v>
      </c>
      <c r="BP296" s="356" t="str">
        <f t="shared" ca="1" si="310"/>
        <v>OK</v>
      </c>
      <c r="BQ296" s="356" t="str">
        <f t="shared" ca="1" si="310"/>
        <v>OK</v>
      </c>
      <c r="BR296" s="356" t="str">
        <f t="shared" ca="1" si="310"/>
        <v>OK</v>
      </c>
      <c r="BS296" s="356" t="str">
        <f t="shared" ca="1" si="310"/>
        <v>OK</v>
      </c>
      <c r="BT296" s="356" t="str">
        <f t="shared" ca="1" si="310"/>
        <v>OK</v>
      </c>
      <c r="BU296" s="356" t="str">
        <f t="shared" ca="1" si="310"/>
        <v>OK</v>
      </c>
      <c r="BV296" s="356" t="str">
        <f t="shared" ca="1" si="310"/>
        <v>OK</v>
      </c>
      <c r="BW296" s="356" t="str">
        <f t="shared" ca="1" si="310"/>
        <v>OK</v>
      </c>
      <c r="BX296" s="356" t="str">
        <f t="shared" ca="1" si="310"/>
        <v>OK</v>
      </c>
      <c r="BY296" s="356" t="str">
        <f t="shared" ca="1" si="310"/>
        <v>OK</v>
      </c>
      <c r="BZ296" s="356" t="str">
        <f t="shared" ca="1" si="310"/>
        <v>OK</v>
      </c>
      <c r="CK296" s="357" t="s">
        <v>1576</v>
      </c>
      <c r="CL296" s="356" t="str">
        <f ca="1">IF(AND(CL293&gt;=10,CL293&lt;=15),"OK","NG")</f>
        <v>OK</v>
      </c>
      <c r="CM296" s="356" t="str">
        <f t="shared" ref="CM296:DI296" ca="1" si="311">IF(AND(CM293&gt;=10,CM293&lt;=15),"OK","NG")</f>
        <v>OK</v>
      </c>
      <c r="CN296" s="356" t="str">
        <f t="shared" ca="1" si="311"/>
        <v>OK</v>
      </c>
      <c r="CO296" s="356" t="str">
        <f t="shared" ca="1" si="311"/>
        <v>OK</v>
      </c>
      <c r="CP296" s="356" t="str">
        <f t="shared" ca="1" si="311"/>
        <v>OK</v>
      </c>
      <c r="CQ296" s="356" t="str">
        <f t="shared" ca="1" si="311"/>
        <v>OK</v>
      </c>
      <c r="CR296" s="356" t="str">
        <f t="shared" ca="1" si="311"/>
        <v>OK</v>
      </c>
      <c r="CS296" s="356" t="str">
        <f t="shared" ca="1" si="311"/>
        <v>OK</v>
      </c>
      <c r="CT296" s="356" t="str">
        <f t="shared" ca="1" si="311"/>
        <v>OK</v>
      </c>
      <c r="CU296" s="356" t="str">
        <f t="shared" ca="1" si="311"/>
        <v>OK</v>
      </c>
      <c r="CV296" s="356" t="str">
        <f t="shared" ca="1" si="311"/>
        <v>OK</v>
      </c>
      <c r="CW296" s="356" t="str">
        <f t="shared" ca="1" si="311"/>
        <v>OK</v>
      </c>
      <c r="CX296" s="356" t="str">
        <f t="shared" ca="1" si="311"/>
        <v>OK</v>
      </c>
      <c r="CY296" s="356" t="str">
        <f t="shared" ca="1" si="311"/>
        <v>OK</v>
      </c>
      <c r="CZ296" s="356" t="str">
        <f t="shared" ca="1" si="311"/>
        <v>OK</v>
      </c>
      <c r="DA296" s="356" t="str">
        <f t="shared" ca="1" si="311"/>
        <v>OK</v>
      </c>
      <c r="DB296" s="356" t="str">
        <f t="shared" ca="1" si="311"/>
        <v>OK</v>
      </c>
      <c r="DC296" s="356" t="str">
        <f t="shared" ca="1" si="311"/>
        <v>OK</v>
      </c>
      <c r="DD296" s="356" t="str">
        <f t="shared" ca="1" si="311"/>
        <v>OK</v>
      </c>
      <c r="DE296" s="356" t="str">
        <f t="shared" ca="1" si="311"/>
        <v>OK</v>
      </c>
      <c r="DF296" s="356" t="str">
        <f t="shared" ca="1" si="311"/>
        <v>OK</v>
      </c>
      <c r="DG296" s="356" t="str">
        <f t="shared" ca="1" si="311"/>
        <v>OK</v>
      </c>
      <c r="DH296" s="356" t="str">
        <f t="shared" ca="1" si="311"/>
        <v>OK</v>
      </c>
      <c r="DI296" s="356" t="str">
        <f t="shared" ca="1" si="311"/>
        <v>OK</v>
      </c>
      <c r="DJ296" s="356" t="str">
        <f ca="1">IF(AND(DJ293&gt;=10,DJ293&lt;=15),"OK","NG")</f>
        <v>OK</v>
      </c>
      <c r="DU296" s="357" t="s">
        <v>1576</v>
      </c>
      <c r="DV296" s="356" t="str">
        <f ca="1">IF(AND(DV293&gt;=10,DV293&lt;=15),"OK","NG")</f>
        <v>OK</v>
      </c>
      <c r="DW296" s="356" t="str">
        <f t="shared" ref="DW296:ES296" ca="1" si="312">IF(AND(DW293&gt;=10,DW293&lt;=15),"OK","NG")</f>
        <v>OK</v>
      </c>
      <c r="DX296" s="356" t="str">
        <f t="shared" ca="1" si="312"/>
        <v>OK</v>
      </c>
      <c r="DY296" s="356" t="str">
        <f t="shared" ca="1" si="312"/>
        <v>OK</v>
      </c>
      <c r="DZ296" s="356" t="str">
        <f t="shared" ca="1" si="312"/>
        <v>OK</v>
      </c>
      <c r="EA296" s="356" t="str">
        <f t="shared" ca="1" si="312"/>
        <v>OK</v>
      </c>
      <c r="EB296" s="356" t="str">
        <f t="shared" ca="1" si="312"/>
        <v>OK</v>
      </c>
      <c r="EC296" s="356" t="str">
        <f t="shared" ca="1" si="312"/>
        <v>OK</v>
      </c>
      <c r="ED296" s="356" t="str">
        <f t="shared" ca="1" si="312"/>
        <v>OK</v>
      </c>
      <c r="EE296" s="356" t="str">
        <f t="shared" ca="1" si="312"/>
        <v>OK</v>
      </c>
      <c r="EF296" s="356" t="str">
        <f t="shared" ca="1" si="312"/>
        <v>OK</v>
      </c>
      <c r="EG296" s="356" t="str">
        <f t="shared" ca="1" si="312"/>
        <v>OK</v>
      </c>
      <c r="EH296" s="356" t="str">
        <f t="shared" ca="1" si="312"/>
        <v>OK</v>
      </c>
      <c r="EI296" s="356" t="str">
        <f t="shared" ca="1" si="312"/>
        <v>OK</v>
      </c>
      <c r="EJ296" s="356" t="str">
        <f t="shared" ca="1" si="312"/>
        <v>OK</v>
      </c>
      <c r="EK296" s="356" t="str">
        <f t="shared" ca="1" si="312"/>
        <v>OK</v>
      </c>
      <c r="EL296" s="356" t="str">
        <f t="shared" ca="1" si="312"/>
        <v>OK</v>
      </c>
      <c r="EM296" s="356" t="str">
        <f t="shared" ca="1" si="312"/>
        <v>OK</v>
      </c>
      <c r="EN296" s="356" t="str">
        <f t="shared" ca="1" si="312"/>
        <v>OK</v>
      </c>
      <c r="EO296" s="356" t="str">
        <f t="shared" ca="1" si="312"/>
        <v>OK</v>
      </c>
      <c r="EP296" s="356" t="str">
        <f t="shared" ca="1" si="312"/>
        <v>OK</v>
      </c>
      <c r="EQ296" s="356" t="str">
        <f t="shared" ca="1" si="312"/>
        <v>OK</v>
      </c>
      <c r="ER296" s="356" t="str">
        <f t="shared" ca="1" si="312"/>
        <v>OK</v>
      </c>
      <c r="ES296" s="356" t="str">
        <f t="shared" ca="1" si="312"/>
        <v>OK</v>
      </c>
      <c r="ET296" s="356" t="str">
        <f ca="1">IF(AND(ET293&gt;=10,ET293&lt;=15),"OK","NG")</f>
        <v>OK</v>
      </c>
      <c r="FE296" s="357" t="s">
        <v>1576</v>
      </c>
      <c r="FF296" s="356" t="str">
        <f ca="1">IF(AND(FF293&gt;=10,FF293&lt;=15),"OK","NG")</f>
        <v>OK</v>
      </c>
      <c r="FG296" s="356" t="str">
        <f t="shared" ref="FG296:GC296" ca="1" si="313">IF(AND(FG293&gt;=10,FG293&lt;=15),"OK","NG")</f>
        <v>OK</v>
      </c>
      <c r="FH296" s="356" t="str">
        <f t="shared" ca="1" si="313"/>
        <v>OK</v>
      </c>
      <c r="FI296" s="356" t="str">
        <f t="shared" ca="1" si="313"/>
        <v>OK</v>
      </c>
      <c r="FJ296" s="356" t="str">
        <f t="shared" ca="1" si="313"/>
        <v>OK</v>
      </c>
      <c r="FK296" s="356" t="str">
        <f t="shared" ca="1" si="313"/>
        <v>OK</v>
      </c>
      <c r="FL296" s="356" t="str">
        <f t="shared" ca="1" si="313"/>
        <v>OK</v>
      </c>
      <c r="FM296" s="356" t="str">
        <f t="shared" ca="1" si="313"/>
        <v>OK</v>
      </c>
      <c r="FN296" s="356" t="str">
        <f t="shared" ca="1" si="313"/>
        <v>OK</v>
      </c>
      <c r="FO296" s="356" t="str">
        <f t="shared" ca="1" si="313"/>
        <v>OK</v>
      </c>
      <c r="FP296" s="356" t="str">
        <f t="shared" ca="1" si="313"/>
        <v>OK</v>
      </c>
      <c r="FQ296" s="356" t="str">
        <f t="shared" ca="1" si="313"/>
        <v>OK</v>
      </c>
      <c r="FR296" s="356" t="str">
        <f t="shared" ca="1" si="313"/>
        <v>OK</v>
      </c>
      <c r="FS296" s="356" t="str">
        <f t="shared" ca="1" si="313"/>
        <v>OK</v>
      </c>
      <c r="FT296" s="356" t="str">
        <f t="shared" ca="1" si="313"/>
        <v>OK</v>
      </c>
      <c r="FU296" s="356" t="str">
        <f t="shared" ca="1" si="313"/>
        <v>OK</v>
      </c>
      <c r="FV296" s="356" t="str">
        <f t="shared" ca="1" si="313"/>
        <v>OK</v>
      </c>
      <c r="FW296" s="356" t="str">
        <f t="shared" ca="1" si="313"/>
        <v>OK</v>
      </c>
      <c r="FX296" s="356" t="str">
        <f t="shared" ca="1" si="313"/>
        <v>OK</v>
      </c>
      <c r="FY296" s="356" t="str">
        <f t="shared" ca="1" si="313"/>
        <v>OK</v>
      </c>
      <c r="FZ296" s="356" t="str">
        <f t="shared" ca="1" si="313"/>
        <v>OK</v>
      </c>
      <c r="GA296" s="356" t="str">
        <f t="shared" ca="1" si="313"/>
        <v>OK</v>
      </c>
      <c r="GB296" s="356" t="str">
        <f t="shared" ca="1" si="313"/>
        <v>OK</v>
      </c>
      <c r="GC296" s="356" t="str">
        <f t="shared" ca="1" si="313"/>
        <v>OK</v>
      </c>
      <c r="GD296" s="356" t="str">
        <f ca="1">IF(AND(GD293&gt;=10,GD293&lt;=15),"OK","NG")</f>
        <v>OK</v>
      </c>
    </row>
    <row r="297" spans="2:186" hidden="1">
      <c r="B297" s="66" t="s">
        <v>1524</v>
      </c>
      <c r="C297" s="78" t="str">
        <f t="shared" si="308"/>
        <v>0000FF00</v>
      </c>
      <c r="D297" s="322">
        <f>I41*2^16+J41*2^8+K41</f>
        <v>65280</v>
      </c>
      <c r="E297" s="228"/>
      <c r="F297" s="228"/>
      <c r="G297" s="228"/>
      <c r="H297" s="228"/>
      <c r="I297" s="228"/>
      <c r="J297" s="228"/>
      <c r="K297" s="228"/>
      <c r="L297" s="228"/>
      <c r="M297" s="228"/>
      <c r="N297" s="228"/>
      <c r="O297" s="228"/>
      <c r="P297" s="228"/>
      <c r="Q297" s="228"/>
      <c r="R297" s="228"/>
      <c r="S297" s="228"/>
      <c r="T297" s="228"/>
      <c r="BA297" s="357" t="s">
        <v>1577</v>
      </c>
      <c r="BB297" s="356" t="str">
        <f ca="1">IF(BB295&gt;0.7,"OK","NG")</f>
        <v>OK</v>
      </c>
      <c r="BC297" s="356" t="str">
        <f t="shared" ref="BC297:BJ297" ca="1" si="314">IF(BC295&gt;0.7,"OK","NG")</f>
        <v>OK</v>
      </c>
      <c r="BD297" s="356" t="str">
        <f t="shared" ca="1" si="314"/>
        <v>OK</v>
      </c>
      <c r="BE297" s="356" t="str">
        <f t="shared" ca="1" si="314"/>
        <v>OK</v>
      </c>
      <c r="BF297" s="356" t="str">
        <f t="shared" ca="1" si="314"/>
        <v>OK</v>
      </c>
      <c r="BG297" s="356" t="str">
        <f t="shared" ca="1" si="314"/>
        <v>OK</v>
      </c>
      <c r="BH297" s="356" t="str">
        <f t="shared" ca="1" si="314"/>
        <v>OK</v>
      </c>
      <c r="BI297" s="356" t="str">
        <f t="shared" ca="1" si="314"/>
        <v>OK</v>
      </c>
      <c r="BJ297" s="356" t="str">
        <f t="shared" ca="1" si="314"/>
        <v>OK</v>
      </c>
      <c r="BK297" s="356" t="str">
        <f t="shared" ref="BK297:BZ297" ca="1" si="315">IF(BK295&gt;0.7,"OK","NG")</f>
        <v>OK</v>
      </c>
      <c r="BL297" s="356" t="str">
        <f t="shared" ca="1" si="315"/>
        <v>OK</v>
      </c>
      <c r="BM297" s="356" t="str">
        <f t="shared" ca="1" si="315"/>
        <v>OK</v>
      </c>
      <c r="BN297" s="356" t="str">
        <f t="shared" ca="1" si="315"/>
        <v>OK</v>
      </c>
      <c r="BO297" s="356" t="str">
        <f t="shared" ca="1" si="315"/>
        <v>OK</v>
      </c>
      <c r="BP297" s="356" t="str">
        <f t="shared" ca="1" si="315"/>
        <v>OK</v>
      </c>
      <c r="BQ297" s="356" t="str">
        <f t="shared" ca="1" si="315"/>
        <v>OK</v>
      </c>
      <c r="BR297" s="356" t="str">
        <f t="shared" ca="1" si="315"/>
        <v>OK</v>
      </c>
      <c r="BS297" s="356" t="str">
        <f t="shared" ca="1" si="315"/>
        <v>OK</v>
      </c>
      <c r="BT297" s="356" t="str">
        <f t="shared" ca="1" si="315"/>
        <v>OK</v>
      </c>
      <c r="BU297" s="356" t="str">
        <f t="shared" ca="1" si="315"/>
        <v>OK</v>
      </c>
      <c r="BV297" s="356" t="str">
        <f t="shared" ca="1" si="315"/>
        <v>OK</v>
      </c>
      <c r="BW297" s="356" t="str">
        <f t="shared" ca="1" si="315"/>
        <v>OK</v>
      </c>
      <c r="BX297" s="356" t="str">
        <f t="shared" ca="1" si="315"/>
        <v>OK</v>
      </c>
      <c r="BY297" s="356" t="str">
        <f t="shared" ca="1" si="315"/>
        <v>OK</v>
      </c>
      <c r="BZ297" s="356" t="str">
        <f t="shared" ca="1" si="315"/>
        <v>OK</v>
      </c>
      <c r="CK297" s="357" t="s">
        <v>1577</v>
      </c>
      <c r="CL297" s="356" t="str">
        <f ca="1">IF(CL295&gt;0.7,"OK","NG")</f>
        <v>OK</v>
      </c>
      <c r="CM297" s="356" t="str">
        <f t="shared" ref="CM297:DI297" ca="1" si="316">IF(CM295&gt;0.7,"OK","NG")</f>
        <v>OK</v>
      </c>
      <c r="CN297" s="356" t="str">
        <f t="shared" ca="1" si="316"/>
        <v>OK</v>
      </c>
      <c r="CO297" s="356" t="str">
        <f t="shared" ca="1" si="316"/>
        <v>OK</v>
      </c>
      <c r="CP297" s="356" t="str">
        <f t="shared" ca="1" si="316"/>
        <v>OK</v>
      </c>
      <c r="CQ297" s="356" t="str">
        <f t="shared" ca="1" si="316"/>
        <v>OK</v>
      </c>
      <c r="CR297" s="356" t="str">
        <f t="shared" ca="1" si="316"/>
        <v>OK</v>
      </c>
      <c r="CS297" s="356" t="str">
        <f t="shared" ca="1" si="316"/>
        <v>OK</v>
      </c>
      <c r="CT297" s="356" t="str">
        <f t="shared" ca="1" si="316"/>
        <v>OK</v>
      </c>
      <c r="CU297" s="356" t="str">
        <f t="shared" ca="1" si="316"/>
        <v>OK</v>
      </c>
      <c r="CV297" s="356" t="str">
        <f t="shared" ca="1" si="316"/>
        <v>OK</v>
      </c>
      <c r="CW297" s="356" t="str">
        <f t="shared" ca="1" si="316"/>
        <v>OK</v>
      </c>
      <c r="CX297" s="356" t="str">
        <f t="shared" ca="1" si="316"/>
        <v>OK</v>
      </c>
      <c r="CY297" s="356" t="str">
        <f t="shared" ca="1" si="316"/>
        <v>OK</v>
      </c>
      <c r="CZ297" s="356" t="str">
        <f t="shared" ca="1" si="316"/>
        <v>OK</v>
      </c>
      <c r="DA297" s="356" t="str">
        <f t="shared" ca="1" si="316"/>
        <v>OK</v>
      </c>
      <c r="DB297" s="356" t="str">
        <f t="shared" ca="1" si="316"/>
        <v>OK</v>
      </c>
      <c r="DC297" s="356" t="str">
        <f t="shared" ca="1" si="316"/>
        <v>OK</v>
      </c>
      <c r="DD297" s="356" t="str">
        <f t="shared" ca="1" si="316"/>
        <v>OK</v>
      </c>
      <c r="DE297" s="356" t="str">
        <f t="shared" ca="1" si="316"/>
        <v>OK</v>
      </c>
      <c r="DF297" s="356" t="str">
        <f t="shared" ca="1" si="316"/>
        <v>OK</v>
      </c>
      <c r="DG297" s="356" t="str">
        <f t="shared" ca="1" si="316"/>
        <v>OK</v>
      </c>
      <c r="DH297" s="356" t="str">
        <f t="shared" ca="1" si="316"/>
        <v>OK</v>
      </c>
      <c r="DI297" s="356" t="str">
        <f t="shared" ca="1" si="316"/>
        <v>OK</v>
      </c>
      <c r="DJ297" s="356" t="str">
        <f ca="1">IF(DJ295&gt;0.7,"OK","NG")</f>
        <v>OK</v>
      </c>
      <c r="DU297" s="357" t="s">
        <v>1577</v>
      </c>
      <c r="DV297" s="356" t="str">
        <f ca="1">IF(DV295&gt;0.7,"OK","NG")</f>
        <v>OK</v>
      </c>
      <c r="DW297" s="356" t="str">
        <f t="shared" ref="DW297:ES297" ca="1" si="317">IF(DW295&gt;0.7,"OK","NG")</f>
        <v>OK</v>
      </c>
      <c r="DX297" s="356" t="str">
        <f t="shared" ca="1" si="317"/>
        <v>OK</v>
      </c>
      <c r="DY297" s="356" t="str">
        <f t="shared" ca="1" si="317"/>
        <v>OK</v>
      </c>
      <c r="DZ297" s="356" t="str">
        <f t="shared" ca="1" si="317"/>
        <v>OK</v>
      </c>
      <c r="EA297" s="356" t="str">
        <f t="shared" ca="1" si="317"/>
        <v>OK</v>
      </c>
      <c r="EB297" s="356" t="str">
        <f t="shared" ca="1" si="317"/>
        <v>OK</v>
      </c>
      <c r="EC297" s="356" t="str">
        <f t="shared" ca="1" si="317"/>
        <v>OK</v>
      </c>
      <c r="ED297" s="356" t="str">
        <f t="shared" ca="1" si="317"/>
        <v>OK</v>
      </c>
      <c r="EE297" s="356" t="str">
        <f t="shared" ca="1" si="317"/>
        <v>OK</v>
      </c>
      <c r="EF297" s="356" t="str">
        <f t="shared" ca="1" si="317"/>
        <v>OK</v>
      </c>
      <c r="EG297" s="356" t="str">
        <f t="shared" ca="1" si="317"/>
        <v>OK</v>
      </c>
      <c r="EH297" s="356" t="str">
        <f t="shared" ca="1" si="317"/>
        <v>OK</v>
      </c>
      <c r="EI297" s="356" t="str">
        <f t="shared" ca="1" si="317"/>
        <v>OK</v>
      </c>
      <c r="EJ297" s="356" t="str">
        <f t="shared" ca="1" si="317"/>
        <v>OK</v>
      </c>
      <c r="EK297" s="356" t="str">
        <f t="shared" ca="1" si="317"/>
        <v>OK</v>
      </c>
      <c r="EL297" s="356" t="str">
        <f t="shared" ca="1" si="317"/>
        <v>OK</v>
      </c>
      <c r="EM297" s="356" t="str">
        <f t="shared" ca="1" si="317"/>
        <v>OK</v>
      </c>
      <c r="EN297" s="356" t="str">
        <f t="shared" ca="1" si="317"/>
        <v>OK</v>
      </c>
      <c r="EO297" s="356" t="str">
        <f t="shared" ca="1" si="317"/>
        <v>OK</v>
      </c>
      <c r="EP297" s="356" t="str">
        <f t="shared" ca="1" si="317"/>
        <v>OK</v>
      </c>
      <c r="EQ297" s="356" t="str">
        <f t="shared" ca="1" si="317"/>
        <v>OK</v>
      </c>
      <c r="ER297" s="356" t="str">
        <f t="shared" ca="1" si="317"/>
        <v>OK</v>
      </c>
      <c r="ES297" s="356" t="str">
        <f t="shared" ca="1" si="317"/>
        <v>OK</v>
      </c>
      <c r="ET297" s="356" t="str">
        <f ca="1">IF(ET295&gt;0.7,"OK","NG")</f>
        <v>OK</v>
      </c>
      <c r="FE297" s="357" t="s">
        <v>1577</v>
      </c>
      <c r="FF297" s="356" t="str">
        <f ca="1">IF(FF295&gt;0.7,"OK","NG")</f>
        <v>OK</v>
      </c>
      <c r="FG297" s="356" t="str">
        <f t="shared" ref="FG297:GC297" ca="1" si="318">IF(FG295&gt;0.7,"OK","NG")</f>
        <v>OK</v>
      </c>
      <c r="FH297" s="356" t="str">
        <f t="shared" ca="1" si="318"/>
        <v>OK</v>
      </c>
      <c r="FI297" s="356" t="str">
        <f t="shared" ca="1" si="318"/>
        <v>OK</v>
      </c>
      <c r="FJ297" s="356" t="str">
        <f t="shared" ca="1" si="318"/>
        <v>OK</v>
      </c>
      <c r="FK297" s="356" t="str">
        <f t="shared" ca="1" si="318"/>
        <v>OK</v>
      </c>
      <c r="FL297" s="356" t="str">
        <f t="shared" ca="1" si="318"/>
        <v>OK</v>
      </c>
      <c r="FM297" s="356" t="str">
        <f t="shared" ca="1" si="318"/>
        <v>OK</v>
      </c>
      <c r="FN297" s="356" t="str">
        <f t="shared" ca="1" si="318"/>
        <v>OK</v>
      </c>
      <c r="FO297" s="356" t="str">
        <f t="shared" ca="1" si="318"/>
        <v>OK</v>
      </c>
      <c r="FP297" s="356" t="str">
        <f t="shared" ca="1" si="318"/>
        <v>OK</v>
      </c>
      <c r="FQ297" s="356" t="str">
        <f t="shared" ca="1" si="318"/>
        <v>OK</v>
      </c>
      <c r="FR297" s="356" t="str">
        <f t="shared" ca="1" si="318"/>
        <v>OK</v>
      </c>
      <c r="FS297" s="356" t="str">
        <f t="shared" ca="1" si="318"/>
        <v>OK</v>
      </c>
      <c r="FT297" s="356" t="str">
        <f t="shared" ca="1" si="318"/>
        <v>OK</v>
      </c>
      <c r="FU297" s="356" t="str">
        <f t="shared" ca="1" si="318"/>
        <v>OK</v>
      </c>
      <c r="FV297" s="356" t="str">
        <f t="shared" ca="1" si="318"/>
        <v>OK</v>
      </c>
      <c r="FW297" s="356" t="str">
        <f t="shared" ca="1" si="318"/>
        <v>OK</v>
      </c>
      <c r="FX297" s="356" t="str">
        <f t="shared" ca="1" si="318"/>
        <v>OK</v>
      </c>
      <c r="FY297" s="356" t="str">
        <f t="shared" ca="1" si="318"/>
        <v>OK</v>
      </c>
      <c r="FZ297" s="356" t="str">
        <f t="shared" ca="1" si="318"/>
        <v>OK</v>
      </c>
      <c r="GA297" s="356" t="str">
        <f t="shared" ca="1" si="318"/>
        <v>OK</v>
      </c>
      <c r="GB297" s="356" t="str">
        <f t="shared" ca="1" si="318"/>
        <v>OK</v>
      </c>
      <c r="GC297" s="356" t="str">
        <f t="shared" ca="1" si="318"/>
        <v>OK</v>
      </c>
      <c r="GD297" s="356" t="str">
        <f ca="1">IF(GD295&gt;0.7,"OK","NG")</f>
        <v>OK</v>
      </c>
    </row>
    <row r="298" spans="2:186" hidden="1">
      <c r="D298" s="228"/>
      <c r="E298" s="228"/>
      <c r="F298" s="228"/>
      <c r="G298" s="228"/>
      <c r="H298" s="228"/>
      <c r="I298" s="228"/>
      <c r="J298" s="228"/>
      <c r="K298" s="228"/>
      <c r="L298" s="228"/>
      <c r="M298" s="228"/>
      <c r="N298" s="228"/>
      <c r="O298" s="228"/>
      <c r="P298" s="228"/>
      <c r="Q298" s="228"/>
      <c r="R298" s="228"/>
      <c r="S298" s="228"/>
      <c r="T298" s="228"/>
    </row>
    <row r="299" spans="2:186" hidden="1">
      <c r="D299" s="228"/>
      <c r="E299" s="228"/>
      <c r="F299" s="228"/>
      <c r="G299" s="228"/>
      <c r="H299" s="228"/>
      <c r="I299" s="228"/>
      <c r="J299" s="228"/>
      <c r="K299" s="228"/>
      <c r="L299" s="228"/>
      <c r="M299" s="228"/>
      <c r="N299" s="228"/>
      <c r="O299" s="228"/>
      <c r="P299" s="228"/>
      <c r="Q299" s="228"/>
      <c r="R299" s="228"/>
      <c r="S299" s="228"/>
      <c r="T299" s="228"/>
      <c r="BA299" s="26" t="s">
        <v>684</v>
      </c>
      <c r="BB299" s="26" t="s">
        <v>685</v>
      </c>
    </row>
    <row r="300" spans="2:186" hidden="1">
      <c r="B300" s="66" t="s">
        <v>649</v>
      </c>
      <c r="C300" s="78" t="str">
        <f ca="1">DEC2HEX(D300+V300,8)</f>
        <v>3E0B0654</v>
      </c>
      <c r="D300" s="322">
        <f ca="1">E301*2^31+F301*2^30+G301*2^29+H301*2^28+I301*2^27+J301*2^26+K301*2^25+L301*2^24+M301*2^23+N301*2^22+O301*2^21+P301*2^20+Q301*2^19+R301*2^18+S301*2^17+T301*2^16+E300*2^15+F300*2^14+G300*2^13+H300*2^12+I300*2^11+J300*2^10+K300*2^9+L300*2^8+M300*2^7+N300*2^6+O300*2^5+P300*2^4+Q300*2^3+R300*2^2+S300*2^1+T300*2^0</f>
        <v>1040909908</v>
      </c>
      <c r="E300" s="228">
        <v>0</v>
      </c>
      <c r="F300" s="228">
        <v>0</v>
      </c>
      <c r="G300" s="228">
        <v>0</v>
      </c>
      <c r="H300" s="228">
        <v>0</v>
      </c>
      <c r="I300" s="228">
        <v>0</v>
      </c>
      <c r="J300" s="228">
        <v>0</v>
      </c>
      <c r="K300" s="228">
        <v>0</v>
      </c>
      <c r="L300" s="228">
        <v>0</v>
      </c>
      <c r="M300" s="228">
        <v>0</v>
      </c>
      <c r="N300" s="228">
        <v>0</v>
      </c>
      <c r="O300" s="228">
        <v>0</v>
      </c>
      <c r="P300" s="228">
        <v>0</v>
      </c>
      <c r="Q300" s="228">
        <v>0</v>
      </c>
      <c r="R300" s="228">
        <v>0</v>
      </c>
      <c r="S300" s="228">
        <v>0</v>
      </c>
      <c r="T300" s="322">
        <f ca="1">IF(BA300=0,F20*BB300/8,IF(BA300=3,F20*BB300/4/8,F20*BB300/2/8))</f>
        <v>1620</v>
      </c>
      <c r="V300" s="228">
        <f>IF(OR(BA42=0,BA42=2),I59,I60)*BB300/8</f>
        <v>0</v>
      </c>
      <c r="BA300" s="39">
        <f>IF(C46="Disable",IF(C41="TX0 Enable",0,1),IF(C41="TX0 Enable",2,3))</f>
        <v>1</v>
      </c>
      <c r="BB300" s="35">
        <v>24</v>
      </c>
    </row>
    <row r="301" spans="2:186" hidden="1">
      <c r="D301" s="228"/>
      <c r="E301" s="228">
        <v>0</v>
      </c>
      <c r="F301" s="228">
        <v>0</v>
      </c>
      <c r="G301" s="228">
        <v>1</v>
      </c>
      <c r="H301" s="228">
        <v>1</v>
      </c>
      <c r="I301" s="228">
        <v>1</v>
      </c>
      <c r="J301" s="228">
        <v>1</v>
      </c>
      <c r="K301" s="228">
        <v>1</v>
      </c>
      <c r="L301" s="228">
        <v>0</v>
      </c>
      <c r="M301" s="228">
        <v>0</v>
      </c>
      <c r="N301" s="228">
        <v>0</v>
      </c>
      <c r="O301" s="228">
        <v>0</v>
      </c>
      <c r="P301" s="228">
        <v>0</v>
      </c>
      <c r="Q301" s="228">
        <v>1</v>
      </c>
      <c r="R301" s="228">
        <v>0</v>
      </c>
      <c r="S301" s="228">
        <v>1</v>
      </c>
      <c r="T301" s="331">
        <v>1</v>
      </c>
      <c r="V301" s="228"/>
    </row>
    <row r="302" spans="2:186" hidden="1">
      <c r="B302" s="66" t="s">
        <v>821</v>
      </c>
      <c r="C302" s="78" t="str">
        <f ca="1">DEC2HEX(D302+V302,8)</f>
        <v>3E0B0654</v>
      </c>
      <c r="D302" s="322">
        <f ca="1">E303*2^31+F303*2^30+G303*2^29+H303*2^28+I303*2^27+J303*2^26+K303*2^25+L303*2^24+M303*2^23+N303*2^22+O303*2^21+P303*2^20+Q303*2^19+R303*2^18+S303*2^17+T303*2^16+E302*2^15+F302*2^14+G302*2^13+H302*2^12+I302*2^11+J302*2^10+K302*2^9+L302*2^8+M302*2^7+N302*2^6+O302*2^5+P302*2^4+Q302*2^3+R302*2^2+S302*2^1+T302*2^0</f>
        <v>1040909908</v>
      </c>
      <c r="E302" s="228">
        <v>0</v>
      </c>
      <c r="F302" s="228">
        <v>0</v>
      </c>
      <c r="G302" s="228">
        <v>0</v>
      </c>
      <c r="H302" s="228">
        <v>0</v>
      </c>
      <c r="I302" s="228">
        <v>0</v>
      </c>
      <c r="J302" s="228">
        <v>0</v>
      </c>
      <c r="K302" s="228">
        <v>0</v>
      </c>
      <c r="L302" s="228">
        <v>0</v>
      </c>
      <c r="M302" s="228">
        <v>0</v>
      </c>
      <c r="N302" s="228">
        <v>0</v>
      </c>
      <c r="O302" s="228">
        <v>0</v>
      </c>
      <c r="P302" s="228">
        <v>0</v>
      </c>
      <c r="Q302" s="228">
        <v>0</v>
      </c>
      <c r="R302" s="228">
        <v>0</v>
      </c>
      <c r="S302" s="228">
        <v>0</v>
      </c>
      <c r="T302" s="322">
        <f ca="1">IF(BA300=0,F20*BB300/8,IF(BA300=3,F20*BB300/4/8,F20*BB300/2/8))</f>
        <v>1620</v>
      </c>
      <c r="V302" s="228">
        <f>IF(OR(BA42=1,BA42=2),I59,I60)*BB300/8</f>
        <v>0</v>
      </c>
    </row>
    <row r="303" spans="2:186" hidden="1">
      <c r="D303" s="228"/>
      <c r="E303" s="228">
        <v>0</v>
      </c>
      <c r="F303" s="228">
        <v>0</v>
      </c>
      <c r="G303" s="228">
        <v>1</v>
      </c>
      <c r="H303" s="228">
        <v>1</v>
      </c>
      <c r="I303" s="228">
        <v>1</v>
      </c>
      <c r="J303" s="228">
        <v>1</v>
      </c>
      <c r="K303" s="228">
        <v>1</v>
      </c>
      <c r="L303" s="228">
        <v>0</v>
      </c>
      <c r="M303" s="228">
        <v>0</v>
      </c>
      <c r="N303" s="228">
        <v>0</v>
      </c>
      <c r="O303" s="228">
        <v>0</v>
      </c>
      <c r="P303" s="228">
        <v>0</v>
      </c>
      <c r="Q303" s="228">
        <v>1</v>
      </c>
      <c r="R303" s="228">
        <v>0</v>
      </c>
      <c r="S303" s="228">
        <v>1</v>
      </c>
      <c r="T303" s="331">
        <v>1</v>
      </c>
    </row>
    <row r="304" spans="2:186" hidden="1">
      <c r="D304" s="228"/>
      <c r="E304" s="228"/>
      <c r="F304" s="228"/>
      <c r="G304" s="228"/>
      <c r="H304" s="228"/>
      <c r="I304" s="228"/>
      <c r="J304" s="228"/>
      <c r="K304" s="228"/>
      <c r="L304" s="228"/>
      <c r="M304" s="228"/>
      <c r="N304" s="228"/>
      <c r="O304" s="228"/>
      <c r="P304" s="228"/>
      <c r="Q304" s="228"/>
      <c r="R304" s="228"/>
      <c r="S304" s="228"/>
      <c r="T304" s="331"/>
    </row>
    <row r="305" spans="2:78" hidden="1">
      <c r="B305" s="66" t="s">
        <v>650</v>
      </c>
      <c r="C305" s="78" t="str">
        <f ca="1">DEC2HEX(D305,8)</f>
        <v>00000006</v>
      </c>
      <c r="D305" s="322">
        <f ca="1">E306*2^31+F306*2^30+G306*2^29+H306*2^28+I306*2^27+J306*2^26+K306*2^25+L306*2^24+M306*2^23+N306*2^22+O306*2^21+P306*2^20+Q306*2^19+R306*2^18+S306*2^17+T306*2^16+E305*2^15+F305*2^14+G305*2^13+H305*2^12+I305*2^11+J305*2^10+K305*2^9+L305*2^8+M305*2^7+N305*2^6+O305*2^5+P305*2^4+Q305*2^3+R305*2^2+S305*2^1+T305*2^0</f>
        <v>6</v>
      </c>
      <c r="E305" s="228">
        <v>0</v>
      </c>
      <c r="F305" s="228">
        <v>0</v>
      </c>
      <c r="G305" s="228">
        <v>0</v>
      </c>
      <c r="H305" s="228">
        <v>0</v>
      </c>
      <c r="I305" s="228">
        <v>0</v>
      </c>
      <c r="J305" s="228">
        <v>0</v>
      </c>
      <c r="K305" s="228">
        <v>0</v>
      </c>
      <c r="L305" s="228">
        <v>0</v>
      </c>
      <c r="M305" s="228">
        <v>0</v>
      </c>
      <c r="N305" s="228">
        <v>0</v>
      </c>
      <c r="O305" s="228">
        <v>0</v>
      </c>
      <c r="P305" s="228">
        <v>0</v>
      </c>
      <c r="Q305" s="228">
        <v>0</v>
      </c>
      <c r="R305" s="228">
        <v>0</v>
      </c>
      <c r="S305" s="228">
        <v>0</v>
      </c>
      <c r="T305" s="322">
        <f ca="1">OFFSET(BB307,0,$BB$305)</f>
        <v>6</v>
      </c>
      <c r="BA305" s="313" t="s">
        <v>715</v>
      </c>
      <c r="BB305" s="330">
        <f>MATCH($C$39,BB306:BZ306,0)-1</f>
        <v>4</v>
      </c>
    </row>
    <row r="306" spans="2:78" ht="15" hidden="1">
      <c r="D306" s="228"/>
      <c r="E306" s="228">
        <v>0</v>
      </c>
      <c r="F306" s="228">
        <v>0</v>
      </c>
      <c r="G306" s="228">
        <v>0</v>
      </c>
      <c r="H306" s="228">
        <v>0</v>
      </c>
      <c r="I306" s="228">
        <v>0</v>
      </c>
      <c r="J306" s="228">
        <v>0</v>
      </c>
      <c r="K306" s="228">
        <v>0</v>
      </c>
      <c r="L306" s="228">
        <v>0</v>
      </c>
      <c r="M306" s="228">
        <v>0</v>
      </c>
      <c r="N306" s="228">
        <v>0</v>
      </c>
      <c r="O306" s="228">
        <v>0</v>
      </c>
      <c r="P306" s="228">
        <v>0</v>
      </c>
      <c r="Q306" s="228">
        <v>0</v>
      </c>
      <c r="R306" s="228">
        <v>0</v>
      </c>
      <c r="S306" s="228">
        <v>0</v>
      </c>
      <c r="T306" s="228">
        <v>0</v>
      </c>
      <c r="BA306" s="327" t="s">
        <v>675</v>
      </c>
      <c r="BB306" s="324">
        <v>300</v>
      </c>
      <c r="BC306" s="324">
        <v>350</v>
      </c>
      <c r="BD306" s="324">
        <v>400</v>
      </c>
      <c r="BE306" s="324">
        <v>450</v>
      </c>
      <c r="BF306" s="324">
        <v>500</v>
      </c>
      <c r="BG306" s="324">
        <v>550</v>
      </c>
      <c r="BH306" s="324">
        <v>600</v>
      </c>
      <c r="BI306" s="324">
        <v>650</v>
      </c>
      <c r="BJ306" s="324">
        <v>700</v>
      </c>
      <c r="BK306" s="324">
        <v>750</v>
      </c>
      <c r="BL306" s="325">
        <v>800</v>
      </c>
      <c r="BM306" s="324">
        <v>850</v>
      </c>
      <c r="BN306" s="325">
        <v>900</v>
      </c>
      <c r="BO306" s="324">
        <v>950</v>
      </c>
      <c r="BP306" s="325">
        <v>1000</v>
      </c>
      <c r="BQ306" s="324">
        <v>1050</v>
      </c>
      <c r="BR306" s="325">
        <v>1100</v>
      </c>
      <c r="BS306" s="324">
        <v>1150</v>
      </c>
      <c r="BT306" s="325">
        <v>1200</v>
      </c>
      <c r="BU306" s="324">
        <v>1250</v>
      </c>
      <c r="BV306" s="325">
        <v>1300</v>
      </c>
      <c r="BW306" s="324">
        <v>1350</v>
      </c>
      <c r="BX306" s="325">
        <v>1400</v>
      </c>
      <c r="BY306" s="324">
        <v>1450</v>
      </c>
      <c r="BZ306" s="325">
        <v>1500</v>
      </c>
    </row>
    <row r="307" spans="2:78" hidden="1">
      <c r="B307" s="66" t="s">
        <v>651</v>
      </c>
      <c r="C307" s="78" t="str">
        <f ca="1">DEC2HEX(D307,8)</f>
        <v>00140003</v>
      </c>
      <c r="D307" s="322">
        <f ca="1">E308*2^31+F308*2^30+G308*2^29+H308*2^28+I308*2^27+J308*2^26+K308*2^25+L308*2^24+M308*2^23+N308*2^22+O308*2^21+P308*2^20+Q308*2^19+R308*2^18+S308*2^17+T308*2^16+E307*2^15+F307*2^14+G307*2^13+H307*2^12+I307*2^11+J307*2^10+K307*2^9+L307*2^8+M307*2^7+N307*2^6+O307*2^5+P307*2^4+Q307*2^3+R307*2^2+S307*2^1+T307*2^0</f>
        <v>1310723</v>
      </c>
      <c r="E307" s="228">
        <v>0</v>
      </c>
      <c r="F307" s="228">
        <v>0</v>
      </c>
      <c r="G307" s="228">
        <v>0</v>
      </c>
      <c r="H307" s="228">
        <v>0</v>
      </c>
      <c r="I307" s="228">
        <v>0</v>
      </c>
      <c r="J307" s="228">
        <v>0</v>
      </c>
      <c r="K307" s="228">
        <v>0</v>
      </c>
      <c r="L307" s="322">
        <f ca="1">OFFSET(BB309,0,$BB$305)</f>
        <v>0</v>
      </c>
      <c r="M307" s="228">
        <v>0</v>
      </c>
      <c r="N307" s="228">
        <v>0</v>
      </c>
      <c r="O307" s="228">
        <v>0</v>
      </c>
      <c r="P307" s="228">
        <v>0</v>
      </c>
      <c r="Q307" s="228">
        <v>0</v>
      </c>
      <c r="R307" s="228">
        <v>0</v>
      </c>
      <c r="S307" s="228">
        <v>0</v>
      </c>
      <c r="T307" s="322">
        <f ca="1">OFFSET(BB308,0,$BB$305)</f>
        <v>3</v>
      </c>
      <c r="AZ307" s="478"/>
      <c r="BA307" s="313" t="s">
        <v>701</v>
      </c>
      <c r="BB307" s="35">
        <v>3</v>
      </c>
      <c r="BC307" s="35">
        <v>4</v>
      </c>
      <c r="BD307" s="35">
        <v>4</v>
      </c>
      <c r="BE307" s="35">
        <v>5</v>
      </c>
      <c r="BF307" s="35">
        <v>6</v>
      </c>
      <c r="BG307" s="35">
        <v>6</v>
      </c>
      <c r="BH307" s="35">
        <v>7</v>
      </c>
      <c r="BI307" s="35">
        <v>8</v>
      </c>
      <c r="BJ307" s="35">
        <v>8</v>
      </c>
      <c r="BK307" s="35">
        <v>9</v>
      </c>
      <c r="BL307" s="463">
        <v>12</v>
      </c>
      <c r="BM307" s="35">
        <v>10</v>
      </c>
      <c r="BN307" s="35">
        <v>13</v>
      </c>
      <c r="BO307" s="35">
        <v>11</v>
      </c>
      <c r="BP307" s="35">
        <v>14</v>
      </c>
      <c r="BQ307" s="35">
        <v>13</v>
      </c>
      <c r="BR307" s="35">
        <v>13</v>
      </c>
      <c r="BS307" s="35">
        <v>14</v>
      </c>
      <c r="BT307" s="35">
        <v>15</v>
      </c>
      <c r="BU307" s="35">
        <v>16</v>
      </c>
      <c r="BV307" s="35">
        <v>16</v>
      </c>
      <c r="BW307" s="35">
        <v>17</v>
      </c>
      <c r="BX307" s="35">
        <v>17</v>
      </c>
      <c r="BY307" s="35">
        <v>18</v>
      </c>
      <c r="BZ307" s="35">
        <v>19</v>
      </c>
    </row>
    <row r="308" spans="2:78" hidden="1">
      <c r="D308" s="228"/>
      <c r="E308" s="228">
        <v>0</v>
      </c>
      <c r="F308" s="228">
        <v>0</v>
      </c>
      <c r="G308" s="228">
        <v>0</v>
      </c>
      <c r="H308" s="228">
        <v>0</v>
      </c>
      <c r="I308" s="228">
        <v>0</v>
      </c>
      <c r="J308" s="228">
        <v>0</v>
      </c>
      <c r="K308" s="228">
        <v>0</v>
      </c>
      <c r="L308" s="228">
        <v>0</v>
      </c>
      <c r="M308" s="228">
        <v>0</v>
      </c>
      <c r="N308" s="228">
        <v>0</v>
      </c>
      <c r="O308" s="228">
        <v>0</v>
      </c>
      <c r="P308" s="228">
        <v>0</v>
      </c>
      <c r="Q308" s="228">
        <v>0</v>
      </c>
      <c r="R308" s="228">
        <v>0</v>
      </c>
      <c r="S308" s="228">
        <v>0</v>
      </c>
      <c r="T308" s="322">
        <f t="shared" ref="T308:T313" ca="1" si="319">OFFSET(BB310,0,$BB$305)</f>
        <v>20</v>
      </c>
      <c r="AZ308" s="478"/>
      <c r="BA308" s="313" t="s">
        <v>704</v>
      </c>
      <c r="BB308" s="35">
        <v>2</v>
      </c>
      <c r="BC308" s="35">
        <v>2</v>
      </c>
      <c r="BD308" s="35">
        <v>2</v>
      </c>
      <c r="BE308" s="35">
        <v>2</v>
      </c>
      <c r="BF308" s="35">
        <v>3</v>
      </c>
      <c r="BG308" s="35">
        <v>3</v>
      </c>
      <c r="BH308" s="35">
        <v>3</v>
      </c>
      <c r="BI308" s="35">
        <v>3</v>
      </c>
      <c r="BJ308" s="35">
        <v>4</v>
      </c>
      <c r="BK308" s="35">
        <v>4</v>
      </c>
      <c r="BL308" s="35">
        <v>7</v>
      </c>
      <c r="BM308" s="35">
        <v>5</v>
      </c>
      <c r="BN308" s="35">
        <v>8</v>
      </c>
      <c r="BO308" s="35">
        <v>5</v>
      </c>
      <c r="BP308" s="35">
        <v>9</v>
      </c>
      <c r="BQ308" s="35">
        <v>6</v>
      </c>
      <c r="BR308" s="35">
        <v>6</v>
      </c>
      <c r="BS308" s="35">
        <v>7</v>
      </c>
      <c r="BT308" s="35">
        <v>7</v>
      </c>
      <c r="BU308" s="35">
        <v>7</v>
      </c>
      <c r="BV308" s="35">
        <v>7</v>
      </c>
      <c r="BW308" s="35">
        <v>7</v>
      </c>
      <c r="BX308" s="35">
        <v>8</v>
      </c>
      <c r="BY308" s="35">
        <v>8</v>
      </c>
      <c r="BZ308" s="35">
        <v>8</v>
      </c>
    </row>
    <row r="309" spans="2:78" hidden="1">
      <c r="B309" s="66" t="s">
        <v>652</v>
      </c>
      <c r="C309" s="78" t="str">
        <f ca="1">DEC2HEX(D309,8)</f>
        <v>00060002</v>
      </c>
      <c r="D309" s="322">
        <f ca="1">E310*2^31+F310*2^30+G310*2^29+H310*2^28+I310*2^27+J310*2^26+K310*2^25+L310*2^24+M310*2^23+N310*2^22+O310*2^21+P310*2^20+Q310*2^19+R310*2^18+S310*2^17+T310*2^16+E309*2^15+F309*2^14+G309*2^13+H309*2^12+I309*2^11+J309*2^10+K309*2^9+L309*2^8+M309*2^7+N309*2^6+O309*2^5+P309*2^4+Q309*2^3+R309*2^2+S309*2^1+T309*2^0</f>
        <v>393218</v>
      </c>
      <c r="E309" s="228">
        <v>0</v>
      </c>
      <c r="F309" s="228">
        <v>0</v>
      </c>
      <c r="G309" s="228">
        <v>0</v>
      </c>
      <c r="H309" s="228">
        <v>0</v>
      </c>
      <c r="I309" s="228">
        <v>0</v>
      </c>
      <c r="J309" s="228">
        <v>0</v>
      </c>
      <c r="K309" s="228">
        <v>0</v>
      </c>
      <c r="L309" s="228">
        <v>0</v>
      </c>
      <c r="M309" s="228">
        <v>0</v>
      </c>
      <c r="N309" s="228">
        <v>0</v>
      </c>
      <c r="O309" s="228">
        <v>0</v>
      </c>
      <c r="P309" s="228">
        <v>0</v>
      </c>
      <c r="Q309" s="228">
        <v>0</v>
      </c>
      <c r="R309" s="228">
        <v>0</v>
      </c>
      <c r="S309" s="228">
        <v>0</v>
      </c>
      <c r="T309" s="322">
        <f t="shared" ca="1" si="319"/>
        <v>2</v>
      </c>
      <c r="BA309" s="313" t="s">
        <v>702</v>
      </c>
      <c r="BB309" s="460">
        <v>0</v>
      </c>
      <c r="BC309" s="460">
        <v>0</v>
      </c>
      <c r="BD309" s="460">
        <v>0</v>
      </c>
      <c r="BE309" s="460">
        <v>0</v>
      </c>
      <c r="BF309" s="460">
        <v>0</v>
      </c>
      <c r="BG309" s="460">
        <v>0</v>
      </c>
      <c r="BH309" s="460">
        <v>0</v>
      </c>
      <c r="BI309" s="460">
        <v>0</v>
      </c>
      <c r="BJ309" s="460">
        <v>0</v>
      </c>
      <c r="BK309" s="460">
        <v>0</v>
      </c>
      <c r="BL309" s="463">
        <v>0</v>
      </c>
      <c r="BM309" s="460">
        <v>0</v>
      </c>
      <c r="BN309" s="463">
        <v>0</v>
      </c>
      <c r="BO309" s="460">
        <v>0</v>
      </c>
      <c r="BP309" s="463">
        <v>0</v>
      </c>
      <c r="BQ309" s="460">
        <v>0</v>
      </c>
      <c r="BR309" s="460">
        <v>0</v>
      </c>
      <c r="BS309" s="460">
        <v>0</v>
      </c>
      <c r="BT309" s="460">
        <v>0</v>
      </c>
      <c r="BU309" s="460">
        <v>0</v>
      </c>
      <c r="BV309" s="460">
        <v>0</v>
      </c>
      <c r="BW309" s="460">
        <v>0</v>
      </c>
      <c r="BX309" s="460">
        <v>0</v>
      </c>
      <c r="BY309" s="460">
        <v>0</v>
      </c>
      <c r="BZ309" s="460">
        <v>0</v>
      </c>
    </row>
    <row r="310" spans="2:78" hidden="1">
      <c r="D310" s="228"/>
      <c r="E310" s="228">
        <v>0</v>
      </c>
      <c r="F310" s="228">
        <v>0</v>
      </c>
      <c r="G310" s="228">
        <v>0</v>
      </c>
      <c r="H310" s="228">
        <v>0</v>
      </c>
      <c r="I310" s="228">
        <v>0</v>
      </c>
      <c r="J310" s="228">
        <v>0</v>
      </c>
      <c r="K310" s="228">
        <v>0</v>
      </c>
      <c r="L310" s="228">
        <v>0</v>
      </c>
      <c r="M310" s="228">
        <v>0</v>
      </c>
      <c r="N310" s="228">
        <v>0</v>
      </c>
      <c r="O310" s="228">
        <v>0</v>
      </c>
      <c r="P310" s="228">
        <v>0</v>
      </c>
      <c r="Q310" s="228">
        <v>0</v>
      </c>
      <c r="R310" s="228">
        <v>0</v>
      </c>
      <c r="S310" s="228">
        <v>0</v>
      </c>
      <c r="T310" s="322">
        <f t="shared" ca="1" si="319"/>
        <v>6</v>
      </c>
      <c r="AZ310" s="478"/>
      <c r="BA310" s="313" t="s">
        <v>703</v>
      </c>
      <c r="BB310" s="35">
        <v>12</v>
      </c>
      <c r="BC310" s="35">
        <v>14</v>
      </c>
      <c r="BD310" s="35">
        <v>16</v>
      </c>
      <c r="BE310" s="35">
        <v>18</v>
      </c>
      <c r="BF310" s="35">
        <v>20</v>
      </c>
      <c r="BG310" s="35">
        <v>22</v>
      </c>
      <c r="BH310" s="35">
        <v>24</v>
      </c>
      <c r="BI310" s="35">
        <v>26</v>
      </c>
      <c r="BJ310" s="35">
        <v>28</v>
      </c>
      <c r="BK310" s="35">
        <v>30</v>
      </c>
      <c r="BL310" s="460">
        <v>32</v>
      </c>
      <c r="BM310" s="460">
        <v>34</v>
      </c>
      <c r="BN310" s="460">
        <v>36</v>
      </c>
      <c r="BO310" s="460">
        <v>38</v>
      </c>
      <c r="BP310" s="460">
        <v>40</v>
      </c>
      <c r="BQ310" s="460">
        <v>42</v>
      </c>
      <c r="BR310" s="460">
        <v>45</v>
      </c>
      <c r="BS310" s="460">
        <v>47</v>
      </c>
      <c r="BT310" s="460">
        <v>49</v>
      </c>
      <c r="BU310" s="460">
        <v>51</v>
      </c>
      <c r="BV310" s="460">
        <v>53</v>
      </c>
      <c r="BW310" s="460">
        <v>55</v>
      </c>
      <c r="BX310" s="460">
        <v>57</v>
      </c>
      <c r="BY310" s="460">
        <v>59</v>
      </c>
      <c r="BZ310" s="460">
        <v>61</v>
      </c>
    </row>
    <row r="311" spans="2:78" hidden="1">
      <c r="B311" s="66" t="s">
        <v>653</v>
      </c>
      <c r="C311" s="78" t="str">
        <f ca="1">DEC2HEX(D311,8)</f>
        <v>000A0003</v>
      </c>
      <c r="D311" s="322">
        <f ca="1">E312*2^31+F312*2^30+G312*2^29+H312*2^28+I312*2^27+J312*2^26+K312*2^25+L312*2^24+M312*2^23+N312*2^22+O312*2^21+P312*2^20+Q312*2^19+R312*2^18+S312*2^17+T312*2^16+E311*2^15+F311*2^14+G311*2^13+H311*2^12+I311*2^11+J311*2^10+K311*2^9+L311*2^8+M311*2^7+N311*2^6+O311*2^5+P311*2^4+Q311*2^3+R311*2^2+S311*2^1+T311*2^0</f>
        <v>655363</v>
      </c>
      <c r="E311" s="228">
        <v>0</v>
      </c>
      <c r="F311" s="228">
        <v>0</v>
      </c>
      <c r="G311" s="228">
        <v>0</v>
      </c>
      <c r="H311" s="228">
        <v>0</v>
      </c>
      <c r="I311" s="228">
        <v>0</v>
      </c>
      <c r="J311" s="228">
        <v>0</v>
      </c>
      <c r="K311" s="228">
        <v>0</v>
      </c>
      <c r="L311" s="228">
        <v>0</v>
      </c>
      <c r="M311" s="228">
        <v>0</v>
      </c>
      <c r="N311" s="228">
        <v>0</v>
      </c>
      <c r="O311" s="228">
        <v>0</v>
      </c>
      <c r="P311" s="228">
        <v>0</v>
      </c>
      <c r="Q311" s="228">
        <v>0</v>
      </c>
      <c r="R311" s="228">
        <v>0</v>
      </c>
      <c r="S311" s="228">
        <v>0</v>
      </c>
      <c r="T311" s="322">
        <f t="shared" ca="1" si="319"/>
        <v>3</v>
      </c>
      <c r="AZ311" s="478"/>
      <c r="BA311" s="313" t="s">
        <v>705</v>
      </c>
      <c r="BB311" s="460">
        <v>0</v>
      </c>
      <c r="BC311" s="460">
        <v>1</v>
      </c>
      <c r="BD311" s="460">
        <v>1</v>
      </c>
      <c r="BE311" s="460">
        <v>2</v>
      </c>
      <c r="BF311" s="460">
        <v>2</v>
      </c>
      <c r="BG311" s="460">
        <v>2</v>
      </c>
      <c r="BH311" s="460">
        <v>3</v>
      </c>
      <c r="BI311" s="460">
        <v>3</v>
      </c>
      <c r="BJ311" s="460">
        <v>4</v>
      </c>
      <c r="BK311" s="460">
        <v>4</v>
      </c>
      <c r="BL311" s="35">
        <v>5</v>
      </c>
      <c r="BM311" s="460">
        <v>5</v>
      </c>
      <c r="BN311" s="35">
        <v>6</v>
      </c>
      <c r="BO311" s="460">
        <v>6</v>
      </c>
      <c r="BP311" s="35">
        <v>7</v>
      </c>
      <c r="BQ311" s="460">
        <v>7</v>
      </c>
      <c r="BR311" s="460">
        <v>7</v>
      </c>
      <c r="BS311" s="460">
        <v>7</v>
      </c>
      <c r="BT311" s="460">
        <v>8</v>
      </c>
      <c r="BU311" s="460">
        <v>8</v>
      </c>
      <c r="BV311" s="460">
        <v>9</v>
      </c>
      <c r="BW311" s="460">
        <v>9</v>
      </c>
      <c r="BX311" s="460">
        <v>9</v>
      </c>
      <c r="BY311" s="460">
        <v>10</v>
      </c>
      <c r="BZ311" s="460">
        <v>10</v>
      </c>
    </row>
    <row r="312" spans="2:78" hidden="1">
      <c r="D312" s="228"/>
      <c r="E312" s="228">
        <v>0</v>
      </c>
      <c r="F312" s="228">
        <v>0</v>
      </c>
      <c r="G312" s="228">
        <v>0</v>
      </c>
      <c r="H312" s="228">
        <v>0</v>
      </c>
      <c r="I312" s="228">
        <v>0</v>
      </c>
      <c r="J312" s="228">
        <v>0</v>
      </c>
      <c r="K312" s="228">
        <v>0</v>
      </c>
      <c r="L312" s="228">
        <v>0</v>
      </c>
      <c r="M312" s="228">
        <v>0</v>
      </c>
      <c r="N312" s="228">
        <v>0</v>
      </c>
      <c r="O312" s="228">
        <v>0</v>
      </c>
      <c r="P312" s="228">
        <v>0</v>
      </c>
      <c r="Q312" s="228">
        <v>0</v>
      </c>
      <c r="R312" s="228">
        <v>0</v>
      </c>
      <c r="S312" s="228">
        <v>0</v>
      </c>
      <c r="T312" s="322">
        <f t="shared" ca="1" si="319"/>
        <v>10</v>
      </c>
      <c r="BA312" s="313" t="s">
        <v>706</v>
      </c>
      <c r="BB312" s="35">
        <v>4</v>
      </c>
      <c r="BC312" s="460">
        <v>4</v>
      </c>
      <c r="BD312" s="460">
        <v>5</v>
      </c>
      <c r="BE312" s="460">
        <v>6</v>
      </c>
      <c r="BF312" s="460">
        <v>6</v>
      </c>
      <c r="BG312" s="460">
        <v>7</v>
      </c>
      <c r="BH312" s="460">
        <v>8</v>
      </c>
      <c r="BI312" s="35">
        <v>8</v>
      </c>
      <c r="BJ312" s="460">
        <v>9</v>
      </c>
      <c r="BK312" s="460">
        <v>10</v>
      </c>
      <c r="BL312" s="35">
        <v>14</v>
      </c>
      <c r="BM312" s="460">
        <v>11</v>
      </c>
      <c r="BN312" s="35">
        <v>15</v>
      </c>
      <c r="BO312" s="35">
        <v>13</v>
      </c>
      <c r="BP312" s="35">
        <v>17</v>
      </c>
      <c r="BQ312" s="35">
        <v>14</v>
      </c>
      <c r="BR312" s="35">
        <v>15</v>
      </c>
      <c r="BS312" s="460">
        <v>15</v>
      </c>
      <c r="BT312" s="460">
        <v>16</v>
      </c>
      <c r="BU312" s="460">
        <v>17</v>
      </c>
      <c r="BV312" s="460">
        <v>17</v>
      </c>
      <c r="BW312" s="35">
        <v>18</v>
      </c>
      <c r="BX312" s="35">
        <v>19</v>
      </c>
      <c r="BY312" s="35">
        <v>19</v>
      </c>
      <c r="BZ312" s="35">
        <v>20</v>
      </c>
    </row>
    <row r="313" spans="2:78" hidden="1">
      <c r="B313" s="66" t="s">
        <v>654</v>
      </c>
      <c r="C313" s="78" t="str">
        <f ca="1">DEC2HEX(D313,8)</f>
        <v>00002710</v>
      </c>
      <c r="D313" s="322">
        <f ca="1">E314*2^31+F314*2^30+G314*2^29+H314*2^28+I314*2^27+J314*2^26+K314*2^25+L314*2^24+M314*2^23+N314*2^22+O314*2^21+P314*2^20+Q314*2^19+R314*2^18+S314*2^17+T314*2^16+E313*2^15+F313*2^14+G313*2^13+H313*2^12+I313*2^11+J313*2^10+K313*2^9+L313*2^8+M313*2^7+N313*2^6+O313*2^5+P313*2^4+Q313*2^3+R313*2^2+S313*2^1+T313*2^0</f>
        <v>10000</v>
      </c>
      <c r="E313" s="228">
        <v>0</v>
      </c>
      <c r="F313" s="228">
        <v>0</v>
      </c>
      <c r="G313" s="228">
        <v>0</v>
      </c>
      <c r="H313" s="228">
        <v>0</v>
      </c>
      <c r="I313" s="228">
        <v>0</v>
      </c>
      <c r="J313" s="228">
        <v>0</v>
      </c>
      <c r="K313" s="228">
        <v>0</v>
      </c>
      <c r="L313" s="228">
        <v>0</v>
      </c>
      <c r="M313" s="228">
        <v>0</v>
      </c>
      <c r="N313" s="228">
        <v>0</v>
      </c>
      <c r="O313" s="228">
        <v>0</v>
      </c>
      <c r="P313" s="228">
        <v>0</v>
      </c>
      <c r="Q313" s="228">
        <v>0</v>
      </c>
      <c r="R313" s="228">
        <v>0</v>
      </c>
      <c r="S313" s="228">
        <v>0</v>
      </c>
      <c r="T313" s="322">
        <f t="shared" ca="1" si="319"/>
        <v>10000</v>
      </c>
      <c r="BA313" s="313" t="s">
        <v>707</v>
      </c>
      <c r="BB313" s="460">
        <v>2</v>
      </c>
      <c r="BC313" s="460">
        <v>2</v>
      </c>
      <c r="BD313" s="460">
        <v>2</v>
      </c>
      <c r="BE313" s="460">
        <v>3</v>
      </c>
      <c r="BF313" s="460">
        <v>3</v>
      </c>
      <c r="BG313" s="460">
        <v>4</v>
      </c>
      <c r="BH313" s="460">
        <v>4</v>
      </c>
      <c r="BI313" s="35">
        <v>5</v>
      </c>
      <c r="BJ313" s="35">
        <v>5</v>
      </c>
      <c r="BK313" s="35">
        <v>6</v>
      </c>
      <c r="BL313" s="460">
        <v>6</v>
      </c>
      <c r="BM313" s="35">
        <v>7</v>
      </c>
      <c r="BN313" s="460">
        <v>7</v>
      </c>
      <c r="BO313" s="35">
        <v>7</v>
      </c>
      <c r="BP313" s="460">
        <v>7</v>
      </c>
      <c r="BQ313" s="35">
        <v>7</v>
      </c>
      <c r="BR313" s="35">
        <v>8</v>
      </c>
      <c r="BS313" s="35">
        <v>8</v>
      </c>
      <c r="BT313" s="35">
        <v>8</v>
      </c>
      <c r="BU313" s="35">
        <v>9</v>
      </c>
      <c r="BV313" s="35">
        <v>9</v>
      </c>
      <c r="BW313" s="35">
        <v>9</v>
      </c>
      <c r="BX313" s="35">
        <v>10</v>
      </c>
      <c r="BY313" s="35">
        <v>10</v>
      </c>
      <c r="BZ313" s="35">
        <v>11</v>
      </c>
    </row>
    <row r="314" spans="2:78" hidden="1">
      <c r="D314" s="228"/>
      <c r="E314" s="228">
        <v>0</v>
      </c>
      <c r="F314" s="228">
        <v>0</v>
      </c>
      <c r="G314" s="228">
        <v>0</v>
      </c>
      <c r="H314" s="228">
        <v>0</v>
      </c>
      <c r="I314" s="228">
        <v>0</v>
      </c>
      <c r="J314" s="228">
        <v>0</v>
      </c>
      <c r="K314" s="228">
        <v>0</v>
      </c>
      <c r="L314" s="228">
        <v>0</v>
      </c>
      <c r="M314" s="228">
        <v>0</v>
      </c>
      <c r="N314" s="228">
        <v>0</v>
      </c>
      <c r="O314" s="228">
        <v>0</v>
      </c>
      <c r="P314" s="228">
        <v>0</v>
      </c>
      <c r="Q314" s="228">
        <v>0</v>
      </c>
      <c r="R314" s="228">
        <v>0</v>
      </c>
      <c r="S314" s="228">
        <v>0</v>
      </c>
      <c r="T314" s="228">
        <v>0</v>
      </c>
      <c r="BA314" s="313" t="s">
        <v>708</v>
      </c>
      <c r="BB314" s="460">
        <v>8</v>
      </c>
      <c r="BC314" s="460">
        <v>9</v>
      </c>
      <c r="BD314" s="460">
        <v>9</v>
      </c>
      <c r="BE314" s="460">
        <v>10</v>
      </c>
      <c r="BF314" s="460">
        <v>10</v>
      </c>
      <c r="BG314" s="460">
        <v>11</v>
      </c>
      <c r="BH314" s="460">
        <v>11</v>
      </c>
      <c r="BI314" s="460">
        <v>12</v>
      </c>
      <c r="BJ314" s="460">
        <v>12</v>
      </c>
      <c r="BK314" s="460">
        <v>13</v>
      </c>
      <c r="BL314" s="460">
        <v>13</v>
      </c>
      <c r="BM314" s="460">
        <v>14</v>
      </c>
      <c r="BN314" s="460">
        <v>14</v>
      </c>
      <c r="BO314" s="460">
        <v>15</v>
      </c>
      <c r="BP314" s="460">
        <v>15</v>
      </c>
      <c r="BQ314" s="35">
        <v>16</v>
      </c>
      <c r="BR314" s="35">
        <v>17</v>
      </c>
      <c r="BS314" s="35">
        <v>18</v>
      </c>
      <c r="BT314" s="35">
        <v>19</v>
      </c>
      <c r="BU314" s="35">
        <v>20</v>
      </c>
      <c r="BV314" s="35">
        <v>20</v>
      </c>
      <c r="BW314" s="35">
        <v>21</v>
      </c>
      <c r="BX314" s="460">
        <v>22</v>
      </c>
      <c r="BY314" s="460">
        <v>23</v>
      </c>
      <c r="BZ314" s="460">
        <v>24</v>
      </c>
    </row>
    <row r="315" spans="2:78" hidden="1">
      <c r="B315" s="66" t="s">
        <v>655</v>
      </c>
      <c r="C315" s="78" t="str">
        <f ca="1">DEC2HEX(D315,8)</f>
        <v>0000000A</v>
      </c>
      <c r="D315" s="322">
        <f ca="1">E316*2^31+F316*2^30+G316*2^29+H316*2^28+I316*2^27+J316*2^26+K316*2^25+L316*2^24+M316*2^23+N316*2^22+O316*2^21+P316*2^20+Q316*2^19+R316*2^18+S316*2^17+T316*2^16+E315*2^15+F315*2^14+G315*2^13+H315*2^12+I315*2^11+J315*2^10+K315*2^9+L315*2^8+M315*2^7+N315*2^6+O315*2^5+P315*2^4+Q315*2^3+R315*2^2+S315*2^1+T315*2^0</f>
        <v>10</v>
      </c>
      <c r="E315" s="228">
        <v>0</v>
      </c>
      <c r="F315" s="228">
        <v>0</v>
      </c>
      <c r="G315" s="228">
        <v>0</v>
      </c>
      <c r="H315" s="228">
        <v>0</v>
      </c>
      <c r="I315" s="228">
        <v>0</v>
      </c>
      <c r="J315" s="228">
        <v>0</v>
      </c>
      <c r="K315" s="228">
        <v>0</v>
      </c>
      <c r="L315" s="228">
        <v>0</v>
      </c>
      <c r="M315" s="228">
        <v>0</v>
      </c>
      <c r="N315" s="228">
        <v>0</v>
      </c>
      <c r="O315" s="228">
        <v>0</v>
      </c>
      <c r="P315" s="228">
        <v>0</v>
      </c>
      <c r="Q315" s="228">
        <v>0</v>
      </c>
      <c r="R315" s="228">
        <v>0</v>
      </c>
      <c r="S315" s="228">
        <v>0</v>
      </c>
      <c r="T315" s="322">
        <f ca="1">OFFSET(BB316,0,$BB$305)</f>
        <v>10</v>
      </c>
      <c r="BA315" s="313" t="s">
        <v>709</v>
      </c>
      <c r="BB315" s="35">
        <v>10000</v>
      </c>
      <c r="BC315" s="35">
        <v>9000</v>
      </c>
      <c r="BD315" s="460">
        <v>10500</v>
      </c>
      <c r="BE315" s="35">
        <v>10000</v>
      </c>
      <c r="BF315" s="35">
        <v>10000</v>
      </c>
      <c r="BG315" s="460">
        <v>10500</v>
      </c>
      <c r="BH315" s="35">
        <v>10000</v>
      </c>
      <c r="BI315" s="460">
        <v>9500</v>
      </c>
      <c r="BJ315" s="35">
        <v>10000</v>
      </c>
      <c r="BK315" s="35">
        <v>10000</v>
      </c>
      <c r="BL315" s="460">
        <v>8000</v>
      </c>
      <c r="BM315" s="35">
        <v>10000</v>
      </c>
      <c r="BN315" s="460">
        <v>8500</v>
      </c>
      <c r="BO315" s="460">
        <v>10300</v>
      </c>
      <c r="BP315" s="460">
        <v>9000</v>
      </c>
      <c r="BQ315" s="35">
        <v>10000</v>
      </c>
      <c r="BR315" s="460">
        <v>10300</v>
      </c>
      <c r="BS315" s="35">
        <v>10000</v>
      </c>
      <c r="BT315" s="35">
        <v>10000</v>
      </c>
      <c r="BU315" s="35">
        <v>10000</v>
      </c>
      <c r="BV315" s="35">
        <v>10000</v>
      </c>
      <c r="BW315" s="35">
        <v>10000</v>
      </c>
      <c r="BX315" s="35">
        <v>10000</v>
      </c>
      <c r="BY315" s="35">
        <v>10000</v>
      </c>
      <c r="BZ315" s="35">
        <v>10000</v>
      </c>
    </row>
    <row r="316" spans="2:78" hidden="1">
      <c r="D316" s="228"/>
      <c r="E316" s="228">
        <v>0</v>
      </c>
      <c r="F316" s="228">
        <v>0</v>
      </c>
      <c r="G316" s="228">
        <v>0</v>
      </c>
      <c r="H316" s="228">
        <v>0</v>
      </c>
      <c r="I316" s="228">
        <v>0</v>
      </c>
      <c r="J316" s="228">
        <v>0</v>
      </c>
      <c r="K316" s="228">
        <v>0</v>
      </c>
      <c r="L316" s="228">
        <v>0</v>
      </c>
      <c r="M316" s="228">
        <v>0</v>
      </c>
      <c r="N316" s="228">
        <v>0</v>
      </c>
      <c r="O316" s="228">
        <v>0</v>
      </c>
      <c r="P316" s="228">
        <v>0</v>
      </c>
      <c r="Q316" s="228">
        <v>0</v>
      </c>
      <c r="R316" s="228">
        <v>0</v>
      </c>
      <c r="S316" s="228">
        <v>0</v>
      </c>
      <c r="T316" s="228">
        <v>0</v>
      </c>
      <c r="BA316" s="313" t="s">
        <v>714</v>
      </c>
      <c r="BB316" s="460">
        <v>8</v>
      </c>
      <c r="BC316" s="460">
        <v>8</v>
      </c>
      <c r="BD316" s="460">
        <v>9</v>
      </c>
      <c r="BE316" s="460">
        <v>9</v>
      </c>
      <c r="BF316" s="460">
        <v>10</v>
      </c>
      <c r="BG316" s="460">
        <v>10</v>
      </c>
      <c r="BH316" s="460">
        <v>10</v>
      </c>
      <c r="BI316" s="460">
        <v>11</v>
      </c>
      <c r="BJ316" s="460">
        <v>11</v>
      </c>
      <c r="BK316" s="460">
        <v>12</v>
      </c>
      <c r="BL316" s="460">
        <v>12</v>
      </c>
      <c r="BM316" s="460">
        <v>12</v>
      </c>
      <c r="BN316" s="460">
        <v>13</v>
      </c>
      <c r="BO316" s="460">
        <v>13</v>
      </c>
      <c r="BP316" s="460">
        <v>14</v>
      </c>
      <c r="BQ316" s="460">
        <v>14</v>
      </c>
      <c r="BR316" s="460">
        <v>14</v>
      </c>
      <c r="BS316" s="460">
        <v>15</v>
      </c>
      <c r="BT316" s="460">
        <v>15</v>
      </c>
      <c r="BU316" s="460">
        <v>16</v>
      </c>
      <c r="BV316" s="460">
        <v>16</v>
      </c>
      <c r="BW316" s="460">
        <v>17</v>
      </c>
      <c r="BX316" s="460">
        <v>17</v>
      </c>
      <c r="BY316" s="460">
        <v>17</v>
      </c>
      <c r="BZ316" s="460">
        <v>18</v>
      </c>
    </row>
    <row r="317" spans="2:78" hidden="1">
      <c r="B317" s="66" t="s">
        <v>656</v>
      </c>
      <c r="C317" s="78" t="str">
        <f ca="1">DEC2HEX(D317,8)</f>
        <v>00070005</v>
      </c>
      <c r="D317" s="322">
        <f ca="1">E318*2^31+F318*2^30+G318*2^29+H318*2^28+I318*2^27+J318*2^26+K318*2^25+L318*2^24+M318*2^23+N318*2^22+O318*2^21+P318*2^20+Q318*2^19+R318*2^18+S318*2^17+T318*2^16+E317*2^15+F317*2^14+G317*2^13+H317*2^12+I317*2^11+J317*2^10+K317*2^9+L317*2^8+M317*2^7+N317*2^6+O317*2^5+P317*2^4+Q317*2^3+R317*2^2+S317*2^1+T317*2^0</f>
        <v>458757</v>
      </c>
      <c r="E317" s="228">
        <v>0</v>
      </c>
      <c r="F317" s="228">
        <v>0</v>
      </c>
      <c r="G317" s="228">
        <v>0</v>
      </c>
      <c r="H317" s="228">
        <v>0</v>
      </c>
      <c r="I317" s="228">
        <v>0</v>
      </c>
      <c r="J317" s="228">
        <v>0</v>
      </c>
      <c r="K317" s="228">
        <v>0</v>
      </c>
      <c r="L317" s="228">
        <v>0</v>
      </c>
      <c r="M317" s="228">
        <v>0</v>
      </c>
      <c r="N317" s="228">
        <v>0</v>
      </c>
      <c r="O317" s="228">
        <v>0</v>
      </c>
      <c r="P317" s="228">
        <v>0</v>
      </c>
      <c r="Q317" s="228">
        <v>0</v>
      </c>
      <c r="R317" s="228">
        <v>0</v>
      </c>
      <c r="S317" s="228">
        <v>0</v>
      </c>
      <c r="T317" s="322">
        <f ca="1">OFFSET(BB317,0,$BB$305)</f>
        <v>5</v>
      </c>
      <c r="BA317" s="313" t="s">
        <v>710</v>
      </c>
      <c r="BB317" s="35">
        <v>4</v>
      </c>
      <c r="BC317" s="35">
        <v>4</v>
      </c>
      <c r="BD317" s="35">
        <v>4</v>
      </c>
      <c r="BE317" s="35">
        <v>5</v>
      </c>
      <c r="BF317" s="35">
        <v>5</v>
      </c>
      <c r="BG317" s="35">
        <v>6</v>
      </c>
      <c r="BH317" s="35">
        <v>6</v>
      </c>
      <c r="BI317" s="35">
        <v>6</v>
      </c>
      <c r="BJ317" s="35">
        <v>7</v>
      </c>
      <c r="BK317" s="35">
        <v>7</v>
      </c>
      <c r="BL317" s="35">
        <v>8</v>
      </c>
      <c r="BM317" s="35">
        <v>8</v>
      </c>
      <c r="BN317" s="35">
        <v>9</v>
      </c>
      <c r="BO317" s="35">
        <v>9</v>
      </c>
      <c r="BP317" s="35">
        <v>9</v>
      </c>
      <c r="BQ317" s="35">
        <v>10</v>
      </c>
      <c r="BR317" s="35">
        <v>10</v>
      </c>
      <c r="BS317" s="35">
        <v>10</v>
      </c>
      <c r="BT317" s="35">
        <v>11</v>
      </c>
      <c r="BU317" s="35">
        <v>11</v>
      </c>
      <c r="BV317" s="35">
        <v>12</v>
      </c>
      <c r="BW317" s="35">
        <v>12</v>
      </c>
      <c r="BX317" s="35">
        <v>13</v>
      </c>
      <c r="BY317" s="35">
        <v>13</v>
      </c>
      <c r="BZ317" s="35">
        <v>14</v>
      </c>
    </row>
    <row r="318" spans="2:78" hidden="1">
      <c r="D318" s="228"/>
      <c r="E318" s="228">
        <v>0</v>
      </c>
      <c r="F318" s="228">
        <v>0</v>
      </c>
      <c r="G318" s="228">
        <v>0</v>
      </c>
      <c r="H318" s="228">
        <v>0</v>
      </c>
      <c r="I318" s="228">
        <v>0</v>
      </c>
      <c r="J318" s="228">
        <v>0</v>
      </c>
      <c r="K318" s="228">
        <v>0</v>
      </c>
      <c r="L318" s="228">
        <v>0</v>
      </c>
      <c r="M318" s="228">
        <v>0</v>
      </c>
      <c r="N318" s="228">
        <v>0</v>
      </c>
      <c r="O318" s="228">
        <v>0</v>
      </c>
      <c r="P318" s="228">
        <v>0</v>
      </c>
      <c r="Q318" s="228">
        <v>0</v>
      </c>
      <c r="R318" s="228">
        <v>0</v>
      </c>
      <c r="S318" s="228">
        <v>0</v>
      </c>
      <c r="T318" s="322">
        <f ca="1">OFFSET(BB318,0,$BB$305)</f>
        <v>7</v>
      </c>
      <c r="BA318" s="313" t="s">
        <v>711</v>
      </c>
      <c r="BB318" s="35">
        <v>5</v>
      </c>
      <c r="BC318" s="35">
        <v>5</v>
      </c>
      <c r="BD318" s="35">
        <v>6</v>
      </c>
      <c r="BE318" s="35">
        <v>7</v>
      </c>
      <c r="BF318" s="35">
        <v>7</v>
      </c>
      <c r="BG318" s="35">
        <v>8</v>
      </c>
      <c r="BH318" s="35">
        <v>9</v>
      </c>
      <c r="BI318" s="35">
        <v>9</v>
      </c>
      <c r="BJ318" s="35">
        <v>10</v>
      </c>
      <c r="BK318" s="35">
        <v>11</v>
      </c>
      <c r="BL318" s="35">
        <v>14</v>
      </c>
      <c r="BM318" s="35">
        <v>12</v>
      </c>
      <c r="BN318" s="35">
        <v>16</v>
      </c>
      <c r="BO318" s="35">
        <v>14</v>
      </c>
      <c r="BP318" s="35">
        <v>18</v>
      </c>
      <c r="BQ318" s="35">
        <v>14</v>
      </c>
      <c r="BR318" s="35">
        <v>15</v>
      </c>
      <c r="BS318" s="35">
        <v>16</v>
      </c>
      <c r="BT318" s="35">
        <v>17</v>
      </c>
      <c r="BU318" s="35">
        <v>18</v>
      </c>
      <c r="BV318" s="35">
        <v>18</v>
      </c>
      <c r="BW318" s="35">
        <v>19</v>
      </c>
      <c r="BX318" s="35">
        <v>19</v>
      </c>
      <c r="BY318" s="35">
        <v>20</v>
      </c>
      <c r="BZ318" s="35">
        <v>20</v>
      </c>
    </row>
    <row r="319" spans="2:78" hidden="1">
      <c r="B319" s="66" t="s">
        <v>657</v>
      </c>
      <c r="C319" s="78" t="str">
        <f ca="1">DEC2HEX(D319,8)</f>
        <v>00060006</v>
      </c>
      <c r="D319" s="322">
        <f ca="1">E320*2^31+F320*2^30+G320*2^29+H320*2^28+I320*2^27+J320*2^26+K320*2^25+L320*2^24+M320*2^23+N320*2^22+O320*2^21+P320*2^20+Q320*2^19+R320*2^18+S320*2^17+T320*2^16+E319*2^15+F319*2^14+G319*2^13+H319*2^12+I319*2^11+J319*2^10+K319*2^9+L319*2^8+M319*2^7+N319*2^6+O319*2^5+P319*2^4+Q319*2^3+R319*2^2+S319*2^1+T319*2^0</f>
        <v>393222</v>
      </c>
      <c r="E319" s="228">
        <v>0</v>
      </c>
      <c r="F319" s="228">
        <v>0</v>
      </c>
      <c r="G319" s="228">
        <v>0</v>
      </c>
      <c r="H319" s="228">
        <v>0</v>
      </c>
      <c r="I319" s="228">
        <v>0</v>
      </c>
      <c r="J319" s="228">
        <v>0</v>
      </c>
      <c r="K319" s="228">
        <v>0</v>
      </c>
      <c r="L319" s="228">
        <v>0</v>
      </c>
      <c r="M319" s="228">
        <v>0</v>
      </c>
      <c r="N319" s="228">
        <v>0</v>
      </c>
      <c r="O319" s="228">
        <v>0</v>
      </c>
      <c r="P319" s="228">
        <v>0</v>
      </c>
      <c r="Q319" s="228">
        <v>0</v>
      </c>
      <c r="R319" s="228">
        <v>0</v>
      </c>
      <c r="S319" s="228">
        <v>0</v>
      </c>
      <c r="T319" s="322">
        <f ca="1">OFFSET(BB319,0,$BB$305)</f>
        <v>6</v>
      </c>
      <c r="BA319" s="313" t="s">
        <v>712</v>
      </c>
      <c r="BB319" s="35">
        <v>3</v>
      </c>
      <c r="BC319" s="35">
        <v>4</v>
      </c>
      <c r="BD319" s="35">
        <v>4</v>
      </c>
      <c r="BE319" s="35">
        <v>5</v>
      </c>
      <c r="BF319" s="35">
        <v>6</v>
      </c>
      <c r="BG319" s="35">
        <v>6</v>
      </c>
      <c r="BH319" s="35">
        <v>7</v>
      </c>
      <c r="BI319" s="35">
        <v>8</v>
      </c>
      <c r="BJ319" s="35">
        <v>9</v>
      </c>
      <c r="BK319" s="35">
        <v>10</v>
      </c>
      <c r="BL319" s="35">
        <v>15</v>
      </c>
      <c r="BM319" s="35">
        <v>11</v>
      </c>
      <c r="BN319" s="35">
        <v>16</v>
      </c>
      <c r="BO319" s="35">
        <v>12</v>
      </c>
      <c r="BP319" s="35">
        <v>18</v>
      </c>
      <c r="BQ319" s="35">
        <v>14</v>
      </c>
      <c r="BR319" s="35">
        <v>14</v>
      </c>
      <c r="BS319" s="35">
        <v>15</v>
      </c>
      <c r="BT319" s="35">
        <v>16</v>
      </c>
      <c r="BU319" s="35">
        <v>17</v>
      </c>
      <c r="BV319" s="35">
        <v>17</v>
      </c>
      <c r="BW319" s="35">
        <v>18</v>
      </c>
      <c r="BX319" s="35">
        <v>18</v>
      </c>
      <c r="BY319" s="35">
        <v>19</v>
      </c>
      <c r="BZ319" s="35">
        <v>20</v>
      </c>
    </row>
    <row r="320" spans="2:78" hidden="1">
      <c r="B320" s="185"/>
      <c r="C320" s="186"/>
      <c r="D320" s="228"/>
      <c r="E320" s="228">
        <v>0</v>
      </c>
      <c r="F320" s="228">
        <v>0</v>
      </c>
      <c r="G320" s="228">
        <v>0</v>
      </c>
      <c r="H320" s="228">
        <v>0</v>
      </c>
      <c r="I320" s="228">
        <v>0</v>
      </c>
      <c r="J320" s="228">
        <v>0</v>
      </c>
      <c r="K320" s="228">
        <v>0</v>
      </c>
      <c r="L320" s="228">
        <v>0</v>
      </c>
      <c r="M320" s="228">
        <v>0</v>
      </c>
      <c r="N320" s="228">
        <v>0</v>
      </c>
      <c r="O320" s="228">
        <v>0</v>
      </c>
      <c r="P320" s="228">
        <v>0</v>
      </c>
      <c r="Q320" s="228">
        <v>0</v>
      </c>
      <c r="R320" s="228">
        <v>0</v>
      </c>
      <c r="S320" s="228">
        <v>0</v>
      </c>
      <c r="T320" s="322">
        <f ca="1">OFFSET(BB320,0,$BB$305)</f>
        <v>6</v>
      </c>
      <c r="BA320" s="313" t="s">
        <v>1579</v>
      </c>
      <c r="BB320" s="460">
        <v>3</v>
      </c>
      <c r="BC320" s="35">
        <v>4</v>
      </c>
      <c r="BD320" s="460">
        <v>4</v>
      </c>
      <c r="BE320" s="460">
        <v>5</v>
      </c>
      <c r="BF320" s="460">
        <v>6</v>
      </c>
      <c r="BG320" s="460">
        <v>6</v>
      </c>
      <c r="BH320" s="460">
        <v>7</v>
      </c>
      <c r="BI320" s="460">
        <v>8</v>
      </c>
      <c r="BJ320" s="460">
        <v>8</v>
      </c>
      <c r="BK320" s="460">
        <v>9</v>
      </c>
      <c r="BL320" s="35">
        <v>12</v>
      </c>
      <c r="BM320" s="460">
        <v>10</v>
      </c>
      <c r="BN320" s="35">
        <v>13</v>
      </c>
      <c r="BO320" s="460">
        <v>11</v>
      </c>
      <c r="BP320" s="35">
        <v>14</v>
      </c>
      <c r="BQ320" s="35">
        <v>13</v>
      </c>
      <c r="BR320" s="35">
        <v>13</v>
      </c>
      <c r="BS320" s="35">
        <v>14</v>
      </c>
      <c r="BT320" s="35">
        <v>15</v>
      </c>
      <c r="BU320" s="35">
        <v>16</v>
      </c>
      <c r="BV320" s="460">
        <v>16</v>
      </c>
      <c r="BW320" s="35">
        <v>17</v>
      </c>
      <c r="BX320" s="460">
        <v>17</v>
      </c>
      <c r="BY320" s="35">
        <v>18</v>
      </c>
      <c r="BZ320" s="35">
        <v>19</v>
      </c>
    </row>
    <row r="321" spans="2:78" ht="15" hidden="1">
      <c r="B321" s="185"/>
      <c r="C321" s="186"/>
      <c r="D321" s="228"/>
      <c r="E321" s="228"/>
      <c r="F321" s="228"/>
      <c r="G321" s="228"/>
      <c r="H321" s="228"/>
      <c r="I321" s="228"/>
      <c r="J321" s="228"/>
      <c r="K321" s="228"/>
      <c r="L321" s="228"/>
      <c r="M321" s="228"/>
      <c r="N321" s="228"/>
      <c r="O321" s="228"/>
      <c r="P321" s="228"/>
      <c r="Q321" s="228"/>
      <c r="R321" s="228"/>
      <c r="S321" s="228"/>
      <c r="T321" s="228"/>
      <c r="BA321" s="327" t="s">
        <v>928</v>
      </c>
      <c r="BB321" s="469">
        <f>IF($C$37=24,BB275,IF($C$37=25,CL275,IF($C$37=27,DV275,FF275)))</f>
        <v>300.375</v>
      </c>
      <c r="BC321" s="469">
        <f t="shared" ref="BC321:BM321" si="320">IF($C$37=24,BC275,IF($C$37=25,CM275,IF($C$37=27,DW275,FG275)))</f>
        <v>351</v>
      </c>
      <c r="BD321" s="469">
        <f t="shared" si="320"/>
        <v>400.5</v>
      </c>
      <c r="BE321" s="469">
        <f t="shared" si="320"/>
        <v>450</v>
      </c>
      <c r="BF321" s="469">
        <f t="shared" si="320"/>
        <v>499.5</v>
      </c>
      <c r="BG321" s="469">
        <f t="shared" si="320"/>
        <v>550.80000000000007</v>
      </c>
      <c r="BH321" s="469">
        <f t="shared" si="320"/>
        <v>600.75</v>
      </c>
      <c r="BI321" s="469">
        <f t="shared" si="320"/>
        <v>648</v>
      </c>
      <c r="BJ321" s="469">
        <f t="shared" si="320"/>
        <v>702</v>
      </c>
      <c r="BK321" s="469">
        <f t="shared" si="320"/>
        <v>750.6</v>
      </c>
      <c r="BL321" s="470">
        <f t="shared" si="320"/>
        <v>799.2</v>
      </c>
      <c r="BM321" s="469">
        <f t="shared" si="320"/>
        <v>850.5</v>
      </c>
      <c r="BN321" s="470">
        <f t="shared" ref="BN321" si="321">IF($C$37=24,BN275,IF($C$37=25,CX275,IF($C$37=27,EH275,FR275)))</f>
        <v>900</v>
      </c>
      <c r="BO321" s="469">
        <f t="shared" ref="BO321:BZ321" si="322">IF($C$37=24,BO275,IF($C$37=25,CY275,IF($C$37=27,EI275,FS275)))</f>
        <v>950.40000000000009</v>
      </c>
      <c r="BP321" s="470">
        <f t="shared" si="322"/>
        <v>999</v>
      </c>
      <c r="BQ321" s="469">
        <f t="shared" si="322"/>
        <v>1047.6000000000001</v>
      </c>
      <c r="BR321" s="470">
        <f t="shared" si="322"/>
        <v>1100.25</v>
      </c>
      <c r="BS321" s="469">
        <f t="shared" si="322"/>
        <v>1150.2</v>
      </c>
      <c r="BT321" s="470">
        <f t="shared" si="322"/>
        <v>1198.8000000000002</v>
      </c>
      <c r="BU321" s="469">
        <f t="shared" si="322"/>
        <v>1251</v>
      </c>
      <c r="BV321" s="470">
        <f t="shared" si="322"/>
        <v>1301.4000000000001</v>
      </c>
      <c r="BW321" s="469">
        <f t="shared" si="322"/>
        <v>1350</v>
      </c>
      <c r="BX321" s="470">
        <f t="shared" si="322"/>
        <v>1398.6000000000001</v>
      </c>
      <c r="BY321" s="469">
        <f t="shared" si="322"/>
        <v>1449</v>
      </c>
      <c r="BZ321" s="470">
        <f t="shared" si="322"/>
        <v>1498.5</v>
      </c>
    </row>
    <row r="322" spans="2:78" hidden="1">
      <c r="B322" s="66" t="s">
        <v>1302</v>
      </c>
      <c r="C322" s="78" t="str">
        <f>DEC2HEX(D322,8)</f>
        <v>00000020</v>
      </c>
      <c r="D322" s="322">
        <f>E323*2^31+F323*2^30+G323*2^29+H323*2^28+I323*2^27+J323*2^26+K323*2^25+L323*2^24+M323*2^23+N323*2^22+O323*2^21+P323*2^20+Q323*2^19+R323*2^18+S323*2^17+T323*2^16+E322*2^15+F322*2^14+G322*2^13+H322*2^12+I322*2^11+J322*2^10+K322*2^9+L322*2^8+M322*2^7+N322*2^6+O322*2^5+P322*2^4+Q322*2^3+R322*2^2+S322*2^1+T322*2^0</f>
        <v>32</v>
      </c>
      <c r="E322" s="228">
        <v>0</v>
      </c>
      <c r="F322" s="228">
        <v>0</v>
      </c>
      <c r="G322" s="228">
        <v>0</v>
      </c>
      <c r="H322" s="228">
        <v>0</v>
      </c>
      <c r="I322" s="228">
        <v>0</v>
      </c>
      <c r="J322" s="228">
        <v>0</v>
      </c>
      <c r="K322" s="228">
        <v>0</v>
      </c>
      <c r="L322" s="228">
        <v>0</v>
      </c>
      <c r="M322" s="228">
        <v>0</v>
      </c>
      <c r="N322" s="228">
        <v>0</v>
      </c>
      <c r="O322" s="322">
        <f>IF(C47="Continuous",1,0)</f>
        <v>1</v>
      </c>
      <c r="P322" s="228">
        <v>0</v>
      </c>
      <c r="Q322" s="228">
        <v>0</v>
      </c>
      <c r="R322" s="228">
        <v>0</v>
      </c>
      <c r="S322" s="228">
        <v>0</v>
      </c>
      <c r="T322" s="228">
        <v>0</v>
      </c>
      <c r="BA322" s="313" t="s">
        <v>712</v>
      </c>
      <c r="BB322" s="35">
        <v>3</v>
      </c>
      <c r="BC322" s="35">
        <v>4</v>
      </c>
      <c r="BD322" s="35">
        <v>4</v>
      </c>
      <c r="BE322" s="35">
        <v>5</v>
      </c>
      <c r="BF322" s="35">
        <v>6</v>
      </c>
      <c r="BG322" s="35">
        <v>6</v>
      </c>
      <c r="BH322" s="35">
        <v>7</v>
      </c>
      <c r="BI322" s="35">
        <v>8</v>
      </c>
      <c r="BJ322" s="35">
        <v>9</v>
      </c>
      <c r="BK322" s="35">
        <v>10</v>
      </c>
      <c r="BL322" s="35">
        <v>15</v>
      </c>
      <c r="BM322" s="35">
        <v>11</v>
      </c>
      <c r="BN322" s="35">
        <v>16</v>
      </c>
      <c r="BO322" s="35">
        <v>12</v>
      </c>
      <c r="BP322" s="35">
        <v>18</v>
      </c>
      <c r="BQ322" s="35">
        <v>14</v>
      </c>
      <c r="BR322" s="35">
        <v>14</v>
      </c>
      <c r="BS322" s="35">
        <v>15</v>
      </c>
      <c r="BT322" s="35">
        <v>16</v>
      </c>
      <c r="BU322" s="35">
        <v>17</v>
      </c>
      <c r="BV322" s="35">
        <v>17</v>
      </c>
      <c r="BW322" s="35">
        <v>18</v>
      </c>
      <c r="BX322" s="35">
        <v>18</v>
      </c>
      <c r="BY322" s="35">
        <v>19</v>
      </c>
      <c r="BZ322" s="35">
        <v>20</v>
      </c>
    </row>
    <row r="323" spans="2:78" hidden="1">
      <c r="B323" s="185"/>
      <c r="C323" s="186"/>
      <c r="D323" s="228"/>
      <c r="E323" s="228">
        <v>0</v>
      </c>
      <c r="F323" s="228">
        <v>0</v>
      </c>
      <c r="G323" s="228">
        <v>0</v>
      </c>
      <c r="H323" s="228">
        <v>0</v>
      </c>
      <c r="I323" s="228">
        <v>0</v>
      </c>
      <c r="J323" s="228">
        <v>0</v>
      </c>
      <c r="K323" s="228">
        <v>0</v>
      </c>
      <c r="L323" s="228">
        <v>0</v>
      </c>
      <c r="M323" s="228">
        <v>0</v>
      </c>
      <c r="N323" s="228">
        <v>0</v>
      </c>
      <c r="O323" s="228">
        <v>0</v>
      </c>
      <c r="P323" s="228">
        <v>0</v>
      </c>
      <c r="Q323" s="228">
        <v>0</v>
      </c>
      <c r="R323" s="228">
        <v>0</v>
      </c>
      <c r="S323" s="228">
        <v>0</v>
      </c>
      <c r="T323" s="228">
        <v>0</v>
      </c>
      <c r="BA323" s="313" t="s">
        <v>713</v>
      </c>
      <c r="BB323" s="460">
        <v>3</v>
      </c>
      <c r="BC323" s="35">
        <v>4</v>
      </c>
      <c r="BD323" s="460">
        <v>4</v>
      </c>
      <c r="BE323" s="460">
        <v>5</v>
      </c>
      <c r="BF323" s="460">
        <v>6</v>
      </c>
      <c r="BG323" s="460">
        <v>6</v>
      </c>
      <c r="BH323" s="460">
        <v>7</v>
      </c>
      <c r="BI323" s="460">
        <v>8</v>
      </c>
      <c r="BJ323" s="460">
        <v>8</v>
      </c>
      <c r="BK323" s="460">
        <v>9</v>
      </c>
      <c r="BL323" s="35">
        <v>12</v>
      </c>
      <c r="BM323" s="460">
        <v>10</v>
      </c>
      <c r="BN323" s="35">
        <v>13</v>
      </c>
      <c r="BO323" s="460">
        <v>11</v>
      </c>
      <c r="BP323" s="35">
        <v>14</v>
      </c>
      <c r="BQ323" s="35">
        <v>13</v>
      </c>
      <c r="BR323" s="35">
        <v>13</v>
      </c>
      <c r="BS323" s="35">
        <v>14</v>
      </c>
      <c r="BT323" s="35">
        <v>15</v>
      </c>
      <c r="BU323" s="35">
        <v>16</v>
      </c>
      <c r="BV323" s="35">
        <v>16</v>
      </c>
      <c r="BW323" s="35">
        <v>17</v>
      </c>
      <c r="BX323" s="460">
        <v>17</v>
      </c>
      <c r="BY323" s="35">
        <v>18</v>
      </c>
      <c r="BZ323" s="35">
        <v>19</v>
      </c>
    </row>
    <row r="324" spans="2:78">
      <c r="D324" s="228"/>
      <c r="E324" s="228"/>
      <c r="F324" s="228"/>
      <c r="G324" s="228"/>
      <c r="H324" s="228"/>
      <c r="I324" s="228"/>
      <c r="J324" s="228"/>
      <c r="K324" s="228"/>
      <c r="L324" s="228"/>
      <c r="M324" s="228"/>
      <c r="N324" s="228"/>
      <c r="O324" s="228"/>
      <c r="P324" s="228"/>
      <c r="Q324" s="228"/>
      <c r="R324" s="228"/>
      <c r="S324" s="228"/>
      <c r="T324" s="228"/>
      <c r="AY324" s="474"/>
      <c r="AZ324" s="313" t="s">
        <v>1584</v>
      </c>
      <c r="BA324" s="313"/>
      <c r="BB324" s="35"/>
      <c r="BC324" s="35"/>
      <c r="BD324" s="35"/>
      <c r="BE324" s="35"/>
      <c r="BF324" s="35"/>
      <c r="BG324" s="35"/>
      <c r="BH324" s="35"/>
      <c r="BI324" s="35"/>
      <c r="BJ324" s="35"/>
      <c r="BK324" s="35"/>
      <c r="BL324" s="35"/>
      <c r="BM324" s="35"/>
      <c r="BN324" s="35"/>
      <c r="BO324" s="35"/>
      <c r="BP324" s="35"/>
    </row>
    <row r="325" spans="2:78">
      <c r="D325" s="228"/>
      <c r="E325" s="228"/>
      <c r="F325" s="228"/>
      <c r="G325" s="228"/>
      <c r="H325" s="228"/>
      <c r="I325" s="228"/>
      <c r="J325" s="228"/>
      <c r="K325" s="228"/>
      <c r="L325" s="228"/>
      <c r="M325" s="228"/>
      <c r="N325" s="228"/>
      <c r="O325" s="228"/>
      <c r="P325" s="228"/>
      <c r="Q325" s="228"/>
      <c r="R325" s="228"/>
      <c r="S325" s="228"/>
      <c r="T325" s="228"/>
      <c r="AY325" s="475"/>
      <c r="AZ325" s="468">
        <f ca="1">OFFSET(BB325,0,$BB$305)</f>
        <v>112.11211211211211</v>
      </c>
      <c r="BA325" s="313" t="s">
        <v>1555</v>
      </c>
      <c r="BB325" s="468">
        <f>(8/BB$321)*(BB307+1)*1000</f>
        <v>106.53349979192676</v>
      </c>
      <c r="BC325" s="468">
        <f>(8/BC$321)*(BC307+1)*1000</f>
        <v>113.96011396011396</v>
      </c>
      <c r="BD325" s="468">
        <f t="shared" ref="BD325:BZ325" si="323">(8/BD$321)*(BD307+1)*1000</f>
        <v>99.875156054931324</v>
      </c>
      <c r="BE325" s="468">
        <f t="shared" si="323"/>
        <v>106.66666666666666</v>
      </c>
      <c r="BF325" s="468">
        <f t="shared" si="323"/>
        <v>112.11211211211211</v>
      </c>
      <c r="BG325" s="468">
        <f t="shared" si="323"/>
        <v>101.6702977487291</v>
      </c>
      <c r="BH325" s="468">
        <f t="shared" si="323"/>
        <v>106.53349979192676</v>
      </c>
      <c r="BI325" s="468">
        <f t="shared" si="323"/>
        <v>111.1111111111111</v>
      </c>
      <c r="BJ325" s="468">
        <f t="shared" si="323"/>
        <v>102.56410256410257</v>
      </c>
      <c r="BK325" s="468">
        <f t="shared" si="323"/>
        <v>106.58140154543031</v>
      </c>
      <c r="BL325" s="468">
        <f t="shared" si="323"/>
        <v>130.13013013013014</v>
      </c>
      <c r="BM325" s="468">
        <f t="shared" si="323"/>
        <v>103.46854791299235</v>
      </c>
      <c r="BN325" s="468">
        <f t="shared" si="323"/>
        <v>124.44444444444444</v>
      </c>
      <c r="BO325" s="468">
        <f t="shared" si="323"/>
        <v>101.01010101010101</v>
      </c>
      <c r="BP325" s="468">
        <f t="shared" si="323"/>
        <v>120.12012012012012</v>
      </c>
      <c r="BQ325" s="468">
        <f t="shared" si="323"/>
        <v>106.91103474608627</v>
      </c>
      <c r="BR325" s="468">
        <f t="shared" si="323"/>
        <v>101.79504658032265</v>
      </c>
      <c r="BS325" s="468">
        <f t="shared" si="323"/>
        <v>104.32968179447053</v>
      </c>
      <c r="BT325" s="468">
        <f t="shared" si="323"/>
        <v>106.77344010677342</v>
      </c>
      <c r="BU325" s="468">
        <f t="shared" si="323"/>
        <v>108.71302957633893</v>
      </c>
      <c r="BV325" s="468">
        <f t="shared" si="323"/>
        <v>104.50284309205469</v>
      </c>
      <c r="BW325" s="468">
        <f t="shared" si="323"/>
        <v>106.66666666666666</v>
      </c>
      <c r="BX325" s="468">
        <f t="shared" si="323"/>
        <v>102.96010296010296</v>
      </c>
      <c r="BY325" s="468">
        <f t="shared" si="323"/>
        <v>104.89993098688751</v>
      </c>
      <c r="BZ325" s="468">
        <f t="shared" si="323"/>
        <v>106.77344010677345</v>
      </c>
    </row>
    <row r="326" spans="2:78">
      <c r="D326" s="228"/>
      <c r="E326" s="228"/>
      <c r="F326" s="228"/>
      <c r="G326" s="228"/>
      <c r="H326" s="228"/>
      <c r="I326" s="228"/>
      <c r="J326" s="228"/>
      <c r="K326" s="228"/>
      <c r="L326" s="228"/>
      <c r="M326" s="228"/>
      <c r="N326" s="228"/>
      <c r="O326" s="228"/>
      <c r="P326" s="228"/>
      <c r="Q326" s="228"/>
      <c r="R326" s="228"/>
      <c r="S326" s="228"/>
      <c r="T326" s="228"/>
      <c r="AY326" s="475"/>
      <c r="AZ326" s="468"/>
      <c r="BA326" s="476" t="s">
        <v>1598</v>
      </c>
      <c r="BB326" s="477" t="str">
        <f>IF(BB325&gt;=(50*1.1),"OK","NG")</f>
        <v>OK</v>
      </c>
      <c r="BC326" s="477" t="str">
        <f t="shared" ref="BC326:BZ326" si="324">IF(BC325&gt;=(50*1.1),"OK","NG")</f>
        <v>OK</v>
      </c>
      <c r="BD326" s="477" t="str">
        <f t="shared" si="324"/>
        <v>OK</v>
      </c>
      <c r="BE326" s="477" t="str">
        <f t="shared" si="324"/>
        <v>OK</v>
      </c>
      <c r="BF326" s="477" t="str">
        <f t="shared" si="324"/>
        <v>OK</v>
      </c>
      <c r="BG326" s="477" t="str">
        <f t="shared" si="324"/>
        <v>OK</v>
      </c>
      <c r="BH326" s="477" t="str">
        <f t="shared" si="324"/>
        <v>OK</v>
      </c>
      <c r="BI326" s="477" t="str">
        <f t="shared" si="324"/>
        <v>OK</v>
      </c>
      <c r="BJ326" s="477" t="str">
        <f t="shared" si="324"/>
        <v>OK</v>
      </c>
      <c r="BK326" s="477" t="str">
        <f t="shared" si="324"/>
        <v>OK</v>
      </c>
      <c r="BL326" s="477" t="str">
        <f t="shared" si="324"/>
        <v>OK</v>
      </c>
      <c r="BM326" s="477" t="str">
        <f t="shared" si="324"/>
        <v>OK</v>
      </c>
      <c r="BN326" s="477" t="str">
        <f t="shared" si="324"/>
        <v>OK</v>
      </c>
      <c r="BO326" s="477" t="str">
        <f t="shared" si="324"/>
        <v>OK</v>
      </c>
      <c r="BP326" s="477" t="str">
        <f t="shared" si="324"/>
        <v>OK</v>
      </c>
      <c r="BQ326" s="477" t="str">
        <f t="shared" si="324"/>
        <v>OK</v>
      </c>
      <c r="BR326" s="477" t="str">
        <f t="shared" si="324"/>
        <v>OK</v>
      </c>
      <c r="BS326" s="477" t="str">
        <f t="shared" si="324"/>
        <v>OK</v>
      </c>
      <c r="BT326" s="477" t="str">
        <f t="shared" si="324"/>
        <v>OK</v>
      </c>
      <c r="BU326" s="477" t="str">
        <f t="shared" si="324"/>
        <v>OK</v>
      </c>
      <c r="BV326" s="477" t="str">
        <f t="shared" si="324"/>
        <v>OK</v>
      </c>
      <c r="BW326" s="477" t="str">
        <f t="shared" si="324"/>
        <v>OK</v>
      </c>
      <c r="BX326" s="477" t="str">
        <f t="shared" si="324"/>
        <v>OK</v>
      </c>
      <c r="BY326" s="477" t="str">
        <f t="shared" si="324"/>
        <v>OK</v>
      </c>
      <c r="BZ326" s="477" t="str">
        <f t="shared" si="324"/>
        <v>OK</v>
      </c>
    </row>
    <row r="327" spans="2:78">
      <c r="D327" s="228"/>
      <c r="E327" s="228"/>
      <c r="F327" s="228"/>
      <c r="G327" s="228"/>
      <c r="H327" s="228"/>
      <c r="I327" s="228"/>
      <c r="J327" s="228"/>
      <c r="K327" s="228"/>
      <c r="L327" s="228"/>
      <c r="M327" s="228"/>
      <c r="N327" s="228"/>
      <c r="O327" s="228"/>
      <c r="P327" s="228"/>
      <c r="Q327" s="228"/>
      <c r="R327" s="228"/>
      <c r="S327" s="228"/>
      <c r="T327" s="228"/>
      <c r="AY327" s="475"/>
      <c r="AZ327" s="468">
        <f ca="1">OFFSET(BB327,0,$BB$305)</f>
        <v>64.06406406406407</v>
      </c>
      <c r="BA327" s="313" t="s">
        <v>1554</v>
      </c>
      <c r="BB327" s="472">
        <f t="shared" ref="BB327:BZ327" si="325">(8/BB$321)*(BB308+1)*1000</f>
        <v>79.900124843945065</v>
      </c>
      <c r="BC327" s="472">
        <f t="shared" si="325"/>
        <v>68.376068376068389</v>
      </c>
      <c r="BD327" s="472">
        <f t="shared" si="325"/>
        <v>59.925093632958799</v>
      </c>
      <c r="BE327" s="472">
        <f t="shared" si="325"/>
        <v>53.333333333333329</v>
      </c>
      <c r="BF327" s="472">
        <f t="shared" si="325"/>
        <v>64.06406406406407</v>
      </c>
      <c r="BG327" s="472">
        <f t="shared" si="325"/>
        <v>58.097312999273775</v>
      </c>
      <c r="BH327" s="472">
        <f t="shared" si="325"/>
        <v>53.266749895963379</v>
      </c>
      <c r="BI327" s="472">
        <f t="shared" si="325"/>
        <v>49.382716049382715</v>
      </c>
      <c r="BJ327" s="472">
        <f t="shared" si="325"/>
        <v>56.980056980056979</v>
      </c>
      <c r="BK327" s="472">
        <f t="shared" si="325"/>
        <v>53.290700772715155</v>
      </c>
      <c r="BL327" s="472">
        <f t="shared" si="325"/>
        <v>80.08008008008008</v>
      </c>
      <c r="BM327" s="472">
        <f t="shared" si="325"/>
        <v>56.437389770723101</v>
      </c>
      <c r="BN327" s="472">
        <f t="shared" si="325"/>
        <v>80</v>
      </c>
      <c r="BO327" s="472">
        <f t="shared" si="325"/>
        <v>50.505050505050505</v>
      </c>
      <c r="BP327" s="472">
        <f t="shared" si="325"/>
        <v>80.08008008008008</v>
      </c>
      <c r="BQ327" s="472">
        <f t="shared" si="325"/>
        <v>53.455517373043136</v>
      </c>
      <c r="BR327" s="472">
        <f t="shared" si="325"/>
        <v>50.897523290161324</v>
      </c>
      <c r="BS327" s="472">
        <f t="shared" si="325"/>
        <v>55.642496957050945</v>
      </c>
      <c r="BT327" s="472">
        <f t="shared" si="325"/>
        <v>53.386720053386711</v>
      </c>
      <c r="BU327" s="472">
        <f t="shared" si="325"/>
        <v>51.159072741806554</v>
      </c>
      <c r="BV327" s="472">
        <f t="shared" si="325"/>
        <v>49.17780851390809</v>
      </c>
      <c r="BW327" s="472">
        <f t="shared" si="325"/>
        <v>47.407407407407405</v>
      </c>
      <c r="BX327" s="472">
        <f t="shared" si="325"/>
        <v>51.480051480051479</v>
      </c>
      <c r="BY327" s="472">
        <f t="shared" si="325"/>
        <v>49.689440993788821</v>
      </c>
      <c r="BZ327" s="472">
        <f t="shared" si="325"/>
        <v>48.048048048048045</v>
      </c>
    </row>
    <row r="328" spans="2:78">
      <c r="D328" s="228"/>
      <c r="E328" s="228"/>
      <c r="F328" s="228"/>
      <c r="G328" s="228"/>
      <c r="H328" s="228"/>
      <c r="I328" s="228"/>
      <c r="J328" s="228"/>
      <c r="K328" s="228"/>
      <c r="L328" s="228"/>
      <c r="M328" s="228"/>
      <c r="N328" s="228"/>
      <c r="O328" s="228"/>
      <c r="P328" s="228"/>
      <c r="Q328" s="228"/>
      <c r="R328" s="228"/>
      <c r="S328" s="228"/>
      <c r="T328" s="228"/>
      <c r="AY328" s="475"/>
      <c r="AZ328" s="468"/>
      <c r="BA328" s="476" t="s">
        <v>1599</v>
      </c>
      <c r="BB328" s="477" t="str">
        <f>IF(AND(BB327&gt;=(38*1.1),BB327&lt;=95*0.9),"OK","NG")</f>
        <v>OK</v>
      </c>
      <c r="BC328" s="477" t="str">
        <f t="shared" ref="BC328:BZ328" si="326">IF(AND(BC327&gt;=(38*1.1),BC327&lt;=95*0.9),"OK","NG")</f>
        <v>OK</v>
      </c>
      <c r="BD328" s="477" t="str">
        <f t="shared" si="326"/>
        <v>OK</v>
      </c>
      <c r="BE328" s="477" t="str">
        <f t="shared" si="326"/>
        <v>OK</v>
      </c>
      <c r="BF328" s="477" t="str">
        <f t="shared" si="326"/>
        <v>OK</v>
      </c>
      <c r="BG328" s="477" t="str">
        <f t="shared" si="326"/>
        <v>OK</v>
      </c>
      <c r="BH328" s="477" t="str">
        <f t="shared" si="326"/>
        <v>OK</v>
      </c>
      <c r="BI328" s="477" t="str">
        <f t="shared" si="326"/>
        <v>OK</v>
      </c>
      <c r="BJ328" s="477" t="str">
        <f t="shared" si="326"/>
        <v>OK</v>
      </c>
      <c r="BK328" s="477" t="str">
        <f t="shared" si="326"/>
        <v>OK</v>
      </c>
      <c r="BL328" s="477" t="str">
        <f t="shared" si="326"/>
        <v>OK</v>
      </c>
      <c r="BM328" s="477" t="str">
        <f t="shared" si="326"/>
        <v>OK</v>
      </c>
      <c r="BN328" s="477" t="str">
        <f t="shared" si="326"/>
        <v>OK</v>
      </c>
      <c r="BO328" s="477" t="str">
        <f t="shared" si="326"/>
        <v>OK</v>
      </c>
      <c r="BP328" s="477" t="str">
        <f t="shared" si="326"/>
        <v>OK</v>
      </c>
      <c r="BQ328" s="477" t="str">
        <f t="shared" si="326"/>
        <v>OK</v>
      </c>
      <c r="BR328" s="477" t="str">
        <f t="shared" si="326"/>
        <v>OK</v>
      </c>
      <c r="BS328" s="477" t="str">
        <f t="shared" si="326"/>
        <v>OK</v>
      </c>
      <c r="BT328" s="477" t="str">
        <f t="shared" si="326"/>
        <v>OK</v>
      </c>
      <c r="BU328" s="477" t="str">
        <f t="shared" si="326"/>
        <v>OK</v>
      </c>
      <c r="BV328" s="477" t="str">
        <f t="shared" si="326"/>
        <v>OK</v>
      </c>
      <c r="BW328" s="477" t="str">
        <f t="shared" si="326"/>
        <v>OK</v>
      </c>
      <c r="BX328" s="477" t="str">
        <f t="shared" si="326"/>
        <v>OK</v>
      </c>
      <c r="BY328" s="477" t="str">
        <f t="shared" si="326"/>
        <v>OK</v>
      </c>
      <c r="BZ328" s="477" t="str">
        <f t="shared" si="326"/>
        <v>OK</v>
      </c>
    </row>
    <row r="329" spans="2:78">
      <c r="D329" s="228"/>
      <c r="E329" s="228"/>
      <c r="F329" s="228"/>
      <c r="G329" s="228"/>
      <c r="H329" s="228"/>
      <c r="I329" s="228"/>
      <c r="J329" s="228"/>
      <c r="K329" s="228"/>
      <c r="L329" s="228"/>
      <c r="M329" s="228"/>
      <c r="N329" s="228"/>
      <c r="O329" s="228"/>
      <c r="P329" s="228"/>
      <c r="Q329" s="228"/>
      <c r="R329" s="228"/>
      <c r="S329" s="228"/>
      <c r="T329" s="228"/>
      <c r="AY329" s="475"/>
      <c r="AZ329" s="468">
        <f ca="1">OFFSET(BB329,0,$BB$305)</f>
        <v>56.056056056056057</v>
      </c>
      <c r="BA329" s="313" t="s">
        <v>1592</v>
      </c>
      <c r="BB329" s="472">
        <f t="shared" ref="BB329:BZ329" si="327">((2+1+BB309+1)*8/BB321-4/BB321)*1000</f>
        <v>93.216812317935918</v>
      </c>
      <c r="BC329" s="315">
        <f t="shared" si="327"/>
        <v>79.772079772079778</v>
      </c>
      <c r="BD329" s="315">
        <f t="shared" si="327"/>
        <v>69.912609238451935</v>
      </c>
      <c r="BE329" s="315">
        <f t="shared" si="327"/>
        <v>62.222222222222221</v>
      </c>
      <c r="BF329" s="315">
        <f t="shared" si="327"/>
        <v>56.056056056056057</v>
      </c>
      <c r="BG329" s="315">
        <f t="shared" si="327"/>
        <v>50.835148874364549</v>
      </c>
      <c r="BH329" s="315">
        <f t="shared" si="327"/>
        <v>46.608406158967959</v>
      </c>
      <c r="BI329" s="315">
        <f t="shared" si="327"/>
        <v>43.209876543209873</v>
      </c>
      <c r="BJ329" s="315">
        <f t="shared" si="327"/>
        <v>39.886039886039889</v>
      </c>
      <c r="BK329" s="315">
        <f t="shared" si="327"/>
        <v>37.303490540900611</v>
      </c>
      <c r="BL329" s="315">
        <f t="shared" si="327"/>
        <v>35.035035035035037</v>
      </c>
      <c r="BM329" s="315">
        <f t="shared" si="327"/>
        <v>32.921810699588477</v>
      </c>
      <c r="BN329" s="315">
        <f t="shared" si="327"/>
        <v>31.111111111111111</v>
      </c>
      <c r="BO329" s="315">
        <f t="shared" si="327"/>
        <v>29.46127946127946</v>
      </c>
      <c r="BP329" s="315">
        <f t="shared" si="327"/>
        <v>28.028028028028029</v>
      </c>
      <c r="BQ329" s="315">
        <f t="shared" si="327"/>
        <v>26.727758686521568</v>
      </c>
      <c r="BR329" s="315">
        <f t="shared" si="327"/>
        <v>25.448761645080662</v>
      </c>
      <c r="BS329" s="315">
        <f t="shared" si="327"/>
        <v>24.34359241870979</v>
      </c>
      <c r="BT329" s="315">
        <f t="shared" si="327"/>
        <v>23.356690023356684</v>
      </c>
      <c r="BU329" s="315">
        <f t="shared" si="327"/>
        <v>22.382094324540368</v>
      </c>
      <c r="BV329" s="315">
        <f t="shared" si="327"/>
        <v>21.51529122483479</v>
      </c>
      <c r="BW329" s="315">
        <f t="shared" si="327"/>
        <v>20.74074074074074</v>
      </c>
      <c r="BX329" s="315">
        <f t="shared" si="327"/>
        <v>20.020020020020016</v>
      </c>
      <c r="BY329" s="315">
        <f t="shared" si="327"/>
        <v>19.323671497584542</v>
      </c>
      <c r="BZ329" s="315">
        <f t="shared" si="327"/>
        <v>18.685352018685354</v>
      </c>
    </row>
    <row r="330" spans="2:78">
      <c r="D330" s="228"/>
      <c r="E330" s="228"/>
      <c r="F330" s="228"/>
      <c r="G330" s="228"/>
      <c r="H330" s="228"/>
      <c r="I330" s="228"/>
      <c r="J330" s="228"/>
      <c r="K330" s="228"/>
      <c r="L330" s="228"/>
      <c r="M330" s="228"/>
      <c r="N330" s="228"/>
      <c r="O330" s="228"/>
      <c r="P330" s="228"/>
      <c r="Q330" s="228"/>
      <c r="R330" s="228"/>
      <c r="S330" s="228"/>
      <c r="T330" s="228"/>
      <c r="AY330" s="475"/>
      <c r="AZ330" s="468">
        <f ca="1">OFFSET(BB330,0,$BB$305)</f>
        <v>57.057057057057058</v>
      </c>
      <c r="BA330" s="357" t="s">
        <v>1593</v>
      </c>
      <c r="BB330" s="472">
        <f t="shared" ref="BB330:BZ330" si="328">((2+1+BB309+1)*8/BB321-3.5/BB321)*1000</f>
        <v>94.881398252184781</v>
      </c>
      <c r="BC330" s="315">
        <f t="shared" si="328"/>
        <v>81.196581196581207</v>
      </c>
      <c r="BD330" s="315">
        <f t="shared" si="328"/>
        <v>71.161048689138582</v>
      </c>
      <c r="BE330" s="315">
        <f t="shared" si="328"/>
        <v>63.333333333333336</v>
      </c>
      <c r="BF330" s="315">
        <f t="shared" si="328"/>
        <v>57.057057057057058</v>
      </c>
      <c r="BG330" s="315">
        <f t="shared" si="328"/>
        <v>51.742919389978198</v>
      </c>
      <c r="BH330" s="315">
        <f t="shared" si="328"/>
        <v>47.44069912609239</v>
      </c>
      <c r="BI330" s="315">
        <f t="shared" si="328"/>
        <v>43.981481481481481</v>
      </c>
      <c r="BJ330" s="315">
        <f t="shared" si="328"/>
        <v>40.598290598290603</v>
      </c>
      <c r="BK330" s="315">
        <f t="shared" si="328"/>
        <v>37.969624300559552</v>
      </c>
      <c r="BL330" s="315">
        <f t="shared" si="328"/>
        <v>35.66066066066066</v>
      </c>
      <c r="BM330" s="315">
        <f t="shared" si="328"/>
        <v>33.509700176366842</v>
      </c>
      <c r="BN330" s="315">
        <f t="shared" si="328"/>
        <v>31.666666666666668</v>
      </c>
      <c r="BO330" s="315">
        <f t="shared" si="328"/>
        <v>29.987373737373737</v>
      </c>
      <c r="BP330" s="315">
        <f t="shared" si="328"/>
        <v>28.528528528528529</v>
      </c>
      <c r="BQ330" s="315">
        <f t="shared" si="328"/>
        <v>27.205040091638022</v>
      </c>
      <c r="BR330" s="315">
        <f t="shared" si="328"/>
        <v>25.903203817314246</v>
      </c>
      <c r="BS330" s="315">
        <f t="shared" si="328"/>
        <v>24.778299426186749</v>
      </c>
      <c r="BT330" s="315">
        <f t="shared" si="328"/>
        <v>23.773773773773769</v>
      </c>
      <c r="BU330" s="315">
        <f t="shared" si="328"/>
        <v>22.781774580335732</v>
      </c>
      <c r="BV330" s="315">
        <f t="shared" si="328"/>
        <v>21.899492853849697</v>
      </c>
      <c r="BW330" s="315">
        <f t="shared" si="328"/>
        <v>21.111111111111107</v>
      </c>
      <c r="BX330" s="315">
        <f t="shared" si="328"/>
        <v>20.377520377520376</v>
      </c>
      <c r="BY330" s="315">
        <f t="shared" si="328"/>
        <v>19.668737060041408</v>
      </c>
      <c r="BZ330" s="315">
        <f t="shared" si="328"/>
        <v>19.019019019019019</v>
      </c>
    </row>
    <row r="331" spans="2:78">
      <c r="D331" s="228"/>
      <c r="E331" s="228"/>
      <c r="F331" s="228"/>
      <c r="G331" s="228"/>
      <c r="H331" s="228"/>
      <c r="I331" s="228"/>
      <c r="J331" s="228"/>
      <c r="K331" s="228"/>
      <c r="L331" s="228"/>
      <c r="M331" s="228"/>
      <c r="N331" s="228"/>
      <c r="O331" s="228"/>
      <c r="P331" s="228"/>
      <c r="Q331" s="228"/>
      <c r="R331" s="228"/>
      <c r="S331" s="228"/>
      <c r="T331" s="228"/>
      <c r="AY331" s="475"/>
      <c r="AZ331" s="468"/>
      <c r="BA331" s="476" t="s">
        <v>1600</v>
      </c>
      <c r="BB331" s="477" t="str">
        <f>IF(BB329&gt;=(1/BB321*8*1000*1.1),"OK","NG")</f>
        <v>OK</v>
      </c>
      <c r="BC331" s="477" t="str">
        <f t="shared" ref="BC331:BZ331" si="329">IF(BC329&gt;=(1/BC321*8*1000*1.1),"OK","NG")</f>
        <v>OK</v>
      </c>
      <c r="BD331" s="477" t="str">
        <f t="shared" si="329"/>
        <v>OK</v>
      </c>
      <c r="BE331" s="477" t="str">
        <f t="shared" si="329"/>
        <v>OK</v>
      </c>
      <c r="BF331" s="477" t="str">
        <f t="shared" si="329"/>
        <v>OK</v>
      </c>
      <c r="BG331" s="477" t="str">
        <f t="shared" si="329"/>
        <v>OK</v>
      </c>
      <c r="BH331" s="477" t="str">
        <f t="shared" si="329"/>
        <v>OK</v>
      </c>
      <c r="BI331" s="477" t="str">
        <f t="shared" si="329"/>
        <v>OK</v>
      </c>
      <c r="BJ331" s="477" t="str">
        <f t="shared" si="329"/>
        <v>OK</v>
      </c>
      <c r="BK331" s="477" t="str">
        <f t="shared" si="329"/>
        <v>OK</v>
      </c>
      <c r="BL331" s="477" t="str">
        <f t="shared" si="329"/>
        <v>OK</v>
      </c>
      <c r="BM331" s="477" t="str">
        <f t="shared" si="329"/>
        <v>OK</v>
      </c>
      <c r="BN331" s="477" t="str">
        <f t="shared" si="329"/>
        <v>OK</v>
      </c>
      <c r="BO331" s="477" t="str">
        <f t="shared" si="329"/>
        <v>OK</v>
      </c>
      <c r="BP331" s="477" t="str">
        <f t="shared" si="329"/>
        <v>OK</v>
      </c>
      <c r="BQ331" s="477" t="str">
        <f t="shared" si="329"/>
        <v>OK</v>
      </c>
      <c r="BR331" s="477" t="str">
        <f t="shared" si="329"/>
        <v>OK</v>
      </c>
      <c r="BS331" s="477" t="str">
        <f t="shared" si="329"/>
        <v>OK</v>
      </c>
      <c r="BT331" s="477" t="str">
        <f t="shared" si="329"/>
        <v>OK</v>
      </c>
      <c r="BU331" s="477" t="str">
        <f t="shared" si="329"/>
        <v>OK</v>
      </c>
      <c r="BV331" s="477" t="str">
        <f t="shared" si="329"/>
        <v>OK</v>
      </c>
      <c r="BW331" s="477" t="str">
        <f t="shared" si="329"/>
        <v>OK</v>
      </c>
      <c r="BX331" s="477" t="str">
        <f t="shared" si="329"/>
        <v>OK</v>
      </c>
      <c r="BY331" s="477" t="str">
        <f t="shared" si="329"/>
        <v>OK</v>
      </c>
      <c r="BZ331" s="477" t="str">
        <f t="shared" si="329"/>
        <v>OK</v>
      </c>
    </row>
    <row r="332" spans="2:78">
      <c r="D332" s="228"/>
      <c r="E332" s="228"/>
      <c r="F332" s="228"/>
      <c r="G332" s="228"/>
      <c r="H332" s="228"/>
      <c r="I332" s="228"/>
      <c r="J332" s="228"/>
      <c r="K332" s="228"/>
      <c r="L332" s="228"/>
      <c r="M332" s="228"/>
      <c r="N332" s="228"/>
      <c r="O332" s="228"/>
      <c r="P332" s="228"/>
      <c r="Q332" s="228"/>
      <c r="R332" s="228"/>
      <c r="S332" s="228"/>
      <c r="T332" s="228"/>
      <c r="AY332" s="475"/>
      <c r="AZ332" s="468">
        <f ca="1">OFFSET(BB332,0,$BB$305)</f>
        <v>342.34234234234236</v>
      </c>
      <c r="BA332" s="357" t="s">
        <v>1594</v>
      </c>
      <c r="BB332" s="473">
        <f t="shared" ref="BB332:BZ332" si="330">((BB310+1)*8/BB321+3/BB321)*1000</f>
        <v>356.22138992925511</v>
      </c>
      <c r="BC332" s="473">
        <f t="shared" si="330"/>
        <v>350.42735042735046</v>
      </c>
      <c r="BD332" s="473">
        <f t="shared" si="330"/>
        <v>347.06616729088643</v>
      </c>
      <c r="BE332" s="473">
        <f t="shared" si="330"/>
        <v>344.44444444444446</v>
      </c>
      <c r="BF332" s="473">
        <f t="shared" si="330"/>
        <v>342.34234234234236</v>
      </c>
      <c r="BG332" s="473">
        <f t="shared" si="330"/>
        <v>339.50617283950612</v>
      </c>
      <c r="BH332" s="473">
        <f t="shared" si="330"/>
        <v>337.91094465251768</v>
      </c>
      <c r="BI332" s="473">
        <f t="shared" si="330"/>
        <v>337.96296296296299</v>
      </c>
      <c r="BJ332" s="473">
        <f t="shared" si="330"/>
        <v>334.7578347578347</v>
      </c>
      <c r="BK332" s="473">
        <f t="shared" si="330"/>
        <v>334.39914734878761</v>
      </c>
      <c r="BL332" s="473">
        <f t="shared" si="330"/>
        <v>334.08408408408405</v>
      </c>
      <c r="BM332" s="473">
        <f t="shared" si="330"/>
        <v>332.74544385655497</v>
      </c>
      <c r="BN332" s="473">
        <f t="shared" si="330"/>
        <v>332.22222222222223</v>
      </c>
      <c r="BO332" s="473">
        <f t="shared" si="330"/>
        <v>331.43939393939388</v>
      </c>
      <c r="BP332" s="473">
        <f t="shared" si="330"/>
        <v>331.33133133133128</v>
      </c>
      <c r="BQ332" s="473">
        <f t="shared" si="330"/>
        <v>331.23329515082088</v>
      </c>
      <c r="BR332" s="473">
        <f t="shared" si="330"/>
        <v>337.19609179731879</v>
      </c>
      <c r="BS332" s="473">
        <f t="shared" si="330"/>
        <v>336.46322378716741</v>
      </c>
      <c r="BT332" s="473">
        <f t="shared" si="330"/>
        <v>336.1695028361695</v>
      </c>
      <c r="BU332" s="473">
        <f t="shared" si="330"/>
        <v>334.93205435651481</v>
      </c>
      <c r="BV332" s="473">
        <f t="shared" si="330"/>
        <v>334.25541724296909</v>
      </c>
      <c r="BW332" s="473">
        <f t="shared" si="330"/>
        <v>334.07407407407408</v>
      </c>
      <c r="BX332" s="473">
        <f t="shared" si="330"/>
        <v>333.90533390533386</v>
      </c>
      <c r="BY332" s="473">
        <f t="shared" si="330"/>
        <v>333.33333333333331</v>
      </c>
      <c r="BZ332" s="473">
        <f t="shared" si="330"/>
        <v>332.99966633299965</v>
      </c>
    </row>
    <row r="333" spans="2:78">
      <c r="D333" s="228"/>
      <c r="E333" s="228"/>
      <c r="F333" s="228"/>
      <c r="G333" s="228"/>
      <c r="H333" s="228"/>
      <c r="I333" s="228"/>
      <c r="J333" s="228"/>
      <c r="K333" s="228"/>
      <c r="L333" s="228"/>
      <c r="M333" s="228"/>
      <c r="N333" s="228"/>
      <c r="O333" s="228"/>
      <c r="P333" s="228"/>
      <c r="Q333" s="228"/>
      <c r="R333" s="228"/>
      <c r="S333" s="228"/>
      <c r="T333" s="228"/>
      <c r="AY333" s="475"/>
      <c r="AZ333" s="468">
        <f ca="1">OFFSET(BB333,0,$BB$305)</f>
        <v>344.34434434434434</v>
      </c>
      <c r="BA333" s="357" t="s">
        <v>1608</v>
      </c>
      <c r="BB333" s="473">
        <f t="shared" ref="BB333:BZ333" si="331">((BB310+1)*8/BB321+4/BB321)*1000</f>
        <v>359.55056179775278</v>
      </c>
      <c r="BC333" s="473">
        <f t="shared" si="331"/>
        <v>353.27635327635323</v>
      </c>
      <c r="BD333" s="473">
        <f t="shared" si="331"/>
        <v>349.56304619225972</v>
      </c>
      <c r="BE333" s="473">
        <f t="shared" si="331"/>
        <v>346.66666666666669</v>
      </c>
      <c r="BF333" s="473">
        <f t="shared" si="331"/>
        <v>344.34434434434434</v>
      </c>
      <c r="BG333" s="473">
        <f t="shared" si="331"/>
        <v>341.32171387073339</v>
      </c>
      <c r="BH333" s="473">
        <f t="shared" si="331"/>
        <v>339.57553058676655</v>
      </c>
      <c r="BI333" s="473">
        <f t="shared" si="331"/>
        <v>339.50617283950612</v>
      </c>
      <c r="BJ333" s="473">
        <f t="shared" si="331"/>
        <v>336.18233618233614</v>
      </c>
      <c r="BK333" s="473">
        <f t="shared" si="331"/>
        <v>335.7314148681055</v>
      </c>
      <c r="BL333" s="473">
        <f t="shared" si="331"/>
        <v>335.33533533533534</v>
      </c>
      <c r="BM333" s="473">
        <f t="shared" si="331"/>
        <v>333.92122281011171</v>
      </c>
      <c r="BN333" s="473">
        <f t="shared" si="331"/>
        <v>333.33333333333331</v>
      </c>
      <c r="BO333" s="473">
        <f t="shared" si="331"/>
        <v>332.49158249158245</v>
      </c>
      <c r="BP333" s="473">
        <f t="shared" si="331"/>
        <v>332.33233233233233</v>
      </c>
      <c r="BQ333" s="473">
        <f t="shared" si="331"/>
        <v>332.18785796105385</v>
      </c>
      <c r="BR333" s="473">
        <f t="shared" si="331"/>
        <v>338.10497614178593</v>
      </c>
      <c r="BS333" s="473">
        <f t="shared" si="331"/>
        <v>337.33263780212138</v>
      </c>
      <c r="BT333" s="473">
        <f t="shared" si="331"/>
        <v>337.0036703370036</v>
      </c>
      <c r="BU333" s="473">
        <f t="shared" si="331"/>
        <v>335.73141486810556</v>
      </c>
      <c r="BV333" s="473">
        <f t="shared" si="331"/>
        <v>335.02382050099891</v>
      </c>
      <c r="BW333" s="473">
        <f t="shared" si="331"/>
        <v>334.81481481481478</v>
      </c>
      <c r="BX333" s="473">
        <f t="shared" si="331"/>
        <v>334.62033462033457</v>
      </c>
      <c r="BY333" s="473">
        <f t="shared" si="331"/>
        <v>334.02346445824702</v>
      </c>
      <c r="BZ333" s="473">
        <f t="shared" si="331"/>
        <v>333.66700033366698</v>
      </c>
    </row>
    <row r="334" spans="2:78">
      <c r="D334" s="228"/>
      <c r="E334" s="228"/>
      <c r="F334" s="228"/>
      <c r="G334" s="228"/>
      <c r="H334" s="228"/>
      <c r="I334" s="228"/>
      <c r="J334" s="228"/>
      <c r="K334" s="228"/>
      <c r="L334" s="228"/>
      <c r="M334" s="228"/>
      <c r="N334" s="228"/>
      <c r="O334" s="228"/>
      <c r="P334" s="228"/>
      <c r="Q334" s="228"/>
      <c r="R334" s="228"/>
      <c r="S334" s="228"/>
      <c r="T334" s="228"/>
      <c r="AY334" s="475"/>
      <c r="AZ334" s="468"/>
      <c r="BA334" s="476" t="s">
        <v>1609</v>
      </c>
      <c r="BB334" s="477" t="str">
        <f>IF(BB332&gt;=(300*1.1),"OK","NG")</f>
        <v>OK</v>
      </c>
      <c r="BC334" s="477" t="str">
        <f t="shared" ref="BC334:BZ334" si="332">IF(BC332&gt;=(300*1.1),"OK","NG")</f>
        <v>OK</v>
      </c>
      <c r="BD334" s="477" t="str">
        <f t="shared" si="332"/>
        <v>OK</v>
      </c>
      <c r="BE334" s="477" t="str">
        <f t="shared" si="332"/>
        <v>OK</v>
      </c>
      <c r="BF334" s="477" t="str">
        <f t="shared" si="332"/>
        <v>OK</v>
      </c>
      <c r="BG334" s="477" t="str">
        <f t="shared" si="332"/>
        <v>OK</v>
      </c>
      <c r="BH334" s="477" t="str">
        <f t="shared" si="332"/>
        <v>OK</v>
      </c>
      <c r="BI334" s="477" t="str">
        <f t="shared" si="332"/>
        <v>OK</v>
      </c>
      <c r="BJ334" s="477" t="str">
        <f t="shared" si="332"/>
        <v>OK</v>
      </c>
      <c r="BK334" s="477" t="str">
        <f t="shared" si="332"/>
        <v>OK</v>
      </c>
      <c r="BL334" s="477" t="str">
        <f t="shared" si="332"/>
        <v>OK</v>
      </c>
      <c r="BM334" s="477" t="str">
        <f t="shared" si="332"/>
        <v>OK</v>
      </c>
      <c r="BN334" s="477" t="str">
        <f t="shared" si="332"/>
        <v>OK</v>
      </c>
      <c r="BO334" s="477" t="str">
        <f t="shared" si="332"/>
        <v>OK</v>
      </c>
      <c r="BP334" s="477" t="str">
        <f t="shared" si="332"/>
        <v>OK</v>
      </c>
      <c r="BQ334" s="477" t="str">
        <f t="shared" si="332"/>
        <v>OK</v>
      </c>
      <c r="BR334" s="477" t="str">
        <f t="shared" si="332"/>
        <v>OK</v>
      </c>
      <c r="BS334" s="477" t="str">
        <f t="shared" si="332"/>
        <v>OK</v>
      </c>
      <c r="BT334" s="477" t="str">
        <f t="shared" si="332"/>
        <v>OK</v>
      </c>
      <c r="BU334" s="477" t="str">
        <f t="shared" si="332"/>
        <v>OK</v>
      </c>
      <c r="BV334" s="477" t="str">
        <f t="shared" si="332"/>
        <v>OK</v>
      </c>
      <c r="BW334" s="477" t="str">
        <f t="shared" si="332"/>
        <v>OK</v>
      </c>
      <c r="BX334" s="477" t="str">
        <f t="shared" si="332"/>
        <v>OK</v>
      </c>
      <c r="BY334" s="477" t="str">
        <f t="shared" si="332"/>
        <v>OK</v>
      </c>
      <c r="BZ334" s="477" t="str">
        <f t="shared" si="332"/>
        <v>OK</v>
      </c>
    </row>
    <row r="335" spans="2:78">
      <c r="D335" s="228"/>
      <c r="E335" s="228"/>
      <c r="F335" s="228"/>
      <c r="G335" s="228"/>
      <c r="H335" s="228"/>
      <c r="I335" s="228"/>
      <c r="J335" s="228"/>
      <c r="K335" s="228"/>
      <c r="L335" s="228"/>
      <c r="M335" s="228"/>
      <c r="N335" s="228"/>
      <c r="O335" s="228"/>
      <c r="P335" s="228"/>
      <c r="Q335" s="228"/>
      <c r="R335" s="228"/>
      <c r="S335" s="228"/>
      <c r="T335" s="228"/>
      <c r="AZ335" s="468">
        <f ca="1">OFFSET(BB335,0,$BB$305)</f>
        <v>74.074074074074076</v>
      </c>
      <c r="BA335" s="357" t="s">
        <v>1597</v>
      </c>
      <c r="BB335" s="472">
        <f t="shared" ref="BB335:BZ335" si="333">((BB311+3)*8/BB321-3/BB321)*1000</f>
        <v>69.912609238451935</v>
      </c>
      <c r="BC335" s="472">
        <f t="shared" si="333"/>
        <v>82.621082621082621</v>
      </c>
      <c r="BD335" s="472">
        <f t="shared" si="333"/>
        <v>72.409488139825214</v>
      </c>
      <c r="BE335" s="472">
        <f t="shared" si="333"/>
        <v>82.222222222222229</v>
      </c>
      <c r="BF335" s="472">
        <f t="shared" si="333"/>
        <v>74.074074074074076</v>
      </c>
      <c r="BG335" s="472">
        <f t="shared" si="333"/>
        <v>67.175018155410299</v>
      </c>
      <c r="BH335" s="472">
        <f t="shared" si="333"/>
        <v>74.906367041198507</v>
      </c>
      <c r="BI335" s="472">
        <f t="shared" si="333"/>
        <v>69.444444444444443</v>
      </c>
      <c r="BJ335" s="472">
        <f t="shared" si="333"/>
        <v>75.498575498575505</v>
      </c>
      <c r="BK335" s="472">
        <f t="shared" si="333"/>
        <v>70.61017852384758</v>
      </c>
      <c r="BL335" s="472">
        <f t="shared" si="333"/>
        <v>76.326326326326324</v>
      </c>
      <c r="BM335" s="472">
        <f t="shared" si="333"/>
        <v>71.722516166960617</v>
      </c>
      <c r="BN335" s="472">
        <f t="shared" si="333"/>
        <v>76.666666666666671</v>
      </c>
      <c r="BO335" s="472">
        <f t="shared" si="333"/>
        <v>72.60101010101009</v>
      </c>
      <c r="BP335" s="472">
        <f t="shared" si="333"/>
        <v>77.077077077077078</v>
      </c>
      <c r="BQ335" s="472">
        <f t="shared" si="333"/>
        <v>73.501336387934316</v>
      </c>
      <c r="BR335" s="472">
        <f t="shared" si="333"/>
        <v>69.98409452397182</v>
      </c>
      <c r="BS335" s="472">
        <f t="shared" si="333"/>
        <v>66.944879151451914</v>
      </c>
      <c r="BT335" s="472">
        <f t="shared" si="333"/>
        <v>70.904237570904215</v>
      </c>
      <c r="BU335" s="472">
        <f t="shared" si="333"/>
        <v>67.945643485211832</v>
      </c>
      <c r="BV335" s="472">
        <f t="shared" si="333"/>
        <v>71.461502996772708</v>
      </c>
      <c r="BW335" s="472">
        <f t="shared" si="333"/>
        <v>68.888888888888886</v>
      </c>
      <c r="BX335" s="472">
        <f t="shared" si="333"/>
        <v>66.495066495066496</v>
      </c>
      <c r="BY335" s="472">
        <f t="shared" si="333"/>
        <v>69.703243616287082</v>
      </c>
      <c r="BZ335" s="472">
        <f t="shared" si="333"/>
        <v>67.400734067400748</v>
      </c>
    </row>
    <row r="336" spans="2:78">
      <c r="D336" s="228"/>
      <c r="E336" s="228"/>
      <c r="F336" s="228"/>
      <c r="G336" s="228"/>
      <c r="H336" s="228"/>
      <c r="I336" s="228"/>
      <c r="J336" s="228"/>
      <c r="K336" s="228"/>
      <c r="L336" s="228"/>
      <c r="M336" s="228"/>
      <c r="N336" s="228"/>
      <c r="O336" s="228"/>
      <c r="P336" s="228"/>
      <c r="Q336" s="228"/>
      <c r="R336" s="228"/>
      <c r="S336" s="228"/>
      <c r="T336" s="228"/>
      <c r="AZ336" s="468">
        <f ca="1">OFFSET(BB336,0,$BB$305)</f>
        <v>76.076076076076077</v>
      </c>
      <c r="BA336" s="357" t="s">
        <v>1610</v>
      </c>
      <c r="BB336" s="472">
        <f t="shared" ref="BB336:BZ336" si="334">((BB311+3)*8/BB321-2/BB321)*1000</f>
        <v>73.241781106949645</v>
      </c>
      <c r="BC336" s="472">
        <f t="shared" si="334"/>
        <v>85.470085470085465</v>
      </c>
      <c r="BD336" s="472">
        <f t="shared" si="334"/>
        <v>74.906367041198507</v>
      </c>
      <c r="BE336" s="472">
        <f t="shared" si="334"/>
        <v>84.444444444444443</v>
      </c>
      <c r="BF336" s="472">
        <f t="shared" si="334"/>
        <v>76.076076076076077</v>
      </c>
      <c r="BG336" s="472">
        <f t="shared" si="334"/>
        <v>68.990559186637611</v>
      </c>
      <c r="BH336" s="472">
        <f t="shared" si="334"/>
        <v>76.570952975447355</v>
      </c>
      <c r="BI336" s="472">
        <f t="shared" si="334"/>
        <v>70.987654320987644</v>
      </c>
      <c r="BJ336" s="472">
        <f t="shared" si="334"/>
        <v>76.923076923076934</v>
      </c>
      <c r="BK336" s="472">
        <f t="shared" si="334"/>
        <v>71.942446043165461</v>
      </c>
      <c r="BL336" s="472">
        <f t="shared" si="334"/>
        <v>77.577577577577571</v>
      </c>
      <c r="BM336" s="472">
        <f t="shared" si="334"/>
        <v>72.898295120517346</v>
      </c>
      <c r="BN336" s="472">
        <f t="shared" si="334"/>
        <v>77.777777777777786</v>
      </c>
      <c r="BO336" s="472">
        <f t="shared" si="334"/>
        <v>73.653198653198643</v>
      </c>
      <c r="BP336" s="472">
        <f t="shared" si="334"/>
        <v>78.078078078078079</v>
      </c>
      <c r="BQ336" s="472">
        <f t="shared" si="334"/>
        <v>74.455899198167231</v>
      </c>
      <c r="BR336" s="472">
        <f t="shared" si="334"/>
        <v>70.892978868438988</v>
      </c>
      <c r="BS336" s="472">
        <f t="shared" si="334"/>
        <v>67.814293166405847</v>
      </c>
      <c r="BT336" s="472">
        <f t="shared" si="334"/>
        <v>71.738405071738384</v>
      </c>
      <c r="BU336" s="472">
        <f t="shared" si="334"/>
        <v>68.745003996802552</v>
      </c>
      <c r="BV336" s="472">
        <f t="shared" si="334"/>
        <v>72.229906254802529</v>
      </c>
      <c r="BW336" s="472">
        <f t="shared" si="334"/>
        <v>69.629629629629619</v>
      </c>
      <c r="BX336" s="472">
        <f t="shared" si="334"/>
        <v>67.210067210067209</v>
      </c>
      <c r="BY336" s="472">
        <f t="shared" si="334"/>
        <v>70.393374741200816</v>
      </c>
      <c r="BZ336" s="472">
        <f t="shared" si="334"/>
        <v>68.068068068068072</v>
      </c>
    </row>
    <row r="337" spans="4:78">
      <c r="D337" s="228"/>
      <c r="E337" s="228"/>
      <c r="F337" s="228"/>
      <c r="G337" s="228"/>
      <c r="H337" s="228"/>
      <c r="I337" s="228"/>
      <c r="J337" s="228"/>
      <c r="K337" s="228"/>
      <c r="L337" s="228"/>
      <c r="M337" s="228"/>
      <c r="N337" s="228"/>
      <c r="O337" s="228"/>
      <c r="P337" s="228"/>
      <c r="Q337" s="228"/>
      <c r="R337" s="228"/>
      <c r="S337" s="228"/>
      <c r="T337" s="228"/>
      <c r="AZ337" s="468"/>
      <c r="BA337" s="476" t="s">
        <v>1611</v>
      </c>
      <c r="BB337" s="477" t="str">
        <f>IF(AND(BB335&gt;=(60*1.1),BB336&lt;=(105+12/BB321*1000)*0.9),"OK","NG")</f>
        <v>OK</v>
      </c>
      <c r="BC337" s="477" t="str">
        <f t="shared" ref="BC337:BZ337" si="335">IF(AND(BC335&gt;=(60*1.1),BC336&lt;=(105+12/BC321*1000)*0.9),"OK","NG")</f>
        <v>OK</v>
      </c>
      <c r="BD337" s="477" t="str">
        <f t="shared" si="335"/>
        <v>OK</v>
      </c>
      <c r="BE337" s="477" t="str">
        <f t="shared" si="335"/>
        <v>OK</v>
      </c>
      <c r="BF337" s="477" t="str">
        <f t="shared" si="335"/>
        <v>OK</v>
      </c>
      <c r="BG337" s="477" t="str">
        <f t="shared" si="335"/>
        <v>OK</v>
      </c>
      <c r="BH337" s="477" t="str">
        <f t="shared" si="335"/>
        <v>OK</v>
      </c>
      <c r="BI337" s="477" t="str">
        <f t="shared" si="335"/>
        <v>OK</v>
      </c>
      <c r="BJ337" s="477" t="str">
        <f t="shared" si="335"/>
        <v>OK</v>
      </c>
      <c r="BK337" s="477" t="str">
        <f t="shared" si="335"/>
        <v>OK</v>
      </c>
      <c r="BL337" s="477" t="str">
        <f t="shared" si="335"/>
        <v>OK</v>
      </c>
      <c r="BM337" s="477" t="str">
        <f t="shared" si="335"/>
        <v>OK</v>
      </c>
      <c r="BN337" s="477" t="str">
        <f t="shared" si="335"/>
        <v>OK</v>
      </c>
      <c r="BO337" s="477" t="str">
        <f t="shared" si="335"/>
        <v>OK</v>
      </c>
      <c r="BP337" s="477" t="str">
        <f t="shared" si="335"/>
        <v>OK</v>
      </c>
      <c r="BQ337" s="477" t="str">
        <f t="shared" si="335"/>
        <v>OK</v>
      </c>
      <c r="BR337" s="477" t="str">
        <f t="shared" si="335"/>
        <v>OK</v>
      </c>
      <c r="BS337" s="477" t="str">
        <f t="shared" si="335"/>
        <v>OK</v>
      </c>
      <c r="BT337" s="477" t="str">
        <f t="shared" si="335"/>
        <v>OK</v>
      </c>
      <c r="BU337" s="477" t="str">
        <f t="shared" si="335"/>
        <v>OK</v>
      </c>
      <c r="BV337" s="477" t="str">
        <f t="shared" si="335"/>
        <v>OK</v>
      </c>
      <c r="BW337" s="477" t="str">
        <f t="shared" si="335"/>
        <v>OK</v>
      </c>
      <c r="BX337" s="477" t="str">
        <f t="shared" si="335"/>
        <v>OK</v>
      </c>
      <c r="BY337" s="477" t="str">
        <f t="shared" si="335"/>
        <v>OK</v>
      </c>
      <c r="BZ337" s="477" t="str">
        <f t="shared" si="335"/>
        <v>OK</v>
      </c>
    </row>
    <row r="338" spans="4:78">
      <c r="D338" s="228"/>
      <c r="E338" s="228"/>
      <c r="F338" s="228"/>
      <c r="G338" s="228"/>
      <c r="H338" s="228"/>
      <c r="I338" s="228"/>
      <c r="J338" s="228"/>
      <c r="K338" s="228"/>
      <c r="L338" s="228"/>
      <c r="M338" s="228"/>
      <c r="N338" s="228"/>
      <c r="O338" s="228"/>
      <c r="P338" s="228"/>
      <c r="Q338" s="228"/>
      <c r="R338" s="228"/>
      <c r="S338" s="228"/>
      <c r="T338" s="228"/>
      <c r="AY338" s="475"/>
      <c r="AZ338" s="468">
        <f ca="1">OFFSET(BB338,0,$BB$305)</f>
        <v>112.11211211211211</v>
      </c>
      <c r="BA338" s="313" t="s">
        <v>923</v>
      </c>
      <c r="BB338" s="472">
        <f t="shared" ref="BB338:BZ338" si="336">(8/BB$321)*(BB312+1)*1000</f>
        <v>133.16687473990845</v>
      </c>
      <c r="BC338" s="472">
        <f t="shared" si="336"/>
        <v>113.96011396011396</v>
      </c>
      <c r="BD338" s="472">
        <f t="shared" si="336"/>
        <v>119.8501872659176</v>
      </c>
      <c r="BE338" s="472">
        <f t="shared" si="336"/>
        <v>124.44444444444444</v>
      </c>
      <c r="BF338" s="472">
        <f t="shared" si="336"/>
        <v>112.11211211211211</v>
      </c>
      <c r="BG338" s="472">
        <f t="shared" si="336"/>
        <v>116.19462599854755</v>
      </c>
      <c r="BH338" s="472">
        <f t="shared" si="336"/>
        <v>119.8501872659176</v>
      </c>
      <c r="BI338" s="472">
        <f t="shared" si="336"/>
        <v>111.1111111111111</v>
      </c>
      <c r="BJ338" s="472">
        <f t="shared" si="336"/>
        <v>113.96011396011396</v>
      </c>
      <c r="BK338" s="472">
        <f t="shared" si="336"/>
        <v>117.23954169997334</v>
      </c>
      <c r="BL338" s="472">
        <f t="shared" si="336"/>
        <v>150.15015015015015</v>
      </c>
      <c r="BM338" s="472">
        <f t="shared" si="336"/>
        <v>112.8747795414462</v>
      </c>
      <c r="BN338" s="472">
        <f t="shared" si="336"/>
        <v>142.22222222222223</v>
      </c>
      <c r="BO338" s="472">
        <f t="shared" si="336"/>
        <v>117.84511784511784</v>
      </c>
      <c r="BP338" s="472">
        <f t="shared" si="336"/>
        <v>144.14414414414415</v>
      </c>
      <c r="BQ338" s="472">
        <f t="shared" si="336"/>
        <v>114.54753722794958</v>
      </c>
      <c r="BR338" s="472">
        <f t="shared" si="336"/>
        <v>116.33719609179732</v>
      </c>
      <c r="BS338" s="472">
        <f t="shared" si="336"/>
        <v>111.28499391410189</v>
      </c>
      <c r="BT338" s="472">
        <f t="shared" si="336"/>
        <v>113.44678011344676</v>
      </c>
      <c r="BU338" s="472">
        <f t="shared" si="336"/>
        <v>115.10791366906474</v>
      </c>
      <c r="BV338" s="472">
        <f t="shared" si="336"/>
        <v>110.6500691562932</v>
      </c>
      <c r="BW338" s="472">
        <f t="shared" si="336"/>
        <v>112.5925925925926</v>
      </c>
      <c r="BX338" s="472">
        <f t="shared" si="336"/>
        <v>114.40011440011439</v>
      </c>
      <c r="BY338" s="472">
        <f t="shared" si="336"/>
        <v>110.42097998619738</v>
      </c>
      <c r="BZ338" s="472">
        <f t="shared" si="336"/>
        <v>112.11211211211211</v>
      </c>
    </row>
    <row r="339" spans="4:78">
      <c r="D339" s="228"/>
      <c r="E339" s="228"/>
      <c r="F339" s="228"/>
      <c r="G339" s="228"/>
      <c r="H339" s="228"/>
      <c r="I339" s="228"/>
      <c r="J339" s="228"/>
      <c r="K339" s="228"/>
      <c r="L339" s="228"/>
      <c r="M339" s="228"/>
      <c r="N339" s="228"/>
      <c r="O339" s="228"/>
      <c r="P339" s="228"/>
      <c r="Q339" s="228"/>
      <c r="R339" s="228"/>
      <c r="S339" s="228"/>
      <c r="T339" s="228"/>
      <c r="AY339" s="475"/>
      <c r="AZ339" s="468"/>
      <c r="BA339" s="476" t="s">
        <v>1612</v>
      </c>
      <c r="BB339" s="477" t="str">
        <f>IF(BB338&gt;=(100*1.1),"OK","NG")</f>
        <v>OK</v>
      </c>
      <c r="BC339" s="477" t="str">
        <f t="shared" ref="BC339:BZ339" si="337">IF(BC338&gt;=(100*1.1),"OK","NG")</f>
        <v>OK</v>
      </c>
      <c r="BD339" s="477" t="str">
        <f t="shared" si="337"/>
        <v>OK</v>
      </c>
      <c r="BE339" s="477" t="str">
        <f t="shared" si="337"/>
        <v>OK</v>
      </c>
      <c r="BF339" s="477" t="str">
        <f t="shared" si="337"/>
        <v>OK</v>
      </c>
      <c r="BG339" s="477" t="str">
        <f t="shared" si="337"/>
        <v>OK</v>
      </c>
      <c r="BH339" s="477" t="str">
        <f t="shared" si="337"/>
        <v>OK</v>
      </c>
      <c r="BI339" s="477" t="str">
        <f t="shared" si="337"/>
        <v>OK</v>
      </c>
      <c r="BJ339" s="477" t="str">
        <f t="shared" si="337"/>
        <v>OK</v>
      </c>
      <c r="BK339" s="477" t="str">
        <f t="shared" si="337"/>
        <v>OK</v>
      </c>
      <c r="BL339" s="477" t="str">
        <f t="shared" si="337"/>
        <v>OK</v>
      </c>
      <c r="BM339" s="477" t="str">
        <f t="shared" si="337"/>
        <v>OK</v>
      </c>
      <c r="BN339" s="477" t="str">
        <f t="shared" si="337"/>
        <v>OK</v>
      </c>
      <c r="BO339" s="477" t="str">
        <f t="shared" si="337"/>
        <v>OK</v>
      </c>
      <c r="BP339" s="477" t="str">
        <f t="shared" si="337"/>
        <v>OK</v>
      </c>
      <c r="BQ339" s="477" t="str">
        <f t="shared" si="337"/>
        <v>OK</v>
      </c>
      <c r="BR339" s="477" t="str">
        <f t="shared" si="337"/>
        <v>OK</v>
      </c>
      <c r="BS339" s="477" t="str">
        <f t="shared" si="337"/>
        <v>OK</v>
      </c>
      <c r="BT339" s="477" t="str">
        <f t="shared" si="337"/>
        <v>OK</v>
      </c>
      <c r="BU339" s="477" t="str">
        <f t="shared" si="337"/>
        <v>OK</v>
      </c>
      <c r="BV339" s="477" t="str">
        <f t="shared" si="337"/>
        <v>OK</v>
      </c>
      <c r="BW339" s="477" t="str">
        <f t="shared" si="337"/>
        <v>OK</v>
      </c>
      <c r="BX339" s="477" t="str">
        <f t="shared" si="337"/>
        <v>OK</v>
      </c>
      <c r="BY339" s="477" t="str">
        <f t="shared" si="337"/>
        <v>OK</v>
      </c>
      <c r="BZ339" s="477" t="str">
        <f t="shared" si="337"/>
        <v>OK</v>
      </c>
    </row>
    <row r="340" spans="4:78">
      <c r="D340" s="228"/>
      <c r="E340" s="228"/>
      <c r="F340" s="228"/>
      <c r="G340" s="228"/>
      <c r="H340" s="228"/>
      <c r="I340" s="228"/>
      <c r="J340" s="228"/>
      <c r="K340" s="228"/>
      <c r="L340" s="228"/>
      <c r="M340" s="228"/>
      <c r="N340" s="228"/>
      <c r="O340" s="228"/>
      <c r="P340" s="228"/>
      <c r="Q340" s="228"/>
      <c r="R340" s="228"/>
      <c r="S340" s="228"/>
      <c r="T340" s="228"/>
      <c r="AZ340" s="468">
        <f ca="1">OFFSET(BB340,0,$BB$305)</f>
        <v>64.06406406406407</v>
      </c>
      <c r="BA340" s="313" t="s">
        <v>1613</v>
      </c>
      <c r="BB340" s="472">
        <f t="shared" ref="BB340:BZ340" si="338">(8/BB$321)*(BB313+1)*1000</f>
        <v>79.900124843945065</v>
      </c>
      <c r="BC340" s="472">
        <f t="shared" si="338"/>
        <v>68.376068376068389</v>
      </c>
      <c r="BD340" s="472">
        <f t="shared" si="338"/>
        <v>59.925093632958799</v>
      </c>
      <c r="BE340" s="472">
        <f t="shared" si="338"/>
        <v>71.111111111111114</v>
      </c>
      <c r="BF340" s="472">
        <f t="shared" si="338"/>
        <v>64.06406406406407</v>
      </c>
      <c r="BG340" s="472">
        <f t="shared" si="338"/>
        <v>72.621641249092221</v>
      </c>
      <c r="BH340" s="472">
        <f t="shared" si="338"/>
        <v>66.583437369954225</v>
      </c>
      <c r="BI340" s="472">
        <f t="shared" si="338"/>
        <v>74.074074074074076</v>
      </c>
      <c r="BJ340" s="472">
        <f t="shared" si="338"/>
        <v>68.376068376068389</v>
      </c>
      <c r="BK340" s="472">
        <f t="shared" si="338"/>
        <v>74.606981081801223</v>
      </c>
      <c r="BL340" s="472">
        <f t="shared" si="338"/>
        <v>70.070070070070074</v>
      </c>
      <c r="BM340" s="472">
        <f t="shared" si="338"/>
        <v>75.249853027630806</v>
      </c>
      <c r="BN340" s="472">
        <f t="shared" si="338"/>
        <v>71.111111111111114</v>
      </c>
      <c r="BO340" s="472">
        <f t="shared" si="338"/>
        <v>67.340067340067336</v>
      </c>
      <c r="BP340" s="472">
        <f t="shared" si="338"/>
        <v>64.06406406406407</v>
      </c>
      <c r="BQ340" s="472">
        <f t="shared" si="338"/>
        <v>61.092019854906439</v>
      </c>
      <c r="BR340" s="472">
        <f t="shared" si="338"/>
        <v>65.439672801635993</v>
      </c>
      <c r="BS340" s="472">
        <f t="shared" si="338"/>
        <v>62.597809076682317</v>
      </c>
      <c r="BT340" s="472">
        <f t="shared" si="338"/>
        <v>60.060060060060053</v>
      </c>
      <c r="BU340" s="472">
        <f t="shared" si="338"/>
        <v>63.948840927258196</v>
      </c>
      <c r="BV340" s="472">
        <f t="shared" si="338"/>
        <v>61.472260642385116</v>
      </c>
      <c r="BW340" s="472">
        <f t="shared" si="338"/>
        <v>59.259259259259252</v>
      </c>
      <c r="BX340" s="472">
        <f t="shared" si="338"/>
        <v>62.920062920062911</v>
      </c>
      <c r="BY340" s="472">
        <f t="shared" si="338"/>
        <v>60.731538992408559</v>
      </c>
      <c r="BZ340" s="472">
        <f t="shared" si="338"/>
        <v>64.06406406406407</v>
      </c>
    </row>
    <row r="341" spans="4:78">
      <c r="D341" s="228"/>
      <c r="E341" s="228"/>
      <c r="F341" s="228"/>
      <c r="G341" s="228"/>
      <c r="H341" s="228"/>
      <c r="I341" s="228"/>
      <c r="J341" s="228"/>
      <c r="K341" s="228"/>
      <c r="L341" s="228"/>
      <c r="M341" s="228"/>
      <c r="N341" s="228"/>
      <c r="O341" s="228"/>
      <c r="P341" s="228"/>
      <c r="Q341" s="228"/>
      <c r="R341" s="228"/>
      <c r="S341" s="228"/>
      <c r="T341" s="228"/>
      <c r="AZ341" s="468"/>
      <c r="BA341" s="476" t="s">
        <v>1614</v>
      </c>
      <c r="BB341" s="477" t="str">
        <f>IF(AND(BB340&gt;=(40+4/BB321*1000)*1.1,BB340&lt;=(85+6/BB321*1000)*0.9),"OK","NG")</f>
        <v>OK</v>
      </c>
      <c r="BC341" s="477" t="str">
        <f t="shared" ref="BC341:BZ341" si="339">IF(AND(BC340&gt;=(40+4/BC321*1000)*1.1,BC340&lt;=(85+6/BC321*1000)*0.9),"OK","NG")</f>
        <v>OK</v>
      </c>
      <c r="BD341" s="477" t="str">
        <f t="shared" si="339"/>
        <v>OK</v>
      </c>
      <c r="BE341" s="477" t="str">
        <f t="shared" si="339"/>
        <v>OK</v>
      </c>
      <c r="BF341" s="477" t="str">
        <f t="shared" si="339"/>
        <v>OK</v>
      </c>
      <c r="BG341" s="477" t="str">
        <f t="shared" si="339"/>
        <v>OK</v>
      </c>
      <c r="BH341" s="477" t="str">
        <f t="shared" si="339"/>
        <v>OK</v>
      </c>
      <c r="BI341" s="477" t="str">
        <f t="shared" si="339"/>
        <v>OK</v>
      </c>
      <c r="BJ341" s="477" t="str">
        <f t="shared" si="339"/>
        <v>OK</v>
      </c>
      <c r="BK341" s="477" t="str">
        <f t="shared" si="339"/>
        <v>OK</v>
      </c>
      <c r="BL341" s="477" t="str">
        <f t="shared" si="339"/>
        <v>OK</v>
      </c>
      <c r="BM341" s="477" t="str">
        <f t="shared" si="339"/>
        <v>OK</v>
      </c>
      <c r="BN341" s="477" t="str">
        <f t="shared" si="339"/>
        <v>OK</v>
      </c>
      <c r="BO341" s="477" t="str">
        <f t="shared" si="339"/>
        <v>OK</v>
      </c>
      <c r="BP341" s="477" t="str">
        <f t="shared" si="339"/>
        <v>OK</v>
      </c>
      <c r="BQ341" s="477" t="str">
        <f t="shared" si="339"/>
        <v>OK</v>
      </c>
      <c r="BR341" s="477" t="str">
        <f t="shared" si="339"/>
        <v>OK</v>
      </c>
      <c r="BS341" s="477" t="str">
        <f t="shared" si="339"/>
        <v>OK</v>
      </c>
      <c r="BT341" s="477" t="str">
        <f t="shared" si="339"/>
        <v>OK</v>
      </c>
      <c r="BU341" s="477" t="str">
        <f t="shared" si="339"/>
        <v>OK</v>
      </c>
      <c r="BV341" s="477" t="str">
        <f t="shared" si="339"/>
        <v>OK</v>
      </c>
      <c r="BW341" s="477" t="str">
        <f t="shared" si="339"/>
        <v>OK</v>
      </c>
      <c r="BX341" s="477" t="str">
        <f t="shared" si="339"/>
        <v>OK</v>
      </c>
      <c r="BY341" s="477" t="str">
        <f t="shared" si="339"/>
        <v>OK</v>
      </c>
      <c r="BZ341" s="477" t="str">
        <f t="shared" si="339"/>
        <v>OK</v>
      </c>
    </row>
    <row r="342" spans="4:78">
      <c r="D342" s="228"/>
      <c r="E342" s="228"/>
      <c r="F342" s="228"/>
      <c r="G342" s="228"/>
      <c r="H342" s="228"/>
      <c r="I342" s="228"/>
      <c r="J342" s="228"/>
      <c r="K342" s="228"/>
      <c r="L342" s="228"/>
      <c r="M342" s="228"/>
      <c r="N342" s="228"/>
      <c r="O342" s="228"/>
      <c r="P342" s="228"/>
      <c r="Q342" s="228"/>
      <c r="R342" s="228"/>
      <c r="S342" s="228"/>
      <c r="T342" s="228"/>
      <c r="AY342" s="475"/>
      <c r="AZ342" s="468">
        <f ca="1">OFFSET(BB342,0,$BB$305)</f>
        <v>278.27827827827826</v>
      </c>
      <c r="BA342" s="313" t="s">
        <v>1616</v>
      </c>
      <c r="BB342" s="472">
        <f>((BB314+1+4+1)*8/BB321+11/BB321)*1000</f>
        <v>409.48813982521847</v>
      </c>
      <c r="BC342" s="472">
        <f t="shared" ref="BC342:BZ342" si="340">((BC314+1+4+1)*8/BC321+11/BC321)*1000</f>
        <v>373.21937321937321</v>
      </c>
      <c r="BD342" s="472">
        <f t="shared" si="340"/>
        <v>327.09113607990014</v>
      </c>
      <c r="BE342" s="472">
        <f t="shared" si="340"/>
        <v>308.88888888888886</v>
      </c>
      <c r="BF342" s="472">
        <f t="shared" si="340"/>
        <v>278.27827827827826</v>
      </c>
      <c r="BG342" s="472">
        <f t="shared" si="340"/>
        <v>266.88453159041393</v>
      </c>
      <c r="BH342" s="472">
        <f t="shared" si="340"/>
        <v>244.69413233458178</v>
      </c>
      <c r="BI342" s="472">
        <f t="shared" si="340"/>
        <v>239.19753086419752</v>
      </c>
      <c r="BJ342" s="472">
        <f t="shared" si="340"/>
        <v>220.79772079772079</v>
      </c>
      <c r="BK342" s="472">
        <f t="shared" si="340"/>
        <v>217.15960564881428</v>
      </c>
      <c r="BL342" s="472">
        <f t="shared" si="340"/>
        <v>203.95395395395394</v>
      </c>
      <c r="BM342" s="472">
        <f t="shared" si="340"/>
        <v>201.05820105820106</v>
      </c>
      <c r="BN342" s="472">
        <f t="shared" si="340"/>
        <v>190</v>
      </c>
      <c r="BO342" s="472">
        <f t="shared" si="340"/>
        <v>188.34175084175081</v>
      </c>
      <c r="BP342" s="472">
        <f t="shared" si="340"/>
        <v>179.17917917917919</v>
      </c>
      <c r="BQ342" s="472">
        <f t="shared" si="340"/>
        <v>178.50324551355476</v>
      </c>
      <c r="BR342" s="472">
        <f t="shared" si="340"/>
        <v>177.23244717109745</v>
      </c>
      <c r="BS342" s="472">
        <f t="shared" si="340"/>
        <v>176.49104503564598</v>
      </c>
      <c r="BT342" s="472">
        <f t="shared" si="340"/>
        <v>176.00934267600931</v>
      </c>
      <c r="BU342" s="472">
        <f t="shared" si="340"/>
        <v>175.05995203836932</v>
      </c>
      <c r="BV342" s="472">
        <f t="shared" si="340"/>
        <v>168.28031350852928</v>
      </c>
      <c r="BW342" s="472">
        <f t="shared" si="340"/>
        <v>168.14814814814815</v>
      </c>
      <c r="BX342" s="472">
        <f t="shared" si="340"/>
        <v>168.02516802516797</v>
      </c>
      <c r="BY342" s="472">
        <f t="shared" si="340"/>
        <v>167.70186335403727</v>
      </c>
      <c r="BZ342" s="472">
        <f t="shared" si="340"/>
        <v>167.50083416750084</v>
      </c>
    </row>
    <row r="343" spans="4:78">
      <c r="D343" s="228"/>
      <c r="E343" s="228"/>
      <c r="F343" s="228"/>
      <c r="G343" s="228"/>
      <c r="H343" s="228"/>
      <c r="I343" s="228"/>
      <c r="J343" s="228"/>
      <c r="K343" s="228"/>
      <c r="L343" s="228"/>
      <c r="M343" s="228"/>
      <c r="N343" s="228"/>
      <c r="O343" s="228"/>
      <c r="P343" s="228"/>
      <c r="Q343" s="228"/>
      <c r="R343" s="228"/>
      <c r="S343" s="228"/>
      <c r="T343" s="228"/>
      <c r="AY343" s="475"/>
      <c r="AZ343" s="468"/>
      <c r="BA343" s="476" t="s">
        <v>1617</v>
      </c>
      <c r="BB343" s="477" t="str">
        <f>IF(BB342&gt;=(145+10/BB321*1000)*1.1,"OK","NG")</f>
        <v>OK</v>
      </c>
      <c r="BC343" s="477" t="str">
        <f t="shared" ref="BC343:BZ343" si="341">IF(BC342&gt;=(145+10/BC321*1000)*1.1,"OK","NG")</f>
        <v>OK</v>
      </c>
      <c r="BD343" s="477" t="str">
        <f t="shared" si="341"/>
        <v>OK</v>
      </c>
      <c r="BE343" s="477" t="str">
        <f t="shared" si="341"/>
        <v>OK</v>
      </c>
      <c r="BF343" s="477" t="str">
        <f t="shared" si="341"/>
        <v>OK</v>
      </c>
      <c r="BG343" s="477" t="str">
        <f t="shared" si="341"/>
        <v>OK</v>
      </c>
      <c r="BH343" s="477" t="str">
        <f t="shared" si="341"/>
        <v>OK</v>
      </c>
      <c r="BI343" s="477" t="str">
        <f t="shared" si="341"/>
        <v>OK</v>
      </c>
      <c r="BJ343" s="477" t="str">
        <f t="shared" si="341"/>
        <v>OK</v>
      </c>
      <c r="BK343" s="477" t="str">
        <f t="shared" si="341"/>
        <v>OK</v>
      </c>
      <c r="BL343" s="477" t="str">
        <f t="shared" si="341"/>
        <v>OK</v>
      </c>
      <c r="BM343" s="477" t="str">
        <f t="shared" si="341"/>
        <v>OK</v>
      </c>
      <c r="BN343" s="477" t="str">
        <f t="shared" si="341"/>
        <v>OK</v>
      </c>
      <c r="BO343" s="477" t="str">
        <f t="shared" si="341"/>
        <v>OK</v>
      </c>
      <c r="BP343" s="477" t="str">
        <f t="shared" si="341"/>
        <v>OK</v>
      </c>
      <c r="BQ343" s="477" t="str">
        <f t="shared" si="341"/>
        <v>OK</v>
      </c>
      <c r="BR343" s="477" t="str">
        <f t="shared" si="341"/>
        <v>OK</v>
      </c>
      <c r="BS343" s="477" t="str">
        <f t="shared" si="341"/>
        <v>OK</v>
      </c>
      <c r="BT343" s="477" t="str">
        <f t="shared" si="341"/>
        <v>OK</v>
      </c>
      <c r="BU343" s="477" t="str">
        <f t="shared" si="341"/>
        <v>OK</v>
      </c>
      <c r="BV343" s="477" t="str">
        <f t="shared" si="341"/>
        <v>OK</v>
      </c>
      <c r="BW343" s="477" t="str">
        <f t="shared" si="341"/>
        <v>OK</v>
      </c>
      <c r="BX343" s="477" t="str">
        <f t="shared" si="341"/>
        <v>OK</v>
      </c>
      <c r="BY343" s="477" t="str">
        <f t="shared" si="341"/>
        <v>OK</v>
      </c>
      <c r="BZ343" s="477" t="str">
        <f t="shared" si="341"/>
        <v>OK</v>
      </c>
    </row>
    <row r="344" spans="4:78">
      <c r="D344" s="228"/>
      <c r="E344" s="228"/>
      <c r="F344" s="228"/>
      <c r="G344" s="228"/>
      <c r="H344" s="228"/>
      <c r="I344" s="228"/>
      <c r="J344" s="228"/>
      <c r="K344" s="228"/>
      <c r="L344" s="228"/>
      <c r="M344" s="228"/>
      <c r="N344" s="228"/>
      <c r="O344" s="228"/>
      <c r="P344" s="228"/>
      <c r="Q344" s="228"/>
      <c r="R344" s="228"/>
      <c r="S344" s="228"/>
      <c r="T344" s="228"/>
      <c r="AY344" s="475"/>
      <c r="AZ344" s="468">
        <f ca="1">OFFSET(BB344,0,$BB$305)</f>
        <v>1.1211211211211212</v>
      </c>
      <c r="BA344" s="313" t="s">
        <v>926</v>
      </c>
      <c r="BB344" s="315">
        <f>BB$325*BB315/10^6</f>
        <v>1.0653349979192674</v>
      </c>
      <c r="BC344" s="315">
        <f t="shared" ref="BC344:BZ344" si="342">BC$325*BC315/10^6</f>
        <v>1.0256410256410255</v>
      </c>
      <c r="BD344" s="315">
        <f t="shared" si="342"/>
        <v>1.0486891385767789</v>
      </c>
      <c r="BE344" s="315">
        <f t="shared" si="342"/>
        <v>1.0666666666666664</v>
      </c>
      <c r="BF344" s="315">
        <f t="shared" si="342"/>
        <v>1.1211211211211212</v>
      </c>
      <c r="BG344" s="315">
        <f t="shared" si="342"/>
        <v>1.0675381263616555</v>
      </c>
      <c r="BH344" s="315">
        <f t="shared" si="342"/>
        <v>1.0653349979192674</v>
      </c>
      <c r="BI344" s="315">
        <f t="shared" si="342"/>
        <v>1.0555555555555556</v>
      </c>
      <c r="BJ344" s="315">
        <f t="shared" si="342"/>
        <v>1.0256410256410258</v>
      </c>
      <c r="BK344" s="315">
        <f t="shared" si="342"/>
        <v>1.065814015454303</v>
      </c>
      <c r="BL344" s="315">
        <f t="shared" si="342"/>
        <v>1.0410410410410411</v>
      </c>
      <c r="BM344" s="315">
        <f t="shared" si="342"/>
        <v>1.0346854791299236</v>
      </c>
      <c r="BN344" s="315">
        <f t="shared" si="342"/>
        <v>1.0577777777777777</v>
      </c>
      <c r="BO344" s="315">
        <f t="shared" si="342"/>
        <v>1.0404040404040404</v>
      </c>
      <c r="BP344" s="315">
        <f t="shared" si="342"/>
        <v>1.0810810810810811</v>
      </c>
      <c r="BQ344" s="315">
        <f t="shared" si="342"/>
        <v>1.0691103474608628</v>
      </c>
      <c r="BR344" s="315">
        <f t="shared" si="342"/>
        <v>1.0484889797773234</v>
      </c>
      <c r="BS344" s="315">
        <f t="shared" si="342"/>
        <v>1.0432968179447053</v>
      </c>
      <c r="BT344" s="315">
        <f t="shared" si="342"/>
        <v>1.0677344010677343</v>
      </c>
      <c r="BU344" s="315">
        <f t="shared" si="342"/>
        <v>1.0871302957633893</v>
      </c>
      <c r="BV344" s="315">
        <f t="shared" si="342"/>
        <v>1.0450284309205469</v>
      </c>
      <c r="BW344" s="315">
        <f t="shared" si="342"/>
        <v>1.0666666666666664</v>
      </c>
      <c r="BX344" s="315">
        <f t="shared" si="342"/>
        <v>1.0296010296010296</v>
      </c>
      <c r="BY344" s="315">
        <f t="shared" si="342"/>
        <v>1.0489993098688752</v>
      </c>
      <c r="BZ344" s="315">
        <f t="shared" si="342"/>
        <v>1.0677344010677345</v>
      </c>
    </row>
    <row r="345" spans="4:78">
      <c r="D345" s="228"/>
      <c r="E345" s="228"/>
      <c r="F345" s="228"/>
      <c r="G345" s="228"/>
      <c r="H345" s="228"/>
      <c r="I345" s="228"/>
      <c r="J345" s="228"/>
      <c r="K345" s="228"/>
      <c r="L345" s="228"/>
      <c r="M345" s="228"/>
      <c r="N345" s="228"/>
      <c r="O345" s="228"/>
      <c r="P345" s="228"/>
      <c r="Q345" s="228"/>
      <c r="R345" s="228"/>
      <c r="S345" s="228"/>
      <c r="T345" s="228"/>
      <c r="AZ345" s="468"/>
      <c r="BA345" s="476" t="s">
        <v>1619</v>
      </c>
      <c r="BB345" s="477" t="str">
        <f>IF(BB344&gt;1,"OK","NG")</f>
        <v>OK</v>
      </c>
      <c r="BC345" s="477" t="str">
        <f t="shared" ref="BC345:BZ345" si="343">IF(BC344&gt;1,"OK","NG")</f>
        <v>OK</v>
      </c>
      <c r="BD345" s="477" t="str">
        <f t="shared" si="343"/>
        <v>OK</v>
      </c>
      <c r="BE345" s="477" t="str">
        <f t="shared" si="343"/>
        <v>OK</v>
      </c>
      <c r="BF345" s="477" t="str">
        <f t="shared" si="343"/>
        <v>OK</v>
      </c>
      <c r="BG345" s="477" t="str">
        <f t="shared" si="343"/>
        <v>OK</v>
      </c>
      <c r="BH345" s="477" t="str">
        <f t="shared" si="343"/>
        <v>OK</v>
      </c>
      <c r="BI345" s="477" t="str">
        <f t="shared" si="343"/>
        <v>OK</v>
      </c>
      <c r="BJ345" s="477" t="str">
        <f t="shared" si="343"/>
        <v>OK</v>
      </c>
      <c r="BK345" s="477" t="str">
        <f t="shared" si="343"/>
        <v>OK</v>
      </c>
      <c r="BL345" s="477" t="str">
        <f t="shared" si="343"/>
        <v>OK</v>
      </c>
      <c r="BM345" s="477" t="str">
        <f t="shared" si="343"/>
        <v>OK</v>
      </c>
      <c r="BN345" s="477" t="str">
        <f t="shared" si="343"/>
        <v>OK</v>
      </c>
      <c r="BO345" s="477" t="str">
        <f t="shared" si="343"/>
        <v>OK</v>
      </c>
      <c r="BP345" s="477" t="str">
        <f t="shared" si="343"/>
        <v>OK</v>
      </c>
      <c r="BQ345" s="477" t="str">
        <f t="shared" si="343"/>
        <v>OK</v>
      </c>
      <c r="BR345" s="477" t="str">
        <f t="shared" si="343"/>
        <v>OK</v>
      </c>
      <c r="BS345" s="477" t="str">
        <f t="shared" si="343"/>
        <v>OK</v>
      </c>
      <c r="BT345" s="477" t="str">
        <f t="shared" si="343"/>
        <v>OK</v>
      </c>
      <c r="BU345" s="477" t="str">
        <f t="shared" si="343"/>
        <v>OK</v>
      </c>
      <c r="BV345" s="477" t="str">
        <f t="shared" si="343"/>
        <v>OK</v>
      </c>
      <c r="BW345" s="477" t="str">
        <f t="shared" si="343"/>
        <v>OK</v>
      </c>
      <c r="BX345" s="477" t="str">
        <f t="shared" si="343"/>
        <v>OK</v>
      </c>
      <c r="BY345" s="477" t="str">
        <f t="shared" si="343"/>
        <v>OK</v>
      </c>
      <c r="BZ345" s="477" t="str">
        <f t="shared" si="343"/>
        <v>OK</v>
      </c>
    </row>
    <row r="346" spans="4:78">
      <c r="D346" s="228"/>
      <c r="E346" s="228"/>
      <c r="F346" s="228"/>
      <c r="G346" s="228"/>
      <c r="H346" s="228"/>
      <c r="I346" s="228"/>
      <c r="J346" s="228"/>
      <c r="K346" s="228"/>
      <c r="L346" s="228"/>
      <c r="M346" s="228"/>
      <c r="N346" s="228"/>
      <c r="O346" s="228"/>
      <c r="P346" s="228"/>
      <c r="Q346" s="228"/>
      <c r="R346" s="228"/>
      <c r="S346" s="228"/>
      <c r="T346" s="228"/>
      <c r="AZ346" s="468">
        <f ca="1">OFFSET(BB346,0,$BB$305)</f>
        <v>196.19619619619618</v>
      </c>
      <c r="BA346" s="313" t="s">
        <v>1585</v>
      </c>
      <c r="BB346" s="472">
        <f t="shared" ref="BB346:BZ346" si="344">((BB316+1+1)*8/BB321+2/BB321)*1000</f>
        <v>272.99209321681235</v>
      </c>
      <c r="BC346" s="472">
        <f t="shared" si="344"/>
        <v>233.6182336182336</v>
      </c>
      <c r="BD346" s="472">
        <f t="shared" si="344"/>
        <v>224.71910112359552</v>
      </c>
      <c r="BE346" s="472">
        <f t="shared" si="344"/>
        <v>200</v>
      </c>
      <c r="BF346" s="472">
        <f t="shared" si="344"/>
        <v>196.19619619619618</v>
      </c>
      <c r="BG346" s="472">
        <f t="shared" si="344"/>
        <v>177.92302106027594</v>
      </c>
      <c r="BH346" s="472">
        <f t="shared" si="344"/>
        <v>163.12942155638785</v>
      </c>
      <c r="BI346" s="472">
        <f t="shared" si="344"/>
        <v>163.58024691358025</v>
      </c>
      <c r="BJ346" s="472">
        <f t="shared" si="344"/>
        <v>150.99715099715101</v>
      </c>
      <c r="BK346" s="472">
        <f t="shared" si="344"/>
        <v>151.87849720223821</v>
      </c>
      <c r="BL346" s="472">
        <f t="shared" si="344"/>
        <v>142.64264264264264</v>
      </c>
      <c r="BM346" s="472">
        <f t="shared" si="344"/>
        <v>134.03880070546739</v>
      </c>
      <c r="BN346" s="472">
        <f t="shared" si="344"/>
        <v>135.55555555555554</v>
      </c>
      <c r="BO346" s="472">
        <f t="shared" si="344"/>
        <v>128.36700336700335</v>
      </c>
      <c r="BP346" s="472">
        <f t="shared" si="344"/>
        <v>130.13013013013014</v>
      </c>
      <c r="BQ346" s="472">
        <f t="shared" si="344"/>
        <v>124.09316533027871</v>
      </c>
      <c r="BR346" s="472">
        <f t="shared" si="344"/>
        <v>118.15496478073166</v>
      </c>
      <c r="BS346" s="472">
        <f t="shared" si="344"/>
        <v>119.9791340636411</v>
      </c>
      <c r="BT346" s="472">
        <f t="shared" si="344"/>
        <v>115.1151151151151</v>
      </c>
      <c r="BU346" s="472">
        <f t="shared" si="344"/>
        <v>116.70663469224621</v>
      </c>
      <c r="BV346" s="472">
        <f t="shared" si="344"/>
        <v>112.18687567235284</v>
      </c>
      <c r="BW346" s="472">
        <f t="shared" si="344"/>
        <v>114.07407407407408</v>
      </c>
      <c r="BX346" s="472">
        <f t="shared" si="344"/>
        <v>110.1101101101101</v>
      </c>
      <c r="BY346" s="472">
        <f t="shared" si="344"/>
        <v>106.28019323671498</v>
      </c>
      <c r="BZ346" s="472">
        <f t="shared" si="344"/>
        <v>108.1081081081081</v>
      </c>
    </row>
    <row r="347" spans="4:78">
      <c r="D347" s="228"/>
      <c r="E347" s="228"/>
      <c r="F347" s="228"/>
      <c r="G347" s="228"/>
      <c r="H347" s="228"/>
      <c r="I347" s="228"/>
      <c r="J347" s="228"/>
      <c r="K347" s="228"/>
      <c r="L347" s="228"/>
      <c r="M347" s="228"/>
      <c r="N347" s="228"/>
      <c r="O347" s="228"/>
      <c r="P347" s="228"/>
      <c r="Q347" s="228"/>
      <c r="R347" s="228"/>
      <c r="S347" s="228"/>
      <c r="T347" s="228"/>
      <c r="AZ347" s="468">
        <f ca="1">OFFSET(BB347,0,$BB$305)</f>
        <v>198.19819819819821</v>
      </c>
      <c r="BA347" s="357" t="s">
        <v>1587</v>
      </c>
      <c r="BB347" s="472">
        <f t="shared" ref="BB347:BZ347" si="345">((BB316+1+1)*8/BB321+3/BB321)*1000</f>
        <v>276.32126508531007</v>
      </c>
      <c r="BC347" s="472">
        <f t="shared" si="345"/>
        <v>236.46723646723646</v>
      </c>
      <c r="BD347" s="472">
        <f t="shared" si="345"/>
        <v>227.21598002496879</v>
      </c>
      <c r="BE347" s="472">
        <f t="shared" si="345"/>
        <v>202.22222222222223</v>
      </c>
      <c r="BF347" s="472">
        <f t="shared" si="345"/>
        <v>198.19819819819821</v>
      </c>
      <c r="BG347" s="472">
        <f t="shared" si="345"/>
        <v>179.73856209150324</v>
      </c>
      <c r="BH347" s="472">
        <f t="shared" si="345"/>
        <v>164.79400749063672</v>
      </c>
      <c r="BI347" s="472">
        <f t="shared" si="345"/>
        <v>165.12345679012344</v>
      </c>
      <c r="BJ347" s="472">
        <f t="shared" si="345"/>
        <v>152.42165242165242</v>
      </c>
      <c r="BK347" s="472">
        <f t="shared" si="345"/>
        <v>153.2107647215561</v>
      </c>
      <c r="BL347" s="472">
        <f t="shared" si="345"/>
        <v>143.8938938938939</v>
      </c>
      <c r="BM347" s="472">
        <f t="shared" si="345"/>
        <v>135.21457965902411</v>
      </c>
      <c r="BN347" s="472">
        <f t="shared" si="345"/>
        <v>136.66666666666666</v>
      </c>
      <c r="BO347" s="472">
        <f t="shared" si="345"/>
        <v>129.41919191919192</v>
      </c>
      <c r="BP347" s="472">
        <f t="shared" si="345"/>
        <v>131.13113113113113</v>
      </c>
      <c r="BQ347" s="472">
        <f t="shared" si="345"/>
        <v>125.04772814051162</v>
      </c>
      <c r="BR347" s="472">
        <f t="shared" si="345"/>
        <v>119.06384912519883</v>
      </c>
      <c r="BS347" s="472">
        <f t="shared" si="345"/>
        <v>120.84854807859502</v>
      </c>
      <c r="BT347" s="472">
        <f t="shared" si="345"/>
        <v>115.94928261594926</v>
      </c>
      <c r="BU347" s="472">
        <f t="shared" si="345"/>
        <v>117.50599520383693</v>
      </c>
      <c r="BV347" s="472">
        <f t="shared" si="345"/>
        <v>112.95527893038266</v>
      </c>
      <c r="BW347" s="472">
        <f t="shared" si="345"/>
        <v>114.81481481481481</v>
      </c>
      <c r="BX347" s="472">
        <f t="shared" si="345"/>
        <v>110.82511082511081</v>
      </c>
      <c r="BY347" s="472">
        <f t="shared" si="345"/>
        <v>106.9703243616287</v>
      </c>
      <c r="BZ347" s="472">
        <f t="shared" si="345"/>
        <v>108.77544210877544</v>
      </c>
    </row>
    <row r="348" spans="4:78">
      <c r="D348" s="228"/>
      <c r="E348" s="228"/>
      <c r="F348" s="228"/>
      <c r="G348" s="228"/>
      <c r="H348" s="228"/>
      <c r="I348" s="228"/>
      <c r="J348" s="228"/>
      <c r="K348" s="228"/>
      <c r="L348" s="228"/>
      <c r="M348" s="228"/>
      <c r="N348" s="228"/>
      <c r="O348" s="228"/>
      <c r="P348" s="228"/>
      <c r="Q348" s="228"/>
      <c r="R348" s="228"/>
      <c r="S348" s="228"/>
      <c r="T348" s="228"/>
      <c r="AZ348" s="468"/>
      <c r="BA348" s="476" t="s">
        <v>1621</v>
      </c>
      <c r="BB348" s="477" t="str">
        <f>IF(BB346&gt;=(60+52/BB321*1000)*1.1,"OK","NG")</f>
        <v>OK</v>
      </c>
      <c r="BC348" s="477" t="str">
        <f t="shared" ref="BC348:BZ348" si="346">IF(BC346&gt;=(60+52/BC321*1000)*1.1,"OK","NG")</f>
        <v>OK</v>
      </c>
      <c r="BD348" s="477" t="str">
        <f t="shared" si="346"/>
        <v>OK</v>
      </c>
      <c r="BE348" s="477" t="str">
        <f t="shared" si="346"/>
        <v>OK</v>
      </c>
      <c r="BF348" s="477" t="str">
        <f t="shared" si="346"/>
        <v>OK</v>
      </c>
      <c r="BG348" s="477" t="str">
        <f t="shared" si="346"/>
        <v>OK</v>
      </c>
      <c r="BH348" s="477" t="str">
        <f t="shared" si="346"/>
        <v>OK</v>
      </c>
      <c r="BI348" s="477" t="str">
        <f t="shared" si="346"/>
        <v>OK</v>
      </c>
      <c r="BJ348" s="477" t="str">
        <f t="shared" si="346"/>
        <v>OK</v>
      </c>
      <c r="BK348" s="477" t="str">
        <f t="shared" si="346"/>
        <v>OK</v>
      </c>
      <c r="BL348" s="477" t="str">
        <f t="shared" si="346"/>
        <v>OK</v>
      </c>
      <c r="BM348" s="477" t="str">
        <f t="shared" si="346"/>
        <v>OK</v>
      </c>
      <c r="BN348" s="477" t="str">
        <f t="shared" si="346"/>
        <v>OK</v>
      </c>
      <c r="BO348" s="477" t="str">
        <f t="shared" si="346"/>
        <v>OK</v>
      </c>
      <c r="BP348" s="477" t="str">
        <f t="shared" si="346"/>
        <v>OK</v>
      </c>
      <c r="BQ348" s="477" t="str">
        <f t="shared" si="346"/>
        <v>OK</v>
      </c>
      <c r="BR348" s="477" t="str">
        <f t="shared" si="346"/>
        <v>OK</v>
      </c>
      <c r="BS348" s="477" t="str">
        <f t="shared" si="346"/>
        <v>OK</v>
      </c>
      <c r="BT348" s="477" t="str">
        <f t="shared" si="346"/>
        <v>OK</v>
      </c>
      <c r="BU348" s="477" t="str">
        <f t="shared" si="346"/>
        <v>OK</v>
      </c>
      <c r="BV348" s="477" t="str">
        <f t="shared" si="346"/>
        <v>OK</v>
      </c>
      <c r="BW348" s="477" t="str">
        <f t="shared" si="346"/>
        <v>OK</v>
      </c>
      <c r="BX348" s="477" t="str">
        <f t="shared" si="346"/>
        <v>OK</v>
      </c>
      <c r="BY348" s="477" t="str">
        <f t="shared" si="346"/>
        <v>OK</v>
      </c>
      <c r="BZ348" s="477" t="str">
        <f t="shared" si="346"/>
        <v>OK</v>
      </c>
    </row>
    <row r="349" spans="4:78">
      <c r="D349" s="228"/>
      <c r="E349" s="228"/>
      <c r="F349" s="228"/>
      <c r="G349" s="228"/>
      <c r="H349" s="228"/>
      <c r="I349" s="228"/>
      <c r="J349" s="228"/>
      <c r="K349" s="228"/>
      <c r="L349" s="228"/>
      <c r="M349" s="228"/>
      <c r="N349" s="228"/>
      <c r="O349" s="228"/>
      <c r="P349" s="228"/>
      <c r="Q349" s="228"/>
      <c r="R349" s="228"/>
      <c r="S349" s="228"/>
      <c r="T349" s="228"/>
      <c r="AZ349" s="468">
        <f t="shared" ref="AZ349:AZ358" ca="1" si="347">OFFSET(BB349,0,$BB$305)</f>
        <v>90.090090090090087</v>
      </c>
      <c r="BA349" s="313" t="s">
        <v>924</v>
      </c>
      <c r="BB349" s="472">
        <f>((BB317+1+1)*8/BB321-11/BB321)*1000</f>
        <v>123.17935913441532</v>
      </c>
      <c r="BC349" s="472">
        <f t="shared" ref="BC349:BZ349" si="348">((BC317+1+1)*8/BC321-11/BC321)*1000</f>
        <v>105.41310541310541</v>
      </c>
      <c r="BD349" s="472">
        <f t="shared" si="348"/>
        <v>92.384519350811487</v>
      </c>
      <c r="BE349" s="472">
        <f t="shared" si="348"/>
        <v>99.999999999999986</v>
      </c>
      <c r="BF349" s="472">
        <f t="shared" si="348"/>
        <v>90.090090090090087</v>
      </c>
      <c r="BG349" s="472">
        <f t="shared" si="348"/>
        <v>96.223674655047191</v>
      </c>
      <c r="BH349" s="472">
        <f t="shared" si="348"/>
        <v>88.223054515189361</v>
      </c>
      <c r="BI349" s="472">
        <f t="shared" si="348"/>
        <v>81.790123456790127</v>
      </c>
      <c r="BJ349" s="472">
        <f t="shared" si="348"/>
        <v>86.89458689458688</v>
      </c>
      <c r="BK349" s="472">
        <f t="shared" si="348"/>
        <v>81.268318678390628</v>
      </c>
      <c r="BL349" s="472">
        <f t="shared" si="348"/>
        <v>86.336336336336331</v>
      </c>
      <c r="BM349" s="472">
        <f t="shared" si="348"/>
        <v>81.128747795414469</v>
      </c>
      <c r="BN349" s="472">
        <f t="shared" si="348"/>
        <v>85.555555555555571</v>
      </c>
      <c r="BO349" s="472">
        <f t="shared" si="348"/>
        <v>81.018518518518519</v>
      </c>
      <c r="BP349" s="472">
        <f t="shared" si="348"/>
        <v>77.077077077077078</v>
      </c>
      <c r="BQ349" s="472">
        <f t="shared" si="348"/>
        <v>81.137838869797633</v>
      </c>
      <c r="BR349" s="472">
        <f t="shared" si="348"/>
        <v>77.25516927970915</v>
      </c>
      <c r="BS349" s="472">
        <f t="shared" si="348"/>
        <v>73.900191271083287</v>
      </c>
      <c r="BT349" s="472">
        <f t="shared" si="348"/>
        <v>77.577577577577557</v>
      </c>
      <c r="BU349" s="472">
        <f t="shared" si="348"/>
        <v>74.340527577937664</v>
      </c>
      <c r="BV349" s="472">
        <f t="shared" si="348"/>
        <v>77.608729061011218</v>
      </c>
      <c r="BW349" s="472">
        <f t="shared" si="348"/>
        <v>74.81481481481481</v>
      </c>
      <c r="BX349" s="472">
        <f t="shared" si="348"/>
        <v>77.935077935077928</v>
      </c>
      <c r="BY349" s="472">
        <f t="shared" si="348"/>
        <v>75.224292615596966</v>
      </c>
      <c r="BZ349" s="472">
        <f t="shared" si="348"/>
        <v>78.078078078078079</v>
      </c>
    </row>
    <row r="350" spans="4:78">
      <c r="D350" s="228"/>
      <c r="E350" s="228"/>
      <c r="F350" s="228"/>
      <c r="G350" s="228"/>
      <c r="H350" s="228"/>
      <c r="I350" s="228"/>
      <c r="J350" s="228"/>
      <c r="K350" s="228"/>
      <c r="L350" s="228"/>
      <c r="M350" s="228"/>
      <c r="N350" s="228"/>
      <c r="O350" s="228"/>
      <c r="P350" s="228"/>
      <c r="Q350" s="228"/>
      <c r="R350" s="228"/>
      <c r="S350" s="228"/>
      <c r="T350" s="228"/>
      <c r="AZ350" s="468"/>
      <c r="BA350" s="476" t="s">
        <v>1622</v>
      </c>
      <c r="BB350" s="477" t="str">
        <f>IF(AND(BB349&gt;=MAX(1*8/BB321*1000*1.1,60+1*4/BB321*1000*1.1),BB349&lt;=(105+12/BB321*1000)*0.9),"OK","NG")</f>
        <v>OK</v>
      </c>
      <c r="BC350" s="477" t="str">
        <f t="shared" ref="BC350:BZ350" si="349">IF(AND(BC349&gt;=MAX(1*8/BC321*1000*1.1,60+1*4/BC321*1000*1.1),BC349&lt;=(105+12/BC321*1000)*0.9),"OK","NG")</f>
        <v>OK</v>
      </c>
      <c r="BD350" s="477" t="str">
        <f t="shared" si="349"/>
        <v>OK</v>
      </c>
      <c r="BE350" s="477" t="str">
        <f t="shared" si="349"/>
        <v>OK</v>
      </c>
      <c r="BF350" s="477" t="str">
        <f t="shared" si="349"/>
        <v>OK</v>
      </c>
      <c r="BG350" s="477" t="str">
        <f t="shared" si="349"/>
        <v>OK</v>
      </c>
      <c r="BH350" s="477" t="str">
        <f t="shared" si="349"/>
        <v>OK</v>
      </c>
      <c r="BI350" s="477" t="str">
        <f t="shared" si="349"/>
        <v>OK</v>
      </c>
      <c r="BJ350" s="477" t="str">
        <f t="shared" si="349"/>
        <v>OK</v>
      </c>
      <c r="BK350" s="477" t="str">
        <f t="shared" si="349"/>
        <v>OK</v>
      </c>
      <c r="BL350" s="477" t="str">
        <f t="shared" si="349"/>
        <v>OK</v>
      </c>
      <c r="BM350" s="477" t="str">
        <f t="shared" si="349"/>
        <v>OK</v>
      </c>
      <c r="BN350" s="477" t="str">
        <f t="shared" si="349"/>
        <v>OK</v>
      </c>
      <c r="BO350" s="477" t="str">
        <f t="shared" si="349"/>
        <v>OK</v>
      </c>
      <c r="BP350" s="477" t="str">
        <f t="shared" si="349"/>
        <v>OK</v>
      </c>
      <c r="BQ350" s="477" t="str">
        <f t="shared" si="349"/>
        <v>OK</v>
      </c>
      <c r="BR350" s="477" t="str">
        <f t="shared" si="349"/>
        <v>OK</v>
      </c>
      <c r="BS350" s="477" t="str">
        <f t="shared" si="349"/>
        <v>OK</v>
      </c>
      <c r="BT350" s="477" t="str">
        <f t="shared" si="349"/>
        <v>OK</v>
      </c>
      <c r="BU350" s="477" t="str">
        <f t="shared" si="349"/>
        <v>OK</v>
      </c>
      <c r="BV350" s="477" t="str">
        <f t="shared" si="349"/>
        <v>OK</v>
      </c>
      <c r="BW350" s="477" t="str">
        <f t="shared" si="349"/>
        <v>OK</v>
      </c>
      <c r="BX350" s="477" t="str">
        <f t="shared" si="349"/>
        <v>OK</v>
      </c>
      <c r="BY350" s="477" t="str">
        <f t="shared" si="349"/>
        <v>OK</v>
      </c>
      <c r="BZ350" s="477" t="str">
        <f t="shared" si="349"/>
        <v>OK</v>
      </c>
    </row>
    <row r="351" spans="4:78">
      <c r="D351" s="228"/>
      <c r="E351" s="228"/>
      <c r="F351" s="228"/>
      <c r="G351" s="228"/>
      <c r="H351" s="228"/>
      <c r="I351" s="228"/>
      <c r="J351" s="228"/>
      <c r="K351" s="228"/>
      <c r="L351" s="228"/>
      <c r="M351" s="228"/>
      <c r="N351" s="228"/>
      <c r="O351" s="228"/>
      <c r="P351" s="228"/>
      <c r="Q351" s="228"/>
      <c r="R351" s="228"/>
      <c r="S351" s="228"/>
      <c r="T351" s="228"/>
      <c r="AZ351" s="468">
        <f t="shared" ca="1" si="347"/>
        <v>128.12812812812814</v>
      </c>
      <c r="BA351" s="313" t="s">
        <v>925</v>
      </c>
      <c r="BB351" s="472">
        <f>(8/BB$321)*(BB318+1)*1000</f>
        <v>159.80024968789013</v>
      </c>
      <c r="BC351" s="472">
        <f t="shared" ref="BC351:BZ351" si="350">(8/BC$321)*(BC318+1)*1000</f>
        <v>136.75213675213678</v>
      </c>
      <c r="BD351" s="472">
        <f t="shared" si="350"/>
        <v>139.82521847690387</v>
      </c>
      <c r="BE351" s="472">
        <f t="shared" si="350"/>
        <v>142.22222222222223</v>
      </c>
      <c r="BF351" s="472">
        <f t="shared" si="350"/>
        <v>128.12812812812814</v>
      </c>
      <c r="BG351" s="472">
        <f t="shared" si="350"/>
        <v>130.718954248366</v>
      </c>
      <c r="BH351" s="472">
        <f t="shared" si="350"/>
        <v>133.16687473990845</v>
      </c>
      <c r="BI351" s="472">
        <f t="shared" si="350"/>
        <v>123.45679012345678</v>
      </c>
      <c r="BJ351" s="472">
        <f t="shared" si="350"/>
        <v>125.35612535612536</v>
      </c>
      <c r="BK351" s="472">
        <f t="shared" si="350"/>
        <v>127.89768185451639</v>
      </c>
      <c r="BL351" s="472">
        <f t="shared" si="350"/>
        <v>150.15015015015015</v>
      </c>
      <c r="BM351" s="472">
        <f t="shared" si="350"/>
        <v>122.28101116990005</v>
      </c>
      <c r="BN351" s="472">
        <f t="shared" si="350"/>
        <v>151.11111111111111</v>
      </c>
      <c r="BO351" s="472">
        <f t="shared" si="350"/>
        <v>126.26262626262627</v>
      </c>
      <c r="BP351" s="472">
        <f t="shared" si="350"/>
        <v>152.15215215215215</v>
      </c>
      <c r="BQ351" s="472">
        <f t="shared" si="350"/>
        <v>114.54753722794958</v>
      </c>
      <c r="BR351" s="472">
        <f t="shared" si="350"/>
        <v>116.33719609179732</v>
      </c>
      <c r="BS351" s="472">
        <f t="shared" si="350"/>
        <v>118.24030603373326</v>
      </c>
      <c r="BT351" s="472">
        <f t="shared" si="350"/>
        <v>120.12012012012011</v>
      </c>
      <c r="BU351" s="472">
        <f t="shared" si="350"/>
        <v>121.50279776179057</v>
      </c>
      <c r="BV351" s="472">
        <f t="shared" si="350"/>
        <v>116.79729522053172</v>
      </c>
      <c r="BW351" s="472">
        <f t="shared" si="350"/>
        <v>118.5185185185185</v>
      </c>
      <c r="BX351" s="472">
        <f t="shared" si="350"/>
        <v>114.40011440011439</v>
      </c>
      <c r="BY351" s="472">
        <f t="shared" si="350"/>
        <v>115.94202898550725</v>
      </c>
      <c r="BZ351" s="472">
        <f t="shared" si="350"/>
        <v>112.11211211211211</v>
      </c>
    </row>
    <row r="352" spans="4:78">
      <c r="D352" s="228"/>
      <c r="E352" s="228"/>
      <c r="F352" s="228"/>
      <c r="G352" s="228"/>
      <c r="H352" s="228"/>
      <c r="I352" s="228"/>
      <c r="J352" s="228"/>
      <c r="K352" s="228"/>
      <c r="L352" s="228"/>
      <c r="M352" s="228"/>
      <c r="N352" s="228"/>
      <c r="O352" s="228"/>
      <c r="P352" s="228"/>
      <c r="Q352" s="228"/>
      <c r="R352" s="228"/>
      <c r="S352" s="228"/>
      <c r="T352" s="228"/>
      <c r="AZ352" s="468"/>
      <c r="BA352" s="476" t="s">
        <v>1624</v>
      </c>
      <c r="BB352" s="477" t="str">
        <f>IF(BB351&gt;=(100*1.1),"OK","NG")</f>
        <v>OK</v>
      </c>
      <c r="BC352" s="477" t="str">
        <f t="shared" ref="BC352:BZ352" si="351">IF(BC351&gt;=(100*1.1),"OK","NG")</f>
        <v>OK</v>
      </c>
      <c r="BD352" s="477" t="str">
        <f t="shared" si="351"/>
        <v>OK</v>
      </c>
      <c r="BE352" s="477" t="str">
        <f t="shared" si="351"/>
        <v>OK</v>
      </c>
      <c r="BF352" s="477" t="str">
        <f t="shared" si="351"/>
        <v>OK</v>
      </c>
      <c r="BG352" s="477" t="str">
        <f t="shared" si="351"/>
        <v>OK</v>
      </c>
      <c r="BH352" s="477" t="str">
        <f t="shared" si="351"/>
        <v>OK</v>
      </c>
      <c r="BI352" s="477" t="str">
        <f t="shared" si="351"/>
        <v>OK</v>
      </c>
      <c r="BJ352" s="477" t="str">
        <f t="shared" si="351"/>
        <v>OK</v>
      </c>
      <c r="BK352" s="477" t="str">
        <f t="shared" si="351"/>
        <v>OK</v>
      </c>
      <c r="BL352" s="477" t="str">
        <f t="shared" si="351"/>
        <v>OK</v>
      </c>
      <c r="BM352" s="477" t="str">
        <f t="shared" si="351"/>
        <v>OK</v>
      </c>
      <c r="BN352" s="477" t="str">
        <f t="shared" si="351"/>
        <v>OK</v>
      </c>
      <c r="BO352" s="477" t="str">
        <f t="shared" si="351"/>
        <v>OK</v>
      </c>
      <c r="BP352" s="477" t="str">
        <f t="shared" si="351"/>
        <v>OK</v>
      </c>
      <c r="BQ352" s="477" t="str">
        <f t="shared" si="351"/>
        <v>OK</v>
      </c>
      <c r="BR352" s="477" t="str">
        <f t="shared" si="351"/>
        <v>OK</v>
      </c>
      <c r="BS352" s="477" t="str">
        <f t="shared" si="351"/>
        <v>OK</v>
      </c>
      <c r="BT352" s="477" t="str">
        <f t="shared" si="351"/>
        <v>OK</v>
      </c>
      <c r="BU352" s="477" t="str">
        <f t="shared" si="351"/>
        <v>OK</v>
      </c>
      <c r="BV352" s="477" t="str">
        <f t="shared" si="351"/>
        <v>OK</v>
      </c>
      <c r="BW352" s="477" t="str">
        <f t="shared" si="351"/>
        <v>OK</v>
      </c>
      <c r="BX352" s="477" t="str">
        <f t="shared" si="351"/>
        <v>OK</v>
      </c>
      <c r="BY352" s="477" t="str">
        <f t="shared" si="351"/>
        <v>OK</v>
      </c>
      <c r="BZ352" s="477" t="str">
        <f t="shared" si="351"/>
        <v>OK</v>
      </c>
    </row>
    <row r="353" spans="4:78">
      <c r="D353" s="228"/>
      <c r="E353" s="228"/>
      <c r="F353" s="228"/>
      <c r="G353" s="228"/>
      <c r="H353" s="228"/>
      <c r="I353" s="228"/>
      <c r="J353" s="228"/>
      <c r="K353" s="228"/>
      <c r="L353" s="228"/>
      <c r="M353" s="228"/>
      <c r="N353" s="228"/>
      <c r="O353" s="228"/>
      <c r="P353" s="228"/>
      <c r="Q353" s="228"/>
      <c r="R353" s="228"/>
      <c r="S353" s="228"/>
      <c r="T353" s="228"/>
      <c r="AZ353" s="468">
        <f t="shared" ca="1" si="347"/>
        <v>128.12812812812814</v>
      </c>
      <c r="BA353" s="313" t="s">
        <v>1625</v>
      </c>
      <c r="BB353" s="315">
        <f t="shared" ref="BB353:BZ353" si="352">(8/BB$321)*(BB319+2)*1000</f>
        <v>133.16687473990845</v>
      </c>
      <c r="BC353" s="315">
        <f t="shared" si="352"/>
        <v>136.75213675213678</v>
      </c>
      <c r="BD353" s="315">
        <f t="shared" si="352"/>
        <v>119.8501872659176</v>
      </c>
      <c r="BE353" s="315">
        <f t="shared" si="352"/>
        <v>124.44444444444444</v>
      </c>
      <c r="BF353" s="315">
        <f t="shared" si="352"/>
        <v>128.12812812812814</v>
      </c>
      <c r="BG353" s="315">
        <f t="shared" si="352"/>
        <v>116.19462599854755</v>
      </c>
      <c r="BH353" s="315">
        <f t="shared" si="352"/>
        <v>119.8501872659176</v>
      </c>
      <c r="BI353" s="315">
        <f t="shared" si="352"/>
        <v>123.45679012345678</v>
      </c>
      <c r="BJ353" s="315">
        <f t="shared" si="352"/>
        <v>125.35612535612536</v>
      </c>
      <c r="BK353" s="315">
        <f t="shared" si="352"/>
        <v>127.89768185451639</v>
      </c>
      <c r="BL353" s="315">
        <f t="shared" si="352"/>
        <v>170.17017017017017</v>
      </c>
      <c r="BM353" s="315">
        <f t="shared" si="352"/>
        <v>122.28101116990005</v>
      </c>
      <c r="BN353" s="315">
        <f t="shared" si="352"/>
        <v>160</v>
      </c>
      <c r="BO353" s="315">
        <f t="shared" si="352"/>
        <v>117.84511784511784</v>
      </c>
      <c r="BP353" s="315">
        <f t="shared" si="352"/>
        <v>160.16016016016016</v>
      </c>
      <c r="BQ353" s="315">
        <f t="shared" si="352"/>
        <v>122.18403970981288</v>
      </c>
      <c r="BR353" s="315">
        <f t="shared" si="352"/>
        <v>116.33719609179732</v>
      </c>
      <c r="BS353" s="315">
        <f t="shared" si="352"/>
        <v>118.24030603373326</v>
      </c>
      <c r="BT353" s="315">
        <f t="shared" si="352"/>
        <v>120.12012012012011</v>
      </c>
      <c r="BU353" s="315">
        <f t="shared" si="352"/>
        <v>121.50279776179057</v>
      </c>
      <c r="BV353" s="315">
        <f t="shared" si="352"/>
        <v>116.79729522053172</v>
      </c>
      <c r="BW353" s="315">
        <f t="shared" si="352"/>
        <v>118.5185185185185</v>
      </c>
      <c r="BX353" s="315">
        <f t="shared" si="352"/>
        <v>114.40011440011439</v>
      </c>
      <c r="BY353" s="315">
        <f t="shared" si="352"/>
        <v>115.94202898550725</v>
      </c>
      <c r="BZ353" s="315">
        <f t="shared" si="352"/>
        <v>117.45078411745079</v>
      </c>
    </row>
    <row r="354" spans="4:78">
      <c r="D354" s="228"/>
      <c r="E354" s="228"/>
      <c r="F354" s="228"/>
      <c r="G354" s="228"/>
      <c r="H354" s="228"/>
      <c r="I354" s="228"/>
      <c r="J354" s="228"/>
      <c r="K354" s="228"/>
      <c r="L354" s="228"/>
      <c r="M354" s="228"/>
      <c r="N354" s="228"/>
      <c r="O354" s="228"/>
      <c r="P354" s="228"/>
      <c r="Q354" s="228"/>
      <c r="R354" s="228"/>
      <c r="S354" s="228"/>
      <c r="T354" s="228"/>
      <c r="AZ354" s="468">
        <f t="shared" ca="1" si="347"/>
        <v>144.14414414414415</v>
      </c>
      <c r="BA354" s="313" t="s">
        <v>1586</v>
      </c>
      <c r="BB354" s="315">
        <f t="shared" ref="BB354:BZ354" si="353">(8/BB$321)*(BB319+3)*1000</f>
        <v>159.80024968789013</v>
      </c>
      <c r="BC354" s="315">
        <f t="shared" si="353"/>
        <v>159.54415954415956</v>
      </c>
      <c r="BD354" s="315">
        <f t="shared" si="353"/>
        <v>139.82521847690387</v>
      </c>
      <c r="BE354" s="315">
        <f t="shared" si="353"/>
        <v>142.22222222222223</v>
      </c>
      <c r="BF354" s="315">
        <f t="shared" si="353"/>
        <v>144.14414414414415</v>
      </c>
      <c r="BG354" s="315">
        <f t="shared" si="353"/>
        <v>130.718954248366</v>
      </c>
      <c r="BH354" s="315">
        <f t="shared" si="353"/>
        <v>133.16687473990845</v>
      </c>
      <c r="BI354" s="315">
        <f t="shared" si="353"/>
        <v>135.80246913580245</v>
      </c>
      <c r="BJ354" s="315">
        <f t="shared" si="353"/>
        <v>136.75213675213678</v>
      </c>
      <c r="BK354" s="315">
        <f t="shared" si="353"/>
        <v>138.55582200905943</v>
      </c>
      <c r="BL354" s="315">
        <f t="shared" si="353"/>
        <v>180.18018018018017</v>
      </c>
      <c r="BM354" s="315">
        <f t="shared" si="353"/>
        <v>131.68724279835391</v>
      </c>
      <c r="BN354" s="315">
        <f t="shared" si="353"/>
        <v>168.88888888888889</v>
      </c>
      <c r="BO354" s="315">
        <f t="shared" si="353"/>
        <v>126.26262626262627</v>
      </c>
      <c r="BP354" s="315">
        <f t="shared" si="353"/>
        <v>168.16816816816817</v>
      </c>
      <c r="BQ354" s="315">
        <f t="shared" si="353"/>
        <v>129.8205421916762</v>
      </c>
      <c r="BR354" s="315">
        <f t="shared" si="353"/>
        <v>123.60827084753465</v>
      </c>
      <c r="BS354" s="315">
        <f t="shared" si="353"/>
        <v>125.19561815336463</v>
      </c>
      <c r="BT354" s="315">
        <f t="shared" si="353"/>
        <v>126.79346012679343</v>
      </c>
      <c r="BU354" s="315">
        <f t="shared" si="353"/>
        <v>127.89768185451639</v>
      </c>
      <c r="BV354" s="315">
        <f t="shared" si="353"/>
        <v>122.94452128477023</v>
      </c>
      <c r="BW354" s="315">
        <f t="shared" si="353"/>
        <v>124.44444444444444</v>
      </c>
      <c r="BX354" s="315">
        <f t="shared" si="353"/>
        <v>120.12012012012011</v>
      </c>
      <c r="BY354" s="315">
        <f t="shared" si="353"/>
        <v>121.46307798481712</v>
      </c>
      <c r="BZ354" s="315">
        <f t="shared" si="353"/>
        <v>122.78945612278946</v>
      </c>
    </row>
    <row r="355" spans="4:78">
      <c r="D355" s="228"/>
      <c r="E355" s="228"/>
      <c r="F355" s="228"/>
      <c r="G355" s="228"/>
      <c r="H355" s="228"/>
      <c r="I355" s="228"/>
      <c r="J355" s="228"/>
      <c r="K355" s="228"/>
      <c r="L355" s="228"/>
      <c r="M355" s="228"/>
      <c r="N355" s="228"/>
      <c r="O355" s="228"/>
      <c r="P355" s="228"/>
      <c r="Q355" s="228"/>
      <c r="R355" s="228"/>
      <c r="S355" s="228"/>
      <c r="T355" s="228"/>
      <c r="AZ355" s="468"/>
      <c r="BA355" s="476" t="s">
        <v>1626</v>
      </c>
      <c r="BB355" s="477" t="str">
        <f>IF(AND(BB353&gt;=BB325*1.1,BB354&lt;=2*BB325*0.9),"OK","NG")</f>
        <v>OK</v>
      </c>
      <c r="BC355" s="477" t="str">
        <f t="shared" ref="BC355:BZ355" si="354">IF(AND(BC353&gt;=BC325*1.1,BC354&lt;=2*BC325*0.9),"OK","NG")</f>
        <v>OK</v>
      </c>
      <c r="BD355" s="477" t="str">
        <f t="shared" si="354"/>
        <v>OK</v>
      </c>
      <c r="BE355" s="477" t="str">
        <f t="shared" si="354"/>
        <v>OK</v>
      </c>
      <c r="BF355" s="477" t="str">
        <f t="shared" si="354"/>
        <v>OK</v>
      </c>
      <c r="BG355" s="477" t="str">
        <f t="shared" si="354"/>
        <v>OK</v>
      </c>
      <c r="BH355" s="477" t="str">
        <f t="shared" si="354"/>
        <v>OK</v>
      </c>
      <c r="BI355" s="477" t="str">
        <f t="shared" si="354"/>
        <v>OK</v>
      </c>
      <c r="BJ355" s="477" t="str">
        <f t="shared" si="354"/>
        <v>OK</v>
      </c>
      <c r="BK355" s="477" t="str">
        <f t="shared" si="354"/>
        <v>OK</v>
      </c>
      <c r="BL355" s="477" t="str">
        <f t="shared" si="354"/>
        <v>OK</v>
      </c>
      <c r="BM355" s="477" t="str">
        <f t="shared" si="354"/>
        <v>OK</v>
      </c>
      <c r="BN355" s="477" t="str">
        <f t="shared" si="354"/>
        <v>OK</v>
      </c>
      <c r="BO355" s="477" t="str">
        <f t="shared" si="354"/>
        <v>OK</v>
      </c>
      <c r="BP355" s="477" t="str">
        <f t="shared" si="354"/>
        <v>OK</v>
      </c>
      <c r="BQ355" s="477" t="str">
        <f t="shared" si="354"/>
        <v>OK</v>
      </c>
      <c r="BR355" s="477" t="str">
        <f t="shared" si="354"/>
        <v>OK</v>
      </c>
      <c r="BS355" s="477" t="str">
        <f t="shared" si="354"/>
        <v>OK</v>
      </c>
      <c r="BT355" s="477" t="str">
        <f t="shared" si="354"/>
        <v>OK</v>
      </c>
      <c r="BU355" s="477" t="str">
        <f t="shared" si="354"/>
        <v>OK</v>
      </c>
      <c r="BV355" s="477" t="str">
        <f t="shared" si="354"/>
        <v>OK</v>
      </c>
      <c r="BW355" s="477" t="str">
        <f t="shared" si="354"/>
        <v>OK</v>
      </c>
      <c r="BX355" s="477" t="str">
        <f t="shared" si="354"/>
        <v>OK</v>
      </c>
      <c r="BY355" s="477" t="str">
        <f t="shared" si="354"/>
        <v>OK</v>
      </c>
      <c r="BZ355" s="477" t="str">
        <f t="shared" si="354"/>
        <v>OK</v>
      </c>
    </row>
    <row r="356" spans="4:78">
      <c r="D356" s="228"/>
      <c r="E356" s="228"/>
      <c r="F356" s="228"/>
      <c r="G356" s="228"/>
      <c r="H356" s="228"/>
      <c r="I356" s="228"/>
      <c r="J356" s="228"/>
      <c r="K356" s="228"/>
      <c r="L356" s="228"/>
      <c r="M356" s="228"/>
      <c r="N356" s="228"/>
      <c r="O356" s="228"/>
      <c r="P356" s="228"/>
      <c r="Q356" s="228"/>
      <c r="R356" s="228"/>
      <c r="S356" s="228"/>
      <c r="T356" s="228"/>
      <c r="AZ356" s="468">
        <f t="shared" ca="1" si="347"/>
        <v>448.44844844844846</v>
      </c>
      <c r="BA356" s="313" t="s">
        <v>1627</v>
      </c>
      <c r="BB356" s="315">
        <f t="shared" ref="BB356:BZ356" si="355">(8/BB$321)*4*(BB320+1)*1000</f>
        <v>426.13399916770703</v>
      </c>
      <c r="BC356" s="315">
        <f t="shared" si="355"/>
        <v>455.84045584045583</v>
      </c>
      <c r="BD356" s="315">
        <f t="shared" si="355"/>
        <v>399.5006242197253</v>
      </c>
      <c r="BE356" s="315">
        <f t="shared" si="355"/>
        <v>426.66666666666663</v>
      </c>
      <c r="BF356" s="315">
        <f t="shared" si="355"/>
        <v>448.44844844844846</v>
      </c>
      <c r="BG356" s="315">
        <f t="shared" si="355"/>
        <v>406.68119099491639</v>
      </c>
      <c r="BH356" s="315">
        <f t="shared" si="355"/>
        <v>426.13399916770703</v>
      </c>
      <c r="BI356" s="315">
        <f t="shared" si="355"/>
        <v>444.4444444444444</v>
      </c>
      <c r="BJ356" s="315">
        <f t="shared" si="355"/>
        <v>410.25641025641028</v>
      </c>
      <c r="BK356" s="315">
        <f t="shared" si="355"/>
        <v>426.32560618172124</v>
      </c>
      <c r="BL356" s="315">
        <f t="shared" si="355"/>
        <v>520.52052052052056</v>
      </c>
      <c r="BM356" s="315">
        <f t="shared" si="355"/>
        <v>413.8741916519694</v>
      </c>
      <c r="BN356" s="315">
        <f t="shared" si="355"/>
        <v>497.77777777777777</v>
      </c>
      <c r="BO356" s="315">
        <f t="shared" si="355"/>
        <v>404.04040404040404</v>
      </c>
      <c r="BP356" s="315">
        <f t="shared" si="355"/>
        <v>480.48048048048048</v>
      </c>
      <c r="BQ356" s="315">
        <f t="shared" si="355"/>
        <v>427.64413898434509</v>
      </c>
      <c r="BR356" s="315">
        <f t="shared" si="355"/>
        <v>407.18018632129059</v>
      </c>
      <c r="BS356" s="315">
        <f t="shared" si="355"/>
        <v>417.31872717788212</v>
      </c>
      <c r="BT356" s="315">
        <f t="shared" si="355"/>
        <v>427.09376042709368</v>
      </c>
      <c r="BU356" s="315">
        <f t="shared" si="355"/>
        <v>434.8521183053557</v>
      </c>
      <c r="BV356" s="315">
        <f t="shared" si="355"/>
        <v>418.01137236821876</v>
      </c>
      <c r="BW356" s="315">
        <f t="shared" si="355"/>
        <v>426.66666666666663</v>
      </c>
      <c r="BX356" s="315">
        <f t="shared" si="355"/>
        <v>411.84041184041183</v>
      </c>
      <c r="BY356" s="315">
        <f t="shared" si="355"/>
        <v>419.59972394755005</v>
      </c>
      <c r="BZ356" s="315">
        <f t="shared" si="355"/>
        <v>427.0937604270938</v>
      </c>
    </row>
    <row r="357" spans="4:78">
      <c r="D357" s="228"/>
      <c r="E357" s="228"/>
      <c r="F357" s="228"/>
      <c r="G357" s="228"/>
      <c r="H357" s="228"/>
      <c r="I357" s="228"/>
      <c r="J357" s="228"/>
      <c r="K357" s="228"/>
      <c r="L357" s="228"/>
      <c r="M357" s="228"/>
      <c r="N357" s="228"/>
      <c r="O357" s="228"/>
      <c r="P357" s="228"/>
      <c r="Q357" s="228"/>
      <c r="R357" s="228"/>
      <c r="S357" s="228"/>
      <c r="T357" s="228"/>
      <c r="AZ357" s="468"/>
      <c r="BA357" s="476" t="s">
        <v>1628</v>
      </c>
      <c r="BB357" s="477" t="str">
        <f>IF(BB356=BB325*4,"OK","NG")</f>
        <v>OK</v>
      </c>
      <c r="BC357" s="477" t="str">
        <f t="shared" ref="BC357:BZ357" si="356">IF(BC356=BC325*4,"OK","NG")</f>
        <v>OK</v>
      </c>
      <c r="BD357" s="477" t="str">
        <f t="shared" si="356"/>
        <v>OK</v>
      </c>
      <c r="BE357" s="477" t="str">
        <f t="shared" si="356"/>
        <v>OK</v>
      </c>
      <c r="BF357" s="477" t="str">
        <f t="shared" si="356"/>
        <v>OK</v>
      </c>
      <c r="BG357" s="477" t="str">
        <f t="shared" si="356"/>
        <v>OK</v>
      </c>
      <c r="BH357" s="477" t="str">
        <f t="shared" si="356"/>
        <v>OK</v>
      </c>
      <c r="BI357" s="477" t="str">
        <f t="shared" si="356"/>
        <v>OK</v>
      </c>
      <c r="BJ357" s="477" t="str">
        <f t="shared" si="356"/>
        <v>OK</v>
      </c>
      <c r="BK357" s="477" t="str">
        <f t="shared" si="356"/>
        <v>OK</v>
      </c>
      <c r="BL357" s="477" t="str">
        <f>IF(BL356=BL325*4,"OK","NG")</f>
        <v>OK</v>
      </c>
      <c r="BM357" s="477" t="str">
        <f t="shared" si="356"/>
        <v>OK</v>
      </c>
      <c r="BN357" s="477" t="str">
        <f t="shared" si="356"/>
        <v>OK</v>
      </c>
      <c r="BO357" s="477" t="str">
        <f t="shared" si="356"/>
        <v>OK</v>
      </c>
      <c r="BP357" s="477" t="str">
        <f t="shared" si="356"/>
        <v>OK</v>
      </c>
      <c r="BQ357" s="477" t="str">
        <f t="shared" si="356"/>
        <v>OK</v>
      </c>
      <c r="BR357" s="477" t="str">
        <f t="shared" si="356"/>
        <v>OK</v>
      </c>
      <c r="BS357" s="477" t="str">
        <f t="shared" si="356"/>
        <v>OK</v>
      </c>
      <c r="BT357" s="477" t="str">
        <f t="shared" si="356"/>
        <v>OK</v>
      </c>
      <c r="BU357" s="477" t="str">
        <f t="shared" si="356"/>
        <v>OK</v>
      </c>
      <c r="BV357" s="477" t="str">
        <f t="shared" si="356"/>
        <v>OK</v>
      </c>
      <c r="BW357" s="477" t="str">
        <f t="shared" si="356"/>
        <v>OK</v>
      </c>
      <c r="BX357" s="477" t="str">
        <f t="shared" si="356"/>
        <v>OK</v>
      </c>
      <c r="BY357" s="477" t="str">
        <f t="shared" si="356"/>
        <v>OK</v>
      </c>
      <c r="BZ357" s="477" t="str">
        <f t="shared" si="356"/>
        <v>OK</v>
      </c>
    </row>
    <row r="358" spans="4:78">
      <c r="D358" s="228"/>
      <c r="E358" s="228"/>
      <c r="F358" s="228"/>
      <c r="G358" s="228"/>
      <c r="H358" s="228"/>
      <c r="I358" s="228"/>
      <c r="J358" s="228"/>
      <c r="K358" s="228"/>
      <c r="L358" s="228"/>
      <c r="M358" s="228"/>
      <c r="N358" s="228"/>
      <c r="O358" s="228"/>
      <c r="P358" s="228"/>
      <c r="Q358" s="228"/>
      <c r="R358" s="228"/>
      <c r="S358" s="228"/>
      <c r="T358" s="228"/>
      <c r="AZ358" s="468">
        <f t="shared" ca="1" si="347"/>
        <v>584.56056056056059</v>
      </c>
      <c r="BA358" s="313" t="s">
        <v>927</v>
      </c>
      <c r="BB358" s="315">
        <f t="shared" ref="BB358:BZ358" si="357">BB349+BB351+BB322*4+BB332</f>
        <v>651.20099875156052</v>
      </c>
      <c r="BC358" s="315">
        <f t="shared" si="357"/>
        <v>608.59259259259261</v>
      </c>
      <c r="BD358" s="315">
        <f t="shared" si="357"/>
        <v>595.27590511860171</v>
      </c>
      <c r="BE358" s="315">
        <f t="shared" si="357"/>
        <v>606.66666666666674</v>
      </c>
      <c r="BF358" s="315">
        <f t="shared" si="357"/>
        <v>584.56056056056059</v>
      </c>
      <c r="BG358" s="315">
        <f t="shared" si="357"/>
        <v>590.44880174291939</v>
      </c>
      <c r="BH358" s="315">
        <f t="shared" si="357"/>
        <v>587.30087390761548</v>
      </c>
      <c r="BI358" s="315">
        <f t="shared" si="357"/>
        <v>575.20987654320993</v>
      </c>
      <c r="BJ358" s="315">
        <f t="shared" si="357"/>
        <v>583.00854700854688</v>
      </c>
      <c r="BK358" s="315">
        <f t="shared" si="357"/>
        <v>583.56514788169466</v>
      </c>
      <c r="BL358" s="315">
        <f t="shared" si="357"/>
        <v>630.57057057057045</v>
      </c>
      <c r="BM358" s="315">
        <f t="shared" si="357"/>
        <v>580.15520282186947</v>
      </c>
      <c r="BN358" s="315">
        <f t="shared" si="357"/>
        <v>632.88888888888891</v>
      </c>
      <c r="BO358" s="315">
        <f t="shared" si="357"/>
        <v>586.72053872053868</v>
      </c>
      <c r="BP358" s="315">
        <f t="shared" si="357"/>
        <v>632.56056056056059</v>
      </c>
      <c r="BQ358" s="315">
        <f t="shared" si="357"/>
        <v>582.9186712485681</v>
      </c>
      <c r="BR358" s="315">
        <f t="shared" si="357"/>
        <v>586.78845716882529</v>
      </c>
      <c r="BS358" s="315">
        <f t="shared" si="357"/>
        <v>588.60372109198397</v>
      </c>
      <c r="BT358" s="315">
        <f t="shared" si="357"/>
        <v>597.86720053386716</v>
      </c>
      <c r="BU358" s="315">
        <f t="shared" si="357"/>
        <v>598.77537969624314</v>
      </c>
      <c r="BV358" s="315">
        <f t="shared" si="357"/>
        <v>596.66144152451204</v>
      </c>
      <c r="BW358" s="315">
        <f t="shared" si="357"/>
        <v>599.40740740740739</v>
      </c>
      <c r="BX358" s="315">
        <f t="shared" si="357"/>
        <v>598.24052624052615</v>
      </c>
      <c r="BY358" s="315">
        <f t="shared" si="357"/>
        <v>600.49965493443756</v>
      </c>
      <c r="BZ358" s="315">
        <f t="shared" si="357"/>
        <v>603.18985652318986</v>
      </c>
    </row>
    <row r="359" spans="4:78">
      <c r="D359" s="228"/>
      <c r="E359" s="228"/>
      <c r="F359" s="228"/>
      <c r="G359" s="228"/>
      <c r="H359" s="228"/>
      <c r="I359" s="228"/>
      <c r="J359" s="228"/>
      <c r="K359" s="228"/>
      <c r="L359" s="228"/>
      <c r="M359" s="228"/>
      <c r="N359" s="228"/>
      <c r="O359" s="228"/>
      <c r="P359" s="228"/>
      <c r="Q359" s="228"/>
      <c r="R359" s="228"/>
      <c r="S359" s="228"/>
      <c r="T359" s="228"/>
    </row>
    <row r="360" spans="4:78">
      <c r="D360" s="228"/>
      <c r="E360" s="228"/>
      <c r="F360" s="228"/>
      <c r="G360" s="228"/>
      <c r="H360" s="228"/>
      <c r="I360" s="228"/>
      <c r="J360" s="228"/>
      <c r="K360" s="228"/>
      <c r="L360" s="228"/>
      <c r="M360" s="228"/>
      <c r="N360" s="228"/>
      <c r="O360" s="228"/>
      <c r="P360" s="228"/>
      <c r="Q360" s="228"/>
      <c r="R360" s="228"/>
      <c r="S360" s="228"/>
      <c r="T360" s="228"/>
    </row>
    <row r="361" spans="4:78">
      <c r="D361" s="228"/>
      <c r="E361" s="228"/>
      <c r="F361" s="228"/>
      <c r="G361" s="228"/>
      <c r="H361" s="228"/>
      <c r="I361" s="228"/>
      <c r="J361" s="228"/>
      <c r="K361" s="228"/>
      <c r="L361" s="228"/>
      <c r="M361" s="228"/>
      <c r="N361" s="228"/>
      <c r="O361" s="228"/>
      <c r="P361" s="228"/>
      <c r="Q361" s="228"/>
      <c r="R361" s="228"/>
      <c r="S361" s="228"/>
      <c r="T361" s="228"/>
    </row>
    <row r="362" spans="4:78">
      <c r="D362" s="228"/>
      <c r="E362" s="228"/>
      <c r="F362" s="228"/>
      <c r="G362" s="228"/>
      <c r="H362" s="228"/>
      <c r="I362" s="228"/>
      <c r="J362" s="228"/>
      <c r="K362" s="228"/>
      <c r="L362" s="228"/>
      <c r="M362" s="228"/>
      <c r="N362" s="228"/>
      <c r="O362" s="228"/>
      <c r="P362" s="228"/>
      <c r="Q362" s="228"/>
      <c r="R362" s="228"/>
      <c r="S362" s="228"/>
      <c r="T362" s="228"/>
    </row>
    <row r="363" spans="4:78">
      <c r="D363" s="228"/>
      <c r="E363" s="228"/>
      <c r="F363" s="228"/>
      <c r="G363" s="228"/>
      <c r="H363" s="228"/>
      <c r="I363" s="228"/>
      <c r="J363" s="228"/>
      <c r="K363" s="228"/>
      <c r="L363" s="228"/>
      <c r="M363" s="228"/>
      <c r="N363" s="228"/>
      <c r="O363" s="228"/>
      <c r="P363" s="228"/>
      <c r="Q363" s="228"/>
      <c r="R363" s="228"/>
      <c r="S363" s="228"/>
      <c r="T363" s="228"/>
    </row>
    <row r="364" spans="4:78">
      <c r="D364" s="228"/>
      <c r="E364" s="228"/>
      <c r="F364" s="228"/>
      <c r="G364" s="228"/>
      <c r="H364" s="228"/>
      <c r="I364" s="228"/>
      <c r="J364" s="228"/>
      <c r="K364" s="228"/>
      <c r="L364" s="228"/>
      <c r="M364" s="228"/>
      <c r="N364" s="228"/>
      <c r="O364" s="228"/>
      <c r="P364" s="228"/>
      <c r="Q364" s="228"/>
      <c r="R364" s="228"/>
      <c r="S364" s="228"/>
      <c r="T364" s="228"/>
    </row>
    <row r="365" spans="4:78">
      <c r="D365" s="228"/>
      <c r="E365" s="228"/>
      <c r="F365" s="228"/>
      <c r="G365" s="228"/>
      <c r="H365" s="228"/>
      <c r="I365" s="228"/>
      <c r="J365" s="228"/>
      <c r="K365" s="228"/>
      <c r="L365" s="228"/>
      <c r="M365" s="228"/>
      <c r="N365" s="228"/>
      <c r="O365" s="228"/>
      <c r="P365" s="228"/>
      <c r="Q365" s="228"/>
      <c r="R365" s="228"/>
      <c r="S365" s="228"/>
      <c r="T365" s="228"/>
    </row>
    <row r="366" spans="4:78">
      <c r="D366" s="228"/>
      <c r="E366" s="228"/>
      <c r="F366" s="228"/>
      <c r="G366" s="228"/>
      <c r="H366" s="228"/>
      <c r="I366" s="228"/>
      <c r="J366" s="228"/>
      <c r="K366" s="228"/>
      <c r="L366" s="228"/>
      <c r="M366" s="228"/>
      <c r="N366" s="228"/>
      <c r="O366" s="228"/>
      <c r="P366" s="228"/>
      <c r="Q366" s="228"/>
      <c r="R366" s="228"/>
      <c r="S366" s="228"/>
      <c r="T366" s="228"/>
    </row>
    <row r="367" spans="4:78">
      <c r="D367" s="228"/>
      <c r="E367" s="228"/>
      <c r="F367" s="228"/>
      <c r="G367" s="228"/>
      <c r="H367" s="228"/>
      <c r="I367" s="228"/>
      <c r="J367" s="228"/>
      <c r="K367" s="228"/>
      <c r="L367" s="228"/>
      <c r="M367" s="228"/>
      <c r="N367" s="228"/>
      <c r="O367" s="228"/>
      <c r="P367" s="228"/>
      <c r="Q367" s="228"/>
      <c r="R367" s="228"/>
      <c r="S367" s="228"/>
      <c r="T367" s="228"/>
    </row>
    <row r="368" spans="4:78">
      <c r="D368" s="228"/>
      <c r="E368" s="228"/>
      <c r="F368" s="228"/>
      <c r="G368" s="228"/>
      <c r="H368" s="228"/>
      <c r="I368" s="228"/>
      <c r="J368" s="228"/>
      <c r="K368" s="228"/>
      <c r="L368" s="228"/>
      <c r="M368" s="228"/>
      <c r="N368" s="228"/>
      <c r="O368" s="228"/>
      <c r="P368" s="228"/>
      <c r="Q368" s="228"/>
      <c r="R368" s="228"/>
      <c r="S368" s="228"/>
      <c r="T368" s="228"/>
    </row>
    <row r="369" spans="4:20">
      <c r="D369" s="228"/>
      <c r="E369" s="228"/>
      <c r="F369" s="228"/>
      <c r="G369" s="228"/>
      <c r="H369" s="228"/>
      <c r="I369" s="228"/>
      <c r="J369" s="228"/>
      <c r="K369" s="228"/>
      <c r="L369" s="228"/>
      <c r="M369" s="228"/>
      <c r="N369" s="228"/>
      <c r="O369" s="228"/>
      <c r="P369" s="228"/>
      <c r="Q369" s="228"/>
      <c r="R369" s="228"/>
      <c r="S369" s="228"/>
      <c r="T369" s="228"/>
    </row>
    <row r="370" spans="4:20">
      <c r="D370" s="228"/>
      <c r="E370" s="228"/>
      <c r="F370" s="228"/>
      <c r="G370" s="228"/>
      <c r="H370" s="228"/>
      <c r="I370" s="228"/>
      <c r="J370" s="228"/>
      <c r="K370" s="228"/>
      <c r="L370" s="228"/>
      <c r="M370" s="228"/>
      <c r="N370" s="228"/>
      <c r="O370" s="228"/>
      <c r="P370" s="228"/>
      <c r="Q370" s="228"/>
      <c r="R370" s="228"/>
      <c r="S370" s="228"/>
      <c r="T370" s="228"/>
    </row>
    <row r="371" spans="4:20">
      <c r="D371" s="228"/>
      <c r="E371" s="228"/>
      <c r="F371" s="228"/>
      <c r="G371" s="228"/>
      <c r="H371" s="228"/>
      <c r="I371" s="228"/>
      <c r="J371" s="228"/>
      <c r="K371" s="228"/>
      <c r="L371" s="228"/>
      <c r="M371" s="228"/>
      <c r="N371" s="228"/>
      <c r="O371" s="228"/>
      <c r="P371" s="228"/>
      <c r="Q371" s="228"/>
      <c r="R371" s="228"/>
      <c r="S371" s="228"/>
      <c r="T371" s="228"/>
    </row>
    <row r="372" spans="4:20">
      <c r="D372" s="228"/>
      <c r="E372" s="228"/>
      <c r="F372" s="228"/>
      <c r="G372" s="228"/>
      <c r="H372" s="228"/>
      <c r="I372" s="228"/>
      <c r="J372" s="228"/>
      <c r="K372" s="228"/>
      <c r="L372" s="228"/>
      <c r="M372" s="228"/>
      <c r="N372" s="228"/>
      <c r="O372" s="228"/>
      <c r="P372" s="228"/>
      <c r="Q372" s="228"/>
      <c r="R372" s="228"/>
      <c r="S372" s="228"/>
      <c r="T372" s="228"/>
    </row>
    <row r="373" spans="4:20">
      <c r="D373" s="228"/>
      <c r="E373" s="228"/>
      <c r="F373" s="228"/>
      <c r="G373" s="228"/>
      <c r="H373" s="228"/>
      <c r="I373" s="228"/>
      <c r="J373" s="228"/>
      <c r="K373" s="228"/>
      <c r="L373" s="228"/>
      <c r="M373" s="228"/>
      <c r="N373" s="228"/>
      <c r="O373" s="228"/>
      <c r="P373" s="228"/>
      <c r="Q373" s="228"/>
      <c r="R373" s="228"/>
      <c r="S373" s="228"/>
      <c r="T373" s="228"/>
    </row>
    <row r="374" spans="4:20">
      <c r="D374" s="228"/>
      <c r="E374" s="228"/>
      <c r="F374" s="228"/>
      <c r="G374" s="228"/>
      <c r="H374" s="228"/>
      <c r="I374" s="228"/>
      <c r="J374" s="228"/>
      <c r="K374" s="228"/>
      <c r="L374" s="228"/>
      <c r="M374" s="228"/>
      <c r="N374" s="228"/>
      <c r="O374" s="228"/>
      <c r="P374" s="228"/>
      <c r="Q374" s="228"/>
      <c r="R374" s="228"/>
      <c r="S374" s="228"/>
      <c r="T374" s="228"/>
    </row>
    <row r="375" spans="4:20">
      <c r="D375" s="228"/>
      <c r="E375" s="228"/>
      <c r="F375" s="228"/>
      <c r="G375" s="228"/>
      <c r="H375" s="228"/>
      <c r="I375" s="228"/>
      <c r="J375" s="228"/>
      <c r="K375" s="228"/>
      <c r="L375" s="228"/>
      <c r="M375" s="228"/>
      <c r="N375" s="228"/>
      <c r="O375" s="228"/>
      <c r="P375" s="228"/>
      <c r="Q375" s="228"/>
      <c r="R375" s="228"/>
      <c r="S375" s="228"/>
      <c r="T375" s="228"/>
    </row>
    <row r="376" spans="4:20">
      <c r="D376" s="228"/>
      <c r="E376" s="228"/>
      <c r="F376" s="228"/>
      <c r="G376" s="228"/>
      <c r="H376" s="228"/>
      <c r="I376" s="228"/>
      <c r="J376" s="228"/>
      <c r="K376" s="228"/>
      <c r="L376" s="228"/>
      <c r="M376" s="228"/>
      <c r="N376" s="228"/>
      <c r="O376" s="228"/>
      <c r="P376" s="228"/>
      <c r="Q376" s="228"/>
      <c r="R376" s="228"/>
      <c r="S376" s="228"/>
      <c r="T376" s="228"/>
    </row>
    <row r="377" spans="4:20">
      <c r="D377" s="228"/>
      <c r="E377" s="228"/>
      <c r="F377" s="228"/>
      <c r="G377" s="228"/>
      <c r="H377" s="228"/>
      <c r="I377" s="228"/>
      <c r="J377" s="228"/>
      <c r="K377" s="228"/>
      <c r="L377" s="228"/>
      <c r="M377" s="228"/>
      <c r="N377" s="228"/>
      <c r="O377" s="228"/>
      <c r="P377" s="228"/>
      <c r="Q377" s="228"/>
      <c r="R377" s="228"/>
      <c r="S377" s="228"/>
      <c r="T377" s="228"/>
    </row>
    <row r="378" spans="4:20">
      <c r="D378" s="228"/>
      <c r="E378" s="228"/>
      <c r="F378" s="228"/>
      <c r="G378" s="228"/>
      <c r="H378" s="228"/>
      <c r="I378" s="228"/>
      <c r="J378" s="228"/>
      <c r="K378" s="228"/>
      <c r="L378" s="228"/>
      <c r="M378" s="228"/>
      <c r="N378" s="228"/>
      <c r="O378" s="228"/>
      <c r="P378" s="228"/>
      <c r="Q378" s="228"/>
      <c r="R378" s="228"/>
      <c r="S378" s="228"/>
      <c r="T378" s="228"/>
    </row>
    <row r="379" spans="4:20">
      <c r="D379" s="228"/>
      <c r="E379" s="228"/>
      <c r="F379" s="228"/>
      <c r="G379" s="228"/>
      <c r="H379" s="228"/>
      <c r="I379" s="228"/>
      <c r="J379" s="228"/>
      <c r="K379" s="228"/>
      <c r="L379" s="228"/>
      <c r="M379" s="228"/>
      <c r="N379" s="228"/>
      <c r="O379" s="228"/>
      <c r="P379" s="228"/>
      <c r="Q379" s="228"/>
      <c r="R379" s="228"/>
      <c r="S379" s="228"/>
      <c r="T379" s="228"/>
    </row>
    <row r="380" spans="4:20">
      <c r="D380" s="228"/>
      <c r="E380" s="228"/>
      <c r="F380" s="228"/>
      <c r="G380" s="228"/>
      <c r="H380" s="228"/>
      <c r="I380" s="228"/>
      <c r="J380" s="228"/>
      <c r="K380" s="228"/>
      <c r="L380" s="228"/>
      <c r="M380" s="228"/>
      <c r="N380" s="228"/>
      <c r="O380" s="228"/>
      <c r="P380" s="228"/>
      <c r="Q380" s="228"/>
      <c r="R380" s="228"/>
      <c r="S380" s="228"/>
      <c r="T380" s="228"/>
    </row>
    <row r="381" spans="4:20">
      <c r="D381" s="228"/>
      <c r="E381" s="228"/>
      <c r="F381" s="228"/>
      <c r="G381" s="228"/>
      <c r="H381" s="228"/>
      <c r="I381" s="228"/>
      <c r="J381" s="228"/>
      <c r="K381" s="228"/>
      <c r="L381" s="228"/>
      <c r="M381" s="228"/>
      <c r="N381" s="228"/>
      <c r="O381" s="228"/>
      <c r="P381" s="228"/>
      <c r="Q381" s="228"/>
      <c r="R381" s="228"/>
      <c r="S381" s="228"/>
      <c r="T381" s="228"/>
    </row>
  </sheetData>
  <sheetProtection algorithmName="SHA-512" hashValue="thmQGijJShttXajc4+I/By7OZaJn0WYvFHK9ldK5++oqfZtAYPdPnn991WSweQa3GsFTeyvxIOgCeXPSiVDczQ==" saltValue="HdOfA90Xpe/3BalSRM3Hxg==" spinCount="100000" sheet="1" objects="1" scenarios="1" selectLockedCells="1"/>
  <sortState ref="BQ4:BR19">
    <sortCondition descending="1" ref="BQ4:BQ19"/>
    <sortCondition descending="1" ref="BR4:BR19"/>
  </sortState>
  <mergeCells count="113">
    <mergeCell ref="M124:N124"/>
    <mergeCell ref="M112:N112"/>
    <mergeCell ref="M113:N113"/>
    <mergeCell ref="M114:N114"/>
    <mergeCell ref="M115:N115"/>
    <mergeCell ref="M116:N116"/>
    <mergeCell ref="M117:N117"/>
    <mergeCell ref="M108:N108"/>
    <mergeCell ref="M109:N109"/>
    <mergeCell ref="M110:N110"/>
    <mergeCell ref="M111:N111"/>
    <mergeCell ref="M121:N121"/>
    <mergeCell ref="M122:N122"/>
    <mergeCell ref="R122:T123"/>
    <mergeCell ref="M123:N123"/>
    <mergeCell ref="R85:T85"/>
    <mergeCell ref="R86:T86"/>
    <mergeCell ref="R87:T87"/>
    <mergeCell ref="R82:T82"/>
    <mergeCell ref="M103:N103"/>
    <mergeCell ref="M106:N106"/>
    <mergeCell ref="M98:N98"/>
    <mergeCell ref="M99:N99"/>
    <mergeCell ref="M92:N92"/>
    <mergeCell ref="M93:N93"/>
    <mergeCell ref="M94:N94"/>
    <mergeCell ref="R111:T111"/>
    <mergeCell ref="M90:N90"/>
    <mergeCell ref="M91:N91"/>
    <mergeCell ref="R97:T97"/>
    <mergeCell ref="R112:T113"/>
    <mergeCell ref="R114:T115"/>
    <mergeCell ref="M95:N95"/>
    <mergeCell ref="M96:N96"/>
    <mergeCell ref="M97:N97"/>
    <mergeCell ref="M120:N120"/>
    <mergeCell ref="R106:T107"/>
    <mergeCell ref="B16:L16"/>
    <mergeCell ref="F98:H99"/>
    <mergeCell ref="M17:O17"/>
    <mergeCell ref="F83:H83"/>
    <mergeCell ref="F85:H85"/>
    <mergeCell ref="B81:H81"/>
    <mergeCell ref="C85:C86"/>
    <mergeCell ref="D85:D86"/>
    <mergeCell ref="B85:B86"/>
    <mergeCell ref="M82:N82"/>
    <mergeCell ref="B69:B74"/>
    <mergeCell ref="M83:N83"/>
    <mergeCell ref="M84:N84"/>
    <mergeCell ref="M87:N87"/>
    <mergeCell ref="M85:N86"/>
    <mergeCell ref="M88:N88"/>
    <mergeCell ref="M89:N89"/>
    <mergeCell ref="H40:H41"/>
    <mergeCell ref="F82:H82"/>
    <mergeCell ref="F87:H87"/>
    <mergeCell ref="F92:H92"/>
    <mergeCell ref="F93:H93"/>
    <mergeCell ref="H37:I37"/>
    <mergeCell ref="J37:K37"/>
    <mergeCell ref="R83:T83"/>
    <mergeCell ref="O85:O86"/>
    <mergeCell ref="P85:P86"/>
    <mergeCell ref="R92:T92"/>
    <mergeCell ref="R93:T93"/>
    <mergeCell ref="R94:T95"/>
    <mergeCell ref="R96:T96"/>
    <mergeCell ref="M100:N100"/>
    <mergeCell ref="M101:N101"/>
    <mergeCell ref="R98:T99"/>
    <mergeCell ref="F111:H111"/>
    <mergeCell ref="F108:H109"/>
    <mergeCell ref="F112:H113"/>
    <mergeCell ref="F120:H121"/>
    <mergeCell ref="F114:H115"/>
    <mergeCell ref="F118:H119"/>
    <mergeCell ref="R100:T100"/>
    <mergeCell ref="R101:T101"/>
    <mergeCell ref="R104:T105"/>
    <mergeCell ref="R116:T117"/>
    <mergeCell ref="R108:T109"/>
    <mergeCell ref="R110:T110"/>
    <mergeCell ref="R120:T121"/>
    <mergeCell ref="M107:N107"/>
    <mergeCell ref="M102:N102"/>
    <mergeCell ref="R102:T103"/>
    <mergeCell ref="M104:N104"/>
    <mergeCell ref="M105:N105"/>
    <mergeCell ref="E41:F41"/>
    <mergeCell ref="B68:K68"/>
    <mergeCell ref="F124:H124"/>
    <mergeCell ref="F125:H125"/>
    <mergeCell ref="R124:T124"/>
    <mergeCell ref="R125:T125"/>
    <mergeCell ref="C124:E124"/>
    <mergeCell ref="C125:E125"/>
    <mergeCell ref="M125:N125"/>
    <mergeCell ref="M118:N118"/>
    <mergeCell ref="R118:T119"/>
    <mergeCell ref="M119:N119"/>
    <mergeCell ref="F102:H103"/>
    <mergeCell ref="F86:H86"/>
    <mergeCell ref="F106:H107"/>
    <mergeCell ref="F100:H100"/>
    <mergeCell ref="F101:H101"/>
    <mergeCell ref="F122:H123"/>
    <mergeCell ref="F116:H117"/>
    <mergeCell ref="F110:H110"/>
    <mergeCell ref="F104:H105"/>
    <mergeCell ref="F97:H97"/>
    <mergeCell ref="F94:H95"/>
    <mergeCell ref="F96:H96"/>
  </mergeCells>
  <phoneticPr fontId="15"/>
  <conditionalFormatting sqref="B20">
    <cfRule type="expression" dxfId="60" priority="217" stopIfTrue="1">
      <formula>D72="Color Bar"</formula>
    </cfRule>
  </conditionalFormatting>
  <conditionalFormatting sqref="O83 O86">
    <cfRule type="expression" dxfId="59" priority="121" stopIfTrue="1">
      <formula>O68="Same as TX0"</formula>
    </cfRule>
  </conditionalFormatting>
  <conditionalFormatting sqref="O88">
    <cfRule type="expression" dxfId="58" priority="118" stopIfTrue="1">
      <formula>O68="Same as TX0"</formula>
    </cfRule>
  </conditionalFormatting>
  <conditionalFormatting sqref="O95">
    <cfRule type="expression" dxfId="57" priority="116" stopIfTrue="1">
      <formula>O68="Same as TX0"</formula>
    </cfRule>
  </conditionalFormatting>
  <conditionalFormatting sqref="O97">
    <cfRule type="expression" dxfId="56" priority="115" stopIfTrue="1">
      <formula>O68="Same as TX0"</formula>
    </cfRule>
  </conditionalFormatting>
  <conditionalFormatting sqref="O99">
    <cfRule type="expression" dxfId="55" priority="114" stopIfTrue="1">
      <formula>O68="Same as TX0"</formula>
    </cfRule>
  </conditionalFormatting>
  <conditionalFormatting sqref="O101">
    <cfRule type="expression" dxfId="54" priority="113" stopIfTrue="1">
      <formula>O68="Same as TX0"</formula>
    </cfRule>
  </conditionalFormatting>
  <conditionalFormatting sqref="O105">
    <cfRule type="expression" dxfId="53" priority="112" stopIfTrue="1">
      <formula>O68="Same as TX0"</formula>
    </cfRule>
  </conditionalFormatting>
  <conditionalFormatting sqref="O109">
    <cfRule type="expression" dxfId="52" priority="111" stopIfTrue="1">
      <formula>O68="Same as TX0"</formula>
    </cfRule>
  </conditionalFormatting>
  <conditionalFormatting sqref="O111">
    <cfRule type="expression" dxfId="51" priority="110" stopIfTrue="1">
      <formula>O68="Same as TX0"</formula>
    </cfRule>
  </conditionalFormatting>
  <conditionalFormatting sqref="O113">
    <cfRule type="expression" dxfId="50" priority="109" stopIfTrue="1">
      <formula>O68="Same as TX0"</formula>
    </cfRule>
  </conditionalFormatting>
  <conditionalFormatting sqref="O115">
    <cfRule type="expression" dxfId="49" priority="108" stopIfTrue="1">
      <formula>O68="Same as TX0"</formula>
    </cfRule>
  </conditionalFormatting>
  <conditionalFormatting sqref="O117">
    <cfRule type="expression" dxfId="48" priority="107" stopIfTrue="1">
      <formula>O68="Same as TX0"</formula>
    </cfRule>
  </conditionalFormatting>
  <conditionalFormatting sqref="D52">
    <cfRule type="expression" dxfId="47" priority="106" stopIfTrue="1">
      <formula>C52&lt;&gt;"Half(Auto)"</formula>
    </cfRule>
  </conditionalFormatting>
  <conditionalFormatting sqref="E52">
    <cfRule type="expression" dxfId="46" priority="105" stopIfTrue="1">
      <formula>C52&lt;&gt;"Manual"</formula>
    </cfRule>
  </conditionalFormatting>
  <conditionalFormatting sqref="E55">
    <cfRule type="expression" dxfId="45" priority="104" stopIfTrue="1">
      <formula>C52&lt;&gt;"Manual"</formula>
    </cfRule>
  </conditionalFormatting>
  <conditionalFormatting sqref="G52">
    <cfRule type="expression" dxfId="44" priority="103" stopIfTrue="1">
      <formula>C52&lt;&gt;"Manual"</formula>
    </cfRule>
  </conditionalFormatting>
  <conditionalFormatting sqref="G55">
    <cfRule type="expression" dxfId="43" priority="102" stopIfTrue="1">
      <formula>C52&lt;&gt;"Manual"</formula>
    </cfRule>
  </conditionalFormatting>
  <conditionalFormatting sqref="S14">
    <cfRule type="expression" dxfId="42" priority="439" stopIfTrue="1">
      <formula>N77="Color Bar"</formula>
    </cfRule>
    <cfRule type="expression" dxfId="41" priority="440" stopIfTrue="1">
      <formula>R14="Original"</formula>
    </cfRule>
    <cfRule type="expression" dxfId="40" priority="441" stopIfTrue="1">
      <formula>R10="Disable"</formula>
    </cfRule>
  </conditionalFormatting>
  <conditionalFormatting sqref="R14">
    <cfRule type="expression" dxfId="39" priority="442" stopIfTrue="1">
      <formula>N77="Color Bar"</formula>
    </cfRule>
    <cfRule type="expression" dxfId="38" priority="443" stopIfTrue="1">
      <formula>R10="Disable"</formula>
    </cfRule>
  </conditionalFormatting>
  <conditionalFormatting sqref="S13">
    <cfRule type="expression" dxfId="37" priority="444" stopIfTrue="1">
      <formula>N77="Color Bar"</formula>
    </cfRule>
    <cfRule type="expression" dxfId="36" priority="445" stopIfTrue="1">
      <formula>R13="Original"</formula>
    </cfRule>
    <cfRule type="expression" dxfId="35" priority="446" stopIfTrue="1">
      <formula>R10="Disable"</formula>
    </cfRule>
  </conditionalFormatting>
  <conditionalFormatting sqref="R13">
    <cfRule type="expression" dxfId="34" priority="447" stopIfTrue="1">
      <formula>N77="Color Bar"</formula>
    </cfRule>
    <cfRule type="expression" dxfId="33" priority="448" stopIfTrue="1">
      <formula>R10="Disable"</formula>
    </cfRule>
  </conditionalFormatting>
  <conditionalFormatting sqref="O84">
    <cfRule type="expression" dxfId="32" priority="502" stopIfTrue="1">
      <formula>O68="Same as TX0"</formula>
    </cfRule>
  </conditionalFormatting>
  <conditionalFormatting sqref="O85">
    <cfRule type="expression" dxfId="31" priority="504" stopIfTrue="1">
      <formula>O68="Same as TX0"</formula>
    </cfRule>
  </conditionalFormatting>
  <conditionalFormatting sqref="O89">
    <cfRule type="expression" dxfId="30" priority="506" stopIfTrue="1">
      <formula>O68="Same as TX0"</formula>
    </cfRule>
  </conditionalFormatting>
  <conditionalFormatting sqref="O90">
    <cfRule type="expression" dxfId="29" priority="507" stopIfTrue="1">
      <formula>O68="Same as TX0"</formula>
    </cfRule>
  </conditionalFormatting>
  <conditionalFormatting sqref="O121">
    <cfRule type="expression" dxfId="28" priority="518" stopIfTrue="1">
      <formula>O68="Same as TX0"</formula>
    </cfRule>
  </conditionalFormatting>
  <conditionalFormatting sqref="O103">
    <cfRule type="expression" dxfId="27" priority="74" stopIfTrue="1">
      <formula>O68="Same as TX0"</formula>
    </cfRule>
  </conditionalFormatting>
  <conditionalFormatting sqref="O107">
    <cfRule type="expression" dxfId="26" priority="73" stopIfTrue="1">
      <formula>O68="Same as TX0"</formula>
    </cfRule>
  </conditionalFormatting>
  <conditionalFormatting sqref="O119">
    <cfRule type="expression" dxfId="25" priority="72" stopIfTrue="1">
      <formula>O68="Same as TX0"</formula>
    </cfRule>
  </conditionalFormatting>
  <conditionalFormatting sqref="L20">
    <cfRule type="expression" dxfId="24" priority="524" stopIfTrue="1">
      <formula>C29="Color Bar"</formula>
    </cfRule>
  </conditionalFormatting>
  <conditionalFormatting sqref="S11:S12">
    <cfRule type="expression" dxfId="23" priority="579" stopIfTrue="1">
      <formula>N76="Color Bar"</formula>
    </cfRule>
    <cfRule type="expression" dxfId="22" priority="580" stopIfTrue="1">
      <formula>R11="Original"</formula>
    </cfRule>
    <cfRule type="expression" dxfId="21" priority="581" stopIfTrue="1">
      <formula>R9="Disable"</formula>
    </cfRule>
  </conditionalFormatting>
  <conditionalFormatting sqref="R11:R12">
    <cfRule type="expression" dxfId="20" priority="582" stopIfTrue="1">
      <formula>N76="Color Bar"</formula>
    </cfRule>
    <cfRule type="expression" dxfId="19" priority="583" stopIfTrue="1">
      <formula>R9="Disable"</formula>
    </cfRule>
  </conditionalFormatting>
  <conditionalFormatting sqref="F19">
    <cfRule type="expression" dxfId="18" priority="49">
      <formula>B20&lt;&gt;"Original"</formula>
    </cfRule>
  </conditionalFormatting>
  <conditionalFormatting sqref="J19">
    <cfRule type="expression" dxfId="17" priority="48">
      <formula>B20&lt;&gt;"Original"</formula>
    </cfRule>
  </conditionalFormatting>
  <conditionalFormatting sqref="F70">
    <cfRule type="expression" dxfId="16" priority="47">
      <formula>C42="SyncEvent"</formula>
    </cfRule>
  </conditionalFormatting>
  <conditionalFormatting sqref="F71">
    <cfRule type="expression" dxfId="15" priority="46">
      <formula>C42="SyncEvent"</formula>
    </cfRule>
  </conditionalFormatting>
  <conditionalFormatting sqref="G71">
    <cfRule type="expression" dxfId="14" priority="45">
      <formula>G70="Follow Input"</formula>
    </cfRule>
  </conditionalFormatting>
  <conditionalFormatting sqref="D71">
    <cfRule type="expression" dxfId="13" priority="44">
      <formula>C42="SyncEvent"</formula>
    </cfRule>
  </conditionalFormatting>
  <conditionalFormatting sqref="D70">
    <cfRule type="expression" dxfId="12" priority="43">
      <formula>C42="SyncEvent"</formula>
    </cfRule>
  </conditionalFormatting>
  <conditionalFormatting sqref="C30">
    <cfRule type="expression" dxfId="11" priority="42">
      <formula>C29="Color Bar"</formula>
    </cfRule>
  </conditionalFormatting>
  <conditionalFormatting sqref="C21:C22">
    <cfRule type="expression" dxfId="10" priority="12">
      <formula>$C$29="Color Bar"</formula>
    </cfRule>
  </conditionalFormatting>
  <conditionalFormatting sqref="G29:I29">
    <cfRule type="expression" dxfId="9" priority="584">
      <formula>OR($C$29&lt;&gt;"Color Bar",$E$28&lt;&gt;"CB00 En",$F$29&lt;&gt;"Original RGB")</formula>
    </cfRule>
  </conditionalFormatting>
  <conditionalFormatting sqref="F29">
    <cfRule type="expression" dxfId="8" priority="585">
      <formula>OR($C$29&lt;&gt;"Color Bar",$E$28&lt;&gt;"CB00 En")</formula>
    </cfRule>
  </conditionalFormatting>
  <conditionalFormatting sqref="C20">
    <cfRule type="expression" dxfId="7" priority="10">
      <formula>$C$29="Color Bar"</formula>
    </cfRule>
  </conditionalFormatting>
  <conditionalFormatting sqref="E41:F41">
    <cfRule type="expression" dxfId="6" priority="9">
      <formula>C41="TX0 Enable"</formula>
    </cfRule>
  </conditionalFormatting>
  <conditionalFormatting sqref="E71">
    <cfRule type="expression" dxfId="5" priority="7">
      <formula>E70="Follow Input"</formula>
    </cfRule>
  </conditionalFormatting>
  <conditionalFormatting sqref="H39 K39 I43:I45 I41:K41">
    <cfRule type="expression" dxfId="4" priority="6">
      <formula>$I$35="Disable"</formula>
    </cfRule>
  </conditionalFormatting>
  <conditionalFormatting sqref="I39:J39">
    <cfRule type="expression" dxfId="3" priority="5">
      <formula>$I$36="Disable"</formula>
    </cfRule>
  </conditionalFormatting>
  <conditionalFormatting sqref="I41:K41">
    <cfRule type="expression" dxfId="2" priority="3">
      <formula>$C$46="Enable"</formula>
    </cfRule>
  </conditionalFormatting>
  <conditionalFormatting sqref="H39:K39">
    <cfRule type="expression" dxfId="1" priority="2">
      <formula>$C$46="Enable"</formula>
    </cfRule>
  </conditionalFormatting>
  <conditionalFormatting sqref="I35:I36">
    <cfRule type="expression" dxfId="0" priority="1">
      <formula>$C$46="Enable"</formula>
    </cfRule>
  </conditionalFormatting>
  <dataValidations count="32">
    <dataValidation type="list" allowBlank="1" showInputMessage="1" showErrorMessage="1" sqref="C84 O84">
      <formula1>"62.5M-125M,125M-250M,250M-500M,500M-1G"</formula1>
    </dataValidation>
    <dataValidation type="list" allowBlank="1" showInputMessage="1" showErrorMessage="1" sqref="C89 O89">
      <formula1>"Yes, No"</formula1>
    </dataValidation>
    <dataValidation type="list" allowBlank="1" showInputMessage="1" showErrorMessage="1" sqref="C90:C91 O90:O91">
      <formula1>"Enable, Disable"</formula1>
    </dataValidation>
    <dataValidation type="list" allowBlank="1" showInputMessage="1" showErrorMessage="1" sqref="C40 O88">
      <formula1>"1,2,3,4"</formula1>
    </dataValidation>
    <dataValidation type="list" allowBlank="1" showInputMessage="1" showErrorMessage="1" sqref="R11:R14">
      <formula1>"Original,Select"</formula1>
    </dataValidation>
    <dataValidation type="list" allowBlank="1" showInputMessage="1" showErrorMessage="1" sqref="S11:S14">
      <formula1>"640x480p60Hz (1),720x480p60Hz (2),1280x720p60Hz (4),1920x1080p60Hz (16)"</formula1>
    </dataValidation>
    <dataValidation type="list" allowBlank="1" showInputMessage="1" showErrorMessage="1" sqref="D70:G70">
      <formula1>"Follow Input,Set"</formula1>
    </dataValidation>
    <dataValidation type="list" allowBlank="1" showInputMessage="1" showErrorMessage="1" sqref="D55 C42">
      <formula1>"SyncEvent,SyncPulse"</formula1>
    </dataValidation>
    <dataValidation type="list" allowBlank="1" showInputMessage="1" showErrorMessage="1" sqref="L20">
      <formula1>"RGB888"</formula1>
    </dataValidation>
    <dataValidation type="list" allowBlank="1" showInputMessage="1" showErrorMessage="1" sqref="D52">
      <formula1>"DSI0,DSI1"</formula1>
    </dataValidation>
    <dataValidation type="list" allowBlank="1" showInputMessage="1" showErrorMessage="1" sqref="C52">
      <formula1>"Half(Auto),Manual"</formula1>
    </dataValidation>
    <dataValidation type="list" allowBlank="1" showInputMessage="1" showErrorMessage="1" sqref="C55">
      <formula1>"RGB888,pRGB666,lpRGB666"</formula1>
    </dataValidation>
    <dataValidation type="list" allowBlank="1" showInputMessage="1" showErrorMessage="1" sqref="F55 H52 F52 H55">
      <formula1>"0,1,2,3,4,5,6,7,8,9,10,11,12,13,14,15,16,17,18,19,20,21,22,23,24,25,26,27,28,29,30,31,32"</formula1>
    </dataValidation>
    <dataValidation type="list" allowBlank="1" showInputMessage="1" showErrorMessage="1" sqref="F50 H50">
      <formula1>"Enable, Bypass"</formula1>
    </dataValidation>
    <dataValidation type="list" allowBlank="1" showInputMessage="1" showErrorMessage="1" sqref="D57 C46">
      <formula1>"Enable,Disable"</formula1>
    </dataValidation>
    <dataValidation type="list" allowBlank="1" showInputMessage="1" showErrorMessage="1" sqref="C29">
      <formula1>"Color Bar, eDP,DP"</formula1>
    </dataValidation>
    <dataValidation type="list" allowBlank="1" showInputMessage="1" showErrorMessage="1" sqref="C53">
      <formula1>"TX0/1 Enable, TX0 Enable, TX1 Enable"</formula1>
    </dataValidation>
    <dataValidation type="list" allowBlank="1" showInputMessage="1" showErrorMessage="1" sqref="C37">
      <formula1>"24,25,26,27"</formula1>
    </dataValidation>
    <dataValidation type="list" allowBlank="1" showInputMessage="1" showErrorMessage="1" sqref="C41">
      <formula1>"TX0/1 Enable, TX0 Enable"</formula1>
    </dataValidation>
    <dataValidation type="list" allowBlank="1" showInputMessage="1" showErrorMessage="1" sqref="C34">
      <formula1>"1.8V,&gt;=2.5V"</formula1>
    </dataValidation>
    <dataValidation type="list" allowBlank="1" showInputMessage="1" showErrorMessage="1" sqref="B20">
      <formula1>$BB$4:$BB$20</formula1>
    </dataValidation>
    <dataValidation type="list" allowBlank="1" showInputMessage="1" showErrorMessage="1" sqref="C30">
      <formula1>"Always Full, 1:Full 2:Both, Always Both"</formula1>
    </dataValidation>
    <dataValidation type="list" allowBlank="1" showInputMessage="1" showErrorMessage="1" sqref="C21">
      <formula1>"1.62,2.7,5.4"</formula1>
    </dataValidation>
    <dataValidation type="list" allowBlank="1" showInputMessage="1" showErrorMessage="1" sqref="C22">
      <formula1>"1,2,4"</formula1>
    </dataValidation>
    <dataValidation type="list" allowBlank="1" showInputMessage="1" showErrorMessage="1" sqref="F29">
      <formula1>$BK$30:$BK$36</formula1>
    </dataValidation>
    <dataValidation type="list" allowBlank="1" showInputMessage="1" showErrorMessage="1" sqref="E41:F41">
      <formula1>"L half=&gt;TX0  R half=&gt;TX1,L half=&gt;TX1  R half=&gt;TX0,L half=&gt;TX0  L half=&gt;TX1,R half=&gt;TX0  R half=&gt;TX1"</formula1>
    </dataValidation>
    <dataValidation type="list" allowBlank="1" showInputMessage="1" showErrorMessage="1" sqref="C47">
      <formula1>"Non-Continuous,Continuous"</formula1>
    </dataValidation>
    <dataValidation type="list" allowBlank="1" showInputMessage="1" showErrorMessage="1" sqref="C23">
      <formula1>$BB$259:$BV$259</formula1>
    </dataValidation>
    <dataValidation type="list" allowBlank="1" showInputMessage="1" showErrorMessage="1" sqref="C39">
      <formula1>$BB$269:$BT$269</formula1>
    </dataValidation>
    <dataValidation type="whole" allowBlank="1" showInputMessage="1" showErrorMessage="1" sqref="I43:I45 I41:K41 J42:K45 J47:K47 K46">
      <formula1>0</formula1>
      <formula2>255</formula2>
    </dataValidation>
    <dataValidation type="list" showInputMessage="1" showErrorMessage="1" sqref="I35:I36">
      <formula1>"Disable,Enable"</formula1>
    </dataValidation>
    <dataValidation type="whole" allowBlank="1" showErrorMessage="1" sqref="H39:K39">
      <formula1>0</formula1>
      <formula2>32</formula2>
    </dataValidation>
  </dataValidations>
  <pageMargins left="0.75" right="0.75" top="1" bottom="1" header="0.5" footer="0.5"/>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sheetPr codeName="Sheet36">
    <tabColor rgb="FF660066"/>
    <pageSetUpPr autoPageBreaks="0"/>
  </sheetPr>
  <dimension ref="B1:BI779"/>
  <sheetViews>
    <sheetView showGridLines="0" topLeftCell="A18" zoomScale="75" zoomScaleNormal="75" workbookViewId="0">
      <selection activeCell="B518" sqref="B518:F538"/>
    </sheetView>
  </sheetViews>
  <sheetFormatPr defaultColWidth="9" defaultRowHeight="14.25" outlineLevelRow="1"/>
  <cols>
    <col min="1" max="1" width="3.375" style="3" customWidth="1"/>
    <col min="2" max="2" width="8.875" style="3" customWidth="1"/>
    <col min="3" max="3" width="33.25" style="3" customWidth="1"/>
    <col min="4" max="4" width="11" style="3" customWidth="1"/>
    <col min="5" max="5" width="12.625" style="95" customWidth="1"/>
    <col min="6" max="6" width="60.125" style="3" customWidth="1"/>
    <col min="7" max="7" width="4.875" style="3" customWidth="1"/>
    <col min="8" max="8" width="14" style="3" customWidth="1"/>
    <col min="9" max="9" width="13" style="3" customWidth="1"/>
    <col min="10" max="10" width="13.875" style="3" customWidth="1"/>
    <col min="11" max="11" width="14.375" style="3" customWidth="1"/>
    <col min="12" max="12" width="15.75" style="3" customWidth="1"/>
    <col min="13"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hidden="1" customWidth="1"/>
    <col min="25" max="30" width="5" style="129" hidden="1" customWidth="1"/>
    <col min="31" max="38" width="4" style="129" hidden="1" customWidth="1"/>
    <col min="39" max="39" width="5" style="129" hidden="1" customWidth="1"/>
    <col min="40" max="40" width="4" style="129" hidden="1" customWidth="1"/>
    <col min="41" max="46" width="5" style="129" hidden="1" customWidth="1"/>
    <col min="47" max="49" width="4" style="129" hidden="1" customWidth="1"/>
    <col min="50" max="50" width="3.75" style="129" hidden="1" customWidth="1"/>
    <col min="51" max="54" width="4" style="129" hidden="1" customWidth="1"/>
    <col min="55" max="55" width="3.125" style="129" hidden="1" customWidth="1"/>
    <col min="56" max="56" width="3.875" style="129" hidden="1" customWidth="1"/>
    <col min="57" max="57" width="11.375" style="129" customWidth="1"/>
    <col min="58" max="16384" width="9" style="3"/>
  </cols>
  <sheetData>
    <row r="1" spans="2:56" ht="18">
      <c r="B1" s="11" t="s">
        <v>353</v>
      </c>
      <c r="C1" s="11"/>
      <c r="F1" s="114"/>
      <c r="G1" s="231" t="s">
        <v>1636</v>
      </c>
      <c r="H1" s="105" t="s">
        <v>81</v>
      </c>
      <c r="I1" s="18"/>
      <c r="J1" s="4"/>
      <c r="K1"/>
      <c r="L1" s="15"/>
    </row>
    <row r="2" spans="2:56" ht="18">
      <c r="B2" s="3" t="s">
        <v>123</v>
      </c>
      <c r="H2" s="114" t="s">
        <v>87</v>
      </c>
      <c r="I2"/>
      <c r="J2"/>
      <c r="K2"/>
      <c r="L2"/>
      <c r="M2"/>
      <c r="N2"/>
      <c r="O2"/>
      <c r="P2"/>
    </row>
    <row r="3" spans="2:56">
      <c r="B3" s="3" t="s">
        <v>420</v>
      </c>
      <c r="C3" s="10"/>
      <c r="D3" s="1"/>
      <c r="E3" s="96"/>
      <c r="F3" s="1"/>
      <c r="G3" s="1"/>
      <c r="H3" s="1"/>
      <c r="I3"/>
      <c r="J3"/>
      <c r="K3"/>
      <c r="L3"/>
      <c r="M3"/>
      <c r="N3"/>
      <c r="O3"/>
      <c r="P3"/>
      <c r="Q3"/>
      <c r="R3"/>
      <c r="S3"/>
      <c r="T3"/>
      <c r="U3"/>
      <c r="V3"/>
      <c r="W3"/>
      <c r="X3" s="222"/>
      <c r="AH3" s="222"/>
    </row>
    <row r="4" spans="2:56">
      <c r="C4" s="10"/>
      <c r="D4" s="1"/>
      <c r="E4" s="96"/>
      <c r="F4" s="1"/>
      <c r="G4" s="1"/>
      <c r="H4" s="1"/>
      <c r="I4"/>
      <c r="J4"/>
      <c r="K4"/>
      <c r="L4"/>
      <c r="M4"/>
      <c r="N4"/>
      <c r="O4"/>
      <c r="P4"/>
      <c r="Q4"/>
      <c r="R4"/>
      <c r="S4"/>
      <c r="T4"/>
      <c r="U4"/>
      <c r="V4"/>
      <c r="W4"/>
      <c r="X4" s="222"/>
      <c r="AH4" s="222"/>
    </row>
    <row r="5" spans="2:56">
      <c r="B5" s="284"/>
      <c r="C5" s="10" t="s">
        <v>380</v>
      </c>
      <c r="D5" s="1"/>
      <c r="E5" s="96"/>
      <c r="F5" s="1"/>
      <c r="G5" s="1"/>
      <c r="H5" s="1"/>
      <c r="I5"/>
      <c r="J5"/>
      <c r="K5"/>
      <c r="L5"/>
      <c r="M5"/>
      <c r="N5"/>
      <c r="O5"/>
      <c r="P5"/>
      <c r="Q5"/>
      <c r="R5"/>
      <c r="S5"/>
      <c r="T5"/>
      <c r="U5"/>
      <c r="V5"/>
      <c r="W5"/>
      <c r="X5" s="222"/>
      <c r="AH5" s="222"/>
    </row>
    <row r="6" spans="2:56" ht="15">
      <c r="B6" s="9"/>
      <c r="C6" s="10"/>
      <c r="D6" s="1"/>
      <c r="E6" s="96"/>
      <c r="F6" s="1"/>
      <c r="G6" s="1"/>
      <c r="H6" s="17"/>
      <c r="I6"/>
      <c r="J6"/>
      <c r="K6"/>
      <c r="L6"/>
      <c r="M6"/>
      <c r="N6"/>
      <c r="O6"/>
      <c r="P6"/>
      <c r="Q6"/>
      <c r="R6"/>
      <c r="S6"/>
      <c r="T6"/>
      <c r="U6"/>
      <c r="V6"/>
      <c r="W6"/>
      <c r="X6" s="222"/>
      <c r="AH6" s="222"/>
    </row>
    <row r="7" spans="2:56" ht="18.75">
      <c r="B7" s="88" t="s">
        <v>83</v>
      </c>
      <c r="C7" s="86"/>
      <c r="D7" s="86"/>
      <c r="E7" s="97"/>
      <c r="F7" s="87"/>
      <c r="I7"/>
      <c r="J7"/>
      <c r="K7"/>
      <c r="L7"/>
      <c r="M7"/>
      <c r="N7"/>
      <c r="O7"/>
      <c r="P7"/>
      <c r="Q7"/>
      <c r="R7"/>
      <c r="S7"/>
      <c r="T7"/>
      <c r="U7"/>
      <c r="V7"/>
      <c r="W7"/>
      <c r="X7" s="222"/>
      <c r="AH7" s="222"/>
    </row>
    <row r="8" spans="2:56" ht="15">
      <c r="B8" s="84" t="s">
        <v>12</v>
      </c>
      <c r="C8" s="84" t="s">
        <v>0</v>
      </c>
      <c r="D8" s="84" t="s">
        <v>1</v>
      </c>
      <c r="E8" s="98" t="s">
        <v>13</v>
      </c>
      <c r="F8" s="85" t="s">
        <v>82</v>
      </c>
      <c r="G8" s="7"/>
      <c r="H8"/>
      <c r="I8"/>
      <c r="J8"/>
      <c r="K8"/>
      <c r="L8"/>
      <c r="M8"/>
      <c r="N8"/>
      <c r="O8"/>
      <c r="P8"/>
      <c r="Q8"/>
      <c r="R8"/>
      <c r="S8"/>
      <c r="T8"/>
      <c r="U8"/>
      <c r="V8"/>
      <c r="W8"/>
      <c r="X8" s="222"/>
      <c r="Y8" s="370" t="s">
        <v>402</v>
      </c>
      <c r="Z8" s="371" t="s">
        <v>401</v>
      </c>
      <c r="AA8" s="371" t="s">
        <v>400</v>
      </c>
      <c r="AB8" s="371" t="s">
        <v>399</v>
      </c>
      <c r="AC8" s="371" t="s">
        <v>398</v>
      </c>
      <c r="AD8" s="371" t="s">
        <v>397</v>
      </c>
      <c r="AE8" s="371" t="s">
        <v>396</v>
      </c>
      <c r="AF8" s="372" t="s">
        <v>395</v>
      </c>
      <c r="AG8" s="367" t="s">
        <v>394</v>
      </c>
      <c r="AH8" s="368" t="s">
        <v>393</v>
      </c>
      <c r="AI8" s="368" t="s">
        <v>392</v>
      </c>
      <c r="AJ8" s="368" t="s">
        <v>391</v>
      </c>
      <c r="AK8" s="368" t="s">
        <v>390</v>
      </c>
      <c r="AL8" s="368" t="s">
        <v>389</v>
      </c>
      <c r="AM8" s="368" t="s">
        <v>388</v>
      </c>
      <c r="AN8" s="369" t="s">
        <v>387</v>
      </c>
      <c r="AO8" s="370" t="s">
        <v>362</v>
      </c>
      <c r="AP8" s="371" t="s">
        <v>363</v>
      </c>
      <c r="AQ8" s="371" t="s">
        <v>364</v>
      </c>
      <c r="AR8" s="371" t="s">
        <v>365</v>
      </c>
      <c r="AS8" s="371" t="s">
        <v>366</v>
      </c>
      <c r="AT8" s="371" t="s">
        <v>367</v>
      </c>
      <c r="AU8" s="371" t="s">
        <v>368</v>
      </c>
      <c r="AV8" s="372" t="s">
        <v>369</v>
      </c>
      <c r="AW8" s="367" t="s">
        <v>370</v>
      </c>
      <c r="AX8" s="368" t="s">
        <v>371</v>
      </c>
      <c r="AY8" s="368" t="s">
        <v>372</v>
      </c>
      <c r="AZ8" s="368" t="s">
        <v>373</v>
      </c>
      <c r="BA8" s="368" t="s">
        <v>374</v>
      </c>
      <c r="BB8" s="368" t="s">
        <v>375</v>
      </c>
      <c r="BC8" s="368" t="s">
        <v>376</v>
      </c>
      <c r="BD8" s="369" t="s">
        <v>377</v>
      </c>
    </row>
    <row r="9" spans="2:56">
      <c r="B9" s="80" t="s">
        <v>14</v>
      </c>
      <c r="C9" s="81" t="s">
        <v>403</v>
      </c>
      <c r="D9" s="81"/>
      <c r="E9" s="99"/>
      <c r="F9" s="92"/>
      <c r="G9"/>
      <c r="H9"/>
      <c r="I9"/>
      <c r="J9"/>
      <c r="K9"/>
      <c r="L9"/>
      <c r="M9"/>
      <c r="N9"/>
      <c r="O9"/>
      <c r="P9"/>
      <c r="Q9"/>
      <c r="R9"/>
      <c r="S9"/>
      <c r="T9"/>
      <c r="U9"/>
      <c r="V9"/>
      <c r="W9"/>
      <c r="X9" s="222"/>
    </row>
    <row r="10" spans="2:56">
      <c r="B10" s="163" t="s">
        <v>386</v>
      </c>
      <c r="C10" s="5" t="s">
        <v>302</v>
      </c>
      <c r="D10" s="14" t="s">
        <v>287</v>
      </c>
      <c r="E10" s="100" t="str">
        <f>Main_Parameters!$C$128</f>
        <v>00000001</v>
      </c>
      <c r="F10" s="135" t="s">
        <v>294</v>
      </c>
      <c r="G10"/>
      <c r="H10"/>
      <c r="I10"/>
      <c r="J10"/>
      <c r="K10"/>
      <c r="L10"/>
      <c r="M10"/>
      <c r="N10"/>
      <c r="O10"/>
      <c r="P10"/>
      <c r="Q10"/>
      <c r="R10"/>
      <c r="S10"/>
      <c r="T10"/>
      <c r="U10"/>
      <c r="V10"/>
      <c r="W10"/>
      <c r="X10" s="222"/>
    </row>
    <row r="11" spans="2:56">
      <c r="B11" s="80" t="s">
        <v>14</v>
      </c>
      <c r="C11" s="82" t="s">
        <v>404</v>
      </c>
      <c r="D11" s="80"/>
      <c r="E11" s="101"/>
      <c r="F11" s="92"/>
      <c r="G11"/>
      <c r="H11"/>
      <c r="I11"/>
      <c r="J11"/>
      <c r="K11"/>
      <c r="L11"/>
      <c r="M11"/>
      <c r="N11"/>
      <c r="O11"/>
      <c r="P11"/>
      <c r="Q11"/>
      <c r="R11"/>
      <c r="S11"/>
      <c r="T11"/>
      <c r="U11"/>
      <c r="V11"/>
      <c r="W11"/>
      <c r="X11" s="222"/>
    </row>
    <row r="12" spans="2:56">
      <c r="B12" s="16" t="s">
        <v>290</v>
      </c>
      <c r="C12" s="8" t="s">
        <v>303</v>
      </c>
      <c r="D12" s="13" t="s">
        <v>288</v>
      </c>
      <c r="E12" s="93" t="str">
        <f>Main_Parameters!$C$130</f>
        <v>00006978</v>
      </c>
      <c r="F12" s="36" t="s">
        <v>295</v>
      </c>
      <c r="G12"/>
      <c r="H12"/>
      <c r="I12"/>
      <c r="J12"/>
      <c r="K12"/>
      <c r="L12"/>
      <c r="M12"/>
      <c r="N12"/>
      <c r="O12"/>
      <c r="P12"/>
      <c r="Q12"/>
      <c r="R12"/>
      <c r="S12"/>
      <c r="T12"/>
      <c r="U12"/>
      <c r="V12"/>
      <c r="W12"/>
      <c r="X12" s="222"/>
    </row>
    <row r="13" spans="2:56">
      <c r="B13" s="16" t="s">
        <v>290</v>
      </c>
      <c r="C13" s="5" t="s">
        <v>304</v>
      </c>
      <c r="D13" s="14" t="s">
        <v>289</v>
      </c>
      <c r="E13" s="93" t="str">
        <f>Main_Parameters!$C$132</f>
        <v>00040902</v>
      </c>
      <c r="F13" s="36" t="s">
        <v>1001</v>
      </c>
      <c r="G13"/>
      <c r="H13"/>
      <c r="I13" s="2"/>
    </row>
    <row r="14" spans="2:56">
      <c r="B14" s="16" t="s">
        <v>290</v>
      </c>
      <c r="C14" s="5" t="s">
        <v>305</v>
      </c>
      <c r="D14" s="14" t="s">
        <v>291</v>
      </c>
      <c r="E14" s="93" t="str">
        <f ca="1">Main_Parameters!$C$134</f>
        <v>027D0006</v>
      </c>
      <c r="F14" s="36" t="s">
        <v>1002</v>
      </c>
      <c r="G14"/>
      <c r="H14"/>
      <c r="I14" s="2"/>
    </row>
    <row r="15" spans="2:56">
      <c r="B15" s="16" t="s">
        <v>290</v>
      </c>
      <c r="C15" s="5" t="s">
        <v>306</v>
      </c>
      <c r="D15" s="14" t="s">
        <v>292</v>
      </c>
      <c r="E15" s="93" t="str">
        <f ca="1">Main_Parameters!$C$136</f>
        <v>0300023D</v>
      </c>
      <c r="F15" s="36" t="s">
        <v>1003</v>
      </c>
      <c r="G15"/>
      <c r="H15"/>
      <c r="I15" s="2"/>
    </row>
    <row r="16" spans="2:56">
      <c r="B16" s="16" t="s">
        <v>290</v>
      </c>
      <c r="C16" s="5" t="s">
        <v>307</v>
      </c>
      <c r="D16" s="14" t="s">
        <v>293</v>
      </c>
      <c r="E16" s="93" t="str">
        <f>Main_Parameters!$C$138</f>
        <v>01040020</v>
      </c>
      <c r="F16" s="36" t="s">
        <v>1004</v>
      </c>
      <c r="G16"/>
      <c r="H16"/>
      <c r="I16" s="2"/>
    </row>
    <row r="17" spans="2:61">
      <c r="B17" s="89" t="str">
        <f ca="1">IF((COUNTIF(B22:B36,"WR8")+COUNTIF(B22:B36,"WR16")+COUNTIF(B22:B36,"WR32"))&gt;0,"WR32","REMnd")</f>
        <v>WR32</v>
      </c>
      <c r="C17" s="5" t="s">
        <v>308</v>
      </c>
      <c r="D17" s="14" t="s">
        <v>296</v>
      </c>
      <c r="E17" s="100" t="str">
        <f ca="1">DEC2HEX(Y17*2^31+Z17*2^30+AA17*2^29+AB17*2^28+AC17*2^27+AD17*2^26+AE17*2^25+AF17*2^24+AG17*2^23+AH17*2^22+AI17*2^21+AJ17*2^20+AK17*2^19+AL17*2^18+AM17*2^17+AN17*2^16+AO17*2^15+AP17*2^14+AQ17*2^13+AR17*2^12+AS17*2^11+AT17*2^10+AU17*2^9+AV17*2^8+AW17*2^7+AX17*2^6+AY17*2^5+AZ17*2^4+BA17*2^3+BB17*2^2+BC17*2^1+BD17*2^0,8)</f>
        <v>00000001</v>
      </c>
      <c r="F17" s="36" t="s">
        <v>454</v>
      </c>
      <c r="G17"/>
      <c r="H17" s="188" t="s">
        <v>354</v>
      </c>
      <c r="I17" s="193" t="s">
        <v>122</v>
      </c>
      <c r="J17" s="188" t="s">
        <v>355</v>
      </c>
      <c r="K17" s="193" t="s">
        <v>37</v>
      </c>
      <c r="L17" s="188" t="s">
        <v>356</v>
      </c>
      <c r="M17" s="193" t="s">
        <v>37</v>
      </c>
      <c r="N17" s="188" t="s">
        <v>357</v>
      </c>
      <c r="O17" s="194" t="s">
        <v>37</v>
      </c>
      <c r="P17" s="192"/>
      <c r="Q17" s="189"/>
      <c r="R17" s="264" t="s">
        <v>358</v>
      </c>
      <c r="S17" s="287" t="str">
        <f>IF((COUNTIF(B42:B160,"WR8")+COUNTIF(B42:B160,"WR16")+COUNTIF(B42:B160,"WR32"))&gt;0,"No","Auto Boot")</f>
        <v>No</v>
      </c>
      <c r="T17" s="206" t="s">
        <v>359</v>
      </c>
      <c r="U17" s="287" t="str">
        <f ca="1">IF((COUNTIF(B22:B36,"WR8")+COUNTIF(B22:B36,"WR16")+COUNTIF(B22:B36,"WR32"))&gt;0,"No","Auto Boot")</f>
        <v>No</v>
      </c>
      <c r="V17" s="205" t="s">
        <v>360</v>
      </c>
      <c r="W17" s="335" t="s">
        <v>830</v>
      </c>
      <c r="Y17" s="359">
        <v>0</v>
      </c>
      <c r="Z17" s="360">
        <v>0</v>
      </c>
      <c r="AA17" s="360">
        <v>0</v>
      </c>
      <c r="AB17" s="360">
        <v>0</v>
      </c>
      <c r="AC17" s="360">
        <v>0</v>
      </c>
      <c r="AD17" s="360">
        <v>0</v>
      </c>
      <c r="AE17" s="360">
        <v>0</v>
      </c>
      <c r="AF17" s="361">
        <v>0</v>
      </c>
      <c r="AG17" s="359">
        <v>0</v>
      </c>
      <c r="AH17" s="360">
        <v>0</v>
      </c>
      <c r="AI17" s="360">
        <v>0</v>
      </c>
      <c r="AJ17" s="360">
        <v>0</v>
      </c>
      <c r="AK17" s="360">
        <v>0</v>
      </c>
      <c r="AL17" s="360">
        <v>0</v>
      </c>
      <c r="AM17" s="360">
        <v>0</v>
      </c>
      <c r="AN17" s="361">
        <v>0</v>
      </c>
      <c r="AO17" s="359">
        <v>0</v>
      </c>
      <c r="AP17" s="360">
        <v>0</v>
      </c>
      <c r="AQ17" s="360">
        <v>0</v>
      </c>
      <c r="AR17" s="360">
        <v>0</v>
      </c>
      <c r="AS17" s="360">
        <v>0</v>
      </c>
      <c r="AT17" s="360">
        <v>0</v>
      </c>
      <c r="AU17" s="360">
        <v>0</v>
      </c>
      <c r="AV17" s="361">
        <v>0</v>
      </c>
      <c r="AW17" s="362">
        <f>IF(I17="eFuse",1,0)</f>
        <v>0</v>
      </c>
      <c r="AX17" s="363">
        <f>IF(K17="Enable",1,0)</f>
        <v>0</v>
      </c>
      <c r="AY17" s="363">
        <f>IF(M17="Enable",1,0)</f>
        <v>0</v>
      </c>
      <c r="AZ17" s="363">
        <f>IF(O17="Enable",1,0)</f>
        <v>0</v>
      </c>
      <c r="BA17" s="360">
        <v>0</v>
      </c>
      <c r="BB17" s="363">
        <f>IF(S17="Auto Boot",1,0)</f>
        <v>0</v>
      </c>
      <c r="BC17" s="363">
        <f ca="1">IF(U17="Auto Boot",1,0)</f>
        <v>0</v>
      </c>
      <c r="BD17" s="364">
        <f>IF(W17="Auto Boot",1,0)</f>
        <v>1</v>
      </c>
    </row>
    <row r="18" spans="2:61">
      <c r="B18" s="89" t="str">
        <f ca="1">IF((COUNTIF(B22:B36,"WR8")+COUNTIF(B22:B36,"WR16")+COUNTIF(B22:B36,"WR32"))&gt;0,"delay","REMnd")</f>
        <v>delay</v>
      </c>
      <c r="C18" s="5"/>
      <c r="D18" s="14">
        <v>1000</v>
      </c>
      <c r="E18" s="207"/>
      <c r="F18" s="36" t="s">
        <v>446</v>
      </c>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61">
      <c r="B19" s="89" t="str">
        <f ca="1">IF((COUNTIF(B22:B36,"WR8")+COUNTIF(B22:B36,"WR16")+COUNTIF(B22:B36,"WR32"))&gt;0,"RD32","REMnd")</f>
        <v>RD32</v>
      </c>
      <c r="C19" s="5" t="s">
        <v>309</v>
      </c>
      <c r="D19" s="14" t="s">
        <v>297</v>
      </c>
      <c r="E19" s="294" t="str">
        <f ca="1">DEC2HEX(Y19*2^31+Z19*2^30+AA19*2^29+AB19*2^28+AC19*2^27+AD19*2^26+AE19*2^25+AF19*2^24+AG19*2^23+AH19*2^22+AI19*2^21+AJ19*2^20+AK19*2^19+AL19*2^18+AM19*2^17+AN19*2^16+AO19*2^15+AP19*2^14+AQ19*2^13+AR19*2^12+AS19*2^11+AT19*2^10+AU19*2^9+AV19*2^8+AW19*2^7+AX19*2^6+AY19*2^5+AZ19*2^4+BA19*2^3+BB19*2^2+BC19*2^1+BD19*2^0,8)</f>
        <v>00000002</v>
      </c>
      <c r="F19" s="36" t="s">
        <v>380</v>
      </c>
      <c r="G19"/>
      <c r="H19"/>
      <c r="I19"/>
      <c r="J19"/>
      <c r="K19"/>
      <c r="L19"/>
      <c r="M19"/>
      <c r="N19"/>
      <c r="O19"/>
      <c r="P19"/>
      <c r="Q19"/>
      <c r="R19"/>
      <c r="S19"/>
      <c r="T19"/>
      <c r="U19"/>
      <c r="V19"/>
      <c r="W19"/>
      <c r="X19"/>
      <c r="Y19" s="359">
        <v>0</v>
      </c>
      <c r="Z19" s="360">
        <v>0</v>
      </c>
      <c r="AA19" s="360">
        <v>0</v>
      </c>
      <c r="AB19" s="360">
        <v>0</v>
      </c>
      <c r="AC19" s="360">
        <v>0</v>
      </c>
      <c r="AD19" s="360">
        <v>0</v>
      </c>
      <c r="AE19" s="360">
        <v>0</v>
      </c>
      <c r="AF19" s="361">
        <v>0</v>
      </c>
      <c r="AG19" s="359">
        <v>0</v>
      </c>
      <c r="AH19" s="360">
        <v>0</v>
      </c>
      <c r="AI19" s="360">
        <v>0</v>
      </c>
      <c r="AJ19" s="360">
        <v>0</v>
      </c>
      <c r="AK19" s="360">
        <v>0</v>
      </c>
      <c r="AL19" s="360">
        <v>0</v>
      </c>
      <c r="AM19" s="360">
        <v>0</v>
      </c>
      <c r="AN19" s="361">
        <v>0</v>
      </c>
      <c r="AO19" s="359">
        <v>0</v>
      </c>
      <c r="AP19" s="360">
        <v>0</v>
      </c>
      <c r="AQ19" s="360">
        <v>0</v>
      </c>
      <c r="AR19" s="360">
        <v>0</v>
      </c>
      <c r="AS19" s="360">
        <v>0</v>
      </c>
      <c r="AT19" s="360">
        <v>0</v>
      </c>
      <c r="AU19" s="360">
        <v>0</v>
      </c>
      <c r="AV19" s="361">
        <v>0</v>
      </c>
      <c r="AW19" s="359">
        <v>0</v>
      </c>
      <c r="AX19" s="360">
        <v>0</v>
      </c>
      <c r="AY19" s="360">
        <v>0</v>
      </c>
      <c r="AZ19" s="360">
        <v>0</v>
      </c>
      <c r="BA19" s="360">
        <v>0</v>
      </c>
      <c r="BB19" s="365">
        <f ca="1">IF(AND(BD17=1,BC17=1),1,0)</f>
        <v>0</v>
      </c>
      <c r="BC19" s="365">
        <f>IF(BD17=1,1,0)</f>
        <v>1</v>
      </c>
      <c r="BD19" s="366">
        <f ca="1">IF(AND(BB17=1,BC17=1,BD17=1),1,0)</f>
        <v>0</v>
      </c>
      <c r="BE19"/>
      <c r="BF19"/>
      <c r="BG19"/>
      <c r="BH19"/>
      <c r="BI19"/>
    </row>
    <row r="20" spans="2:61">
      <c r="B20" s="432" t="str">
        <f ca="1">IF((COUNTIF(B22:B36,"WR8")+COUNTIF(B22:B36,"WR16")+COUNTIF(B22:B36,"WR32"))&gt;0,"CHECK","REMnd")</f>
        <v>CHECK</v>
      </c>
      <c r="C20" s="235" t="s">
        <v>931</v>
      </c>
      <c r="D20" s="236"/>
      <c r="E20" s="237"/>
      <c r="F20" s="235" t="s">
        <v>930</v>
      </c>
      <c r="G20"/>
      <c r="H20"/>
      <c r="I20" s="2"/>
    </row>
    <row r="21" spans="2:61">
      <c r="B21" s="80" t="str">
        <f>IF(Main_Parameters!$C$37=26,"REM","REMnd")</f>
        <v>REMnd</v>
      </c>
      <c r="C21" s="82" t="s">
        <v>1318</v>
      </c>
      <c r="D21" s="80"/>
      <c r="E21" s="101"/>
      <c r="F21" s="92"/>
      <c r="G21"/>
      <c r="H21"/>
      <c r="I21" s="2"/>
    </row>
    <row r="22" spans="2:61">
      <c r="B22" s="89" t="str">
        <f>IF(Main_Parameters!$C$37=26,"WR8","REMnd")</f>
        <v>REMnd</v>
      </c>
      <c r="C22" s="333" t="s">
        <v>1168</v>
      </c>
      <c r="D22" s="334" t="s">
        <v>1169</v>
      </c>
      <c r="E22" s="83" t="s">
        <v>1170</v>
      </c>
      <c r="F22" s="135"/>
      <c r="G22"/>
      <c r="H22"/>
      <c r="I22" s="2"/>
    </row>
    <row r="23" spans="2:61">
      <c r="B23" s="89" t="str">
        <f>IF(Main_Parameters!$C$37=26,"WR16","REMnd")</f>
        <v>REMnd</v>
      </c>
      <c r="C23" s="333" t="s">
        <v>1171</v>
      </c>
      <c r="D23" s="334" t="s">
        <v>1173</v>
      </c>
      <c r="E23" s="83" t="s">
        <v>1174</v>
      </c>
      <c r="F23" s="135"/>
      <c r="G23"/>
      <c r="H23"/>
      <c r="I23" s="2"/>
    </row>
    <row r="24" spans="2:61">
      <c r="B24" s="89" t="str">
        <f>IF(Main_Parameters!$C$37=26,"WR32","REMnd")</f>
        <v>REMnd</v>
      </c>
      <c r="C24" s="333" t="s">
        <v>1172</v>
      </c>
      <c r="D24" s="334" t="s">
        <v>1175</v>
      </c>
      <c r="E24" s="83" t="s">
        <v>1176</v>
      </c>
      <c r="F24" s="135"/>
      <c r="G24"/>
      <c r="H24"/>
      <c r="I24" s="2"/>
    </row>
    <row r="25" spans="2:61">
      <c r="B25" s="80" t="str">
        <f>IF(OR(Main_Parameters!$C$23&lt;&gt;"Preset",Main_Parameters!$C$37=26),"REM","REMnd")</f>
        <v>REM</v>
      </c>
      <c r="C25" s="82" t="s">
        <v>1319</v>
      </c>
      <c r="D25" s="80"/>
      <c r="E25" s="101"/>
      <c r="F25" s="92"/>
      <c r="G25"/>
      <c r="H25"/>
      <c r="I25" s="2"/>
    </row>
    <row r="26" spans="2:61">
      <c r="B26" s="89" t="str">
        <f>IF(OR(Main_Parameters!$C$23&lt;&gt;"Preset",Main_Parameters!$C$37=26),"WR8","REMnd")</f>
        <v>WR8</v>
      </c>
      <c r="C26" s="333" t="s">
        <v>841</v>
      </c>
      <c r="D26" s="334" t="s">
        <v>836</v>
      </c>
      <c r="E26" s="100" t="str">
        <f ca="1">Main_Parameters!$C$260</f>
        <v>0A</v>
      </c>
      <c r="F26" s="135"/>
      <c r="G26"/>
      <c r="H26"/>
      <c r="I26" s="2"/>
    </row>
    <row r="27" spans="2:61">
      <c r="B27" s="89" t="str">
        <f>IF(OR(Main_Parameters!$C$23&lt;&gt;"Preset",Main_Parameters!$C$37=26),"WR8","REMnd")</f>
        <v>WR8</v>
      </c>
      <c r="C27" s="333" t="s">
        <v>842</v>
      </c>
      <c r="D27" s="334" t="s">
        <v>837</v>
      </c>
      <c r="E27" s="100" t="str">
        <f ca="1">Main_Parameters!$C$261</f>
        <v>03</v>
      </c>
      <c r="F27" s="135"/>
      <c r="G27"/>
      <c r="H27"/>
      <c r="I27" s="2"/>
    </row>
    <row r="28" spans="2:61">
      <c r="B28" s="89" t="str">
        <f>IF(OR(Main_Parameters!$C$23&lt;&gt;"Preset",Main_Parameters!$C$37=26),"WR8","REMnd")</f>
        <v>WR8</v>
      </c>
      <c r="C28" s="333" t="s">
        <v>843</v>
      </c>
      <c r="D28" s="334" t="s">
        <v>838</v>
      </c>
      <c r="E28" s="100" t="str">
        <f ca="1">Main_Parameters!$C$262</f>
        <v>16</v>
      </c>
      <c r="F28" s="135"/>
      <c r="G28"/>
      <c r="H28"/>
      <c r="I28" s="2"/>
    </row>
    <row r="29" spans="2:61">
      <c r="B29" s="89" t="str">
        <f>IF(OR(Main_Parameters!$C$23&lt;&gt;"Preset",Main_Parameters!$C$37=26),"WR8","REMnd")</f>
        <v>WR8</v>
      </c>
      <c r="C29" s="333" t="s">
        <v>844</v>
      </c>
      <c r="D29" s="334" t="s">
        <v>839</v>
      </c>
      <c r="E29" s="100" t="str">
        <f ca="1">Main_Parameters!$C$263</f>
        <v>00</v>
      </c>
      <c r="F29" s="135"/>
      <c r="G29"/>
      <c r="H29"/>
      <c r="I29" s="2"/>
    </row>
    <row r="30" spans="2:61">
      <c r="B30" s="89" t="str">
        <f>IF(OR(Main_Parameters!$C$23&lt;&gt;"Preset",Main_Parameters!$C$37=26),"WR8","REMnd")</f>
        <v>WR8</v>
      </c>
      <c r="C30" s="333" t="s">
        <v>1285</v>
      </c>
      <c r="D30" s="334" t="s">
        <v>1284</v>
      </c>
      <c r="E30" s="100" t="str">
        <f ca="1">Main_Parameters!$C$264</f>
        <v>21</v>
      </c>
      <c r="F30" s="135"/>
      <c r="G30"/>
      <c r="H30"/>
      <c r="I30" s="2"/>
    </row>
    <row r="31" spans="2:61">
      <c r="B31" s="89" t="str">
        <f>IF(OR(Main_Parameters!$C$23&lt;&gt;"Preset",Main_Parameters!$C$37=26),"WR8","REMnd")</f>
        <v>WR8</v>
      </c>
      <c r="C31" s="333" t="s">
        <v>846</v>
      </c>
      <c r="D31" s="334" t="s">
        <v>840</v>
      </c>
      <c r="E31" s="100" t="str">
        <f ca="1">Main_Parameters!$C$265</f>
        <v>07</v>
      </c>
      <c r="F31" s="135"/>
      <c r="G31"/>
      <c r="H31"/>
      <c r="I31" s="2"/>
    </row>
    <row r="32" spans="2:61">
      <c r="B32" s="80" t="str">
        <f ca="1">IF(OR(Main_Parameters!$BA$40="Original",Main_Parameters!$C$37=26),"REM","REMnd")</f>
        <v>REM</v>
      </c>
      <c r="C32" s="82" t="s">
        <v>1320</v>
      </c>
      <c r="D32" s="80"/>
      <c r="E32" s="101"/>
      <c r="F32" s="92"/>
      <c r="G32"/>
      <c r="H32"/>
      <c r="I32" s="2"/>
    </row>
    <row r="33" spans="2:61">
      <c r="B33" s="89" t="str">
        <f ca="1">IF(OR(Main_Parameters!$BA$40="Original",Main_Parameters!$C$37=26),"WR32","REMnd")</f>
        <v>WR32</v>
      </c>
      <c r="C33" s="333" t="s">
        <v>849</v>
      </c>
      <c r="D33" s="334" t="s">
        <v>998</v>
      </c>
      <c r="E33" s="100" t="str">
        <f ca="1">Main_Parameters!$C$275</f>
        <v>00002624</v>
      </c>
      <c r="F33" s="135"/>
      <c r="G33"/>
      <c r="H33"/>
      <c r="I33" s="2"/>
    </row>
    <row r="34" spans="2:61">
      <c r="B34" s="89" t="str">
        <f ca="1">IF(OR(Main_Parameters!$BA$40="Original",Main_Parameters!$C$37=26),"WR32","REMnd")</f>
        <v>WR32</v>
      </c>
      <c r="C34" s="333" t="s">
        <v>850</v>
      </c>
      <c r="D34" s="334" t="s">
        <v>999</v>
      </c>
      <c r="E34" s="100" t="str">
        <f ca="1">Main_Parameters!$C$281</f>
        <v>00000A01</v>
      </c>
      <c r="F34" s="135"/>
      <c r="G34"/>
      <c r="H34"/>
      <c r="I34" s="2"/>
    </row>
    <row r="35" spans="2:61">
      <c r="B35" s="89" t="str">
        <f ca="1">IF(OR(Main_Parameters!$BA$40="Original",Main_Parameters!$C$37=26),"WR32","REMnd")</f>
        <v>WR32</v>
      </c>
      <c r="C35" s="333" t="s">
        <v>851</v>
      </c>
      <c r="D35" s="334" t="s">
        <v>1000</v>
      </c>
      <c r="E35" s="100" t="str">
        <f>Main_Parameters!$C$285</f>
        <v>00000030</v>
      </c>
      <c r="F35" s="135"/>
      <c r="G35"/>
      <c r="H35"/>
      <c r="I35" s="2"/>
    </row>
    <row r="36" spans="2:61">
      <c r="B36" s="89" t="str">
        <f>IF(Main_Parameters!$C$37=26,"WR32","REMnd")</f>
        <v>REMnd</v>
      </c>
      <c r="C36" s="333" t="s">
        <v>1252</v>
      </c>
      <c r="D36" s="334" t="s">
        <v>1253</v>
      </c>
      <c r="E36" s="83" t="s">
        <v>1254</v>
      </c>
      <c r="F36" s="135"/>
      <c r="G36"/>
      <c r="H36"/>
      <c r="I36" s="2"/>
    </row>
    <row r="37" spans="2:61">
      <c r="B37" s="89" t="str">
        <f>IF((COUNTIF(B42:B160,"WR8")+COUNTIF(B42:B160,"WR16")+COUNTIF(B42:B160,"WR32"))&gt;0,"WR32","REMnd")</f>
        <v>WR32</v>
      </c>
      <c r="C37" s="5" t="s">
        <v>308</v>
      </c>
      <c r="D37" s="14" t="s">
        <v>296</v>
      </c>
      <c r="E37" s="100" t="str">
        <f>DEC2HEX(Y37*2^31+Z37*2^30+AA37*2^29+AB37*2^28+AC37*2^27+AD37*2^26+AE37*2^25+AF37*2^24+AG37*2^23+AH37*2^22+AI37*2^21+AJ37*2^20+AK37*2^19+AL37*2^18+AM37*2^17+AN37*2^16+AO37*2^15+AP37*2^14+AQ37*2^13+AR37*2^12+AS37*2^11+AT37*2^10+AU37*2^9+AV37*2^8+AW37*2^7+AX37*2^6+AY37*2^5+AZ37*2^4+BA37*2^3+BB37*2^2+BC37*2^1+BD37*2^0,8)</f>
        <v>00000003</v>
      </c>
      <c r="F37" s="36" t="s">
        <v>454</v>
      </c>
      <c r="G37"/>
      <c r="H37" s="188" t="s">
        <v>354</v>
      </c>
      <c r="I37" s="335" t="s">
        <v>831</v>
      </c>
      <c r="J37" s="188" t="s">
        <v>355</v>
      </c>
      <c r="K37" s="335" t="s">
        <v>848</v>
      </c>
      <c r="L37" s="188" t="s">
        <v>356</v>
      </c>
      <c r="M37" s="335" t="s">
        <v>848</v>
      </c>
      <c r="N37" s="188" t="s">
        <v>357</v>
      </c>
      <c r="O37" s="335" t="s">
        <v>848</v>
      </c>
      <c r="P37" s="192"/>
      <c r="Q37" s="189"/>
      <c r="R37" s="264" t="s">
        <v>358</v>
      </c>
      <c r="S37" s="287" t="str">
        <f>IF((COUNTIF(B42:B160,"WR8")+COUNTIF(B42:B160,"WR16")+COUNTIF(B42:B160,"WR32"))&gt;0,"No","Auto Boot")</f>
        <v>No</v>
      </c>
      <c r="T37" s="206" t="s">
        <v>359</v>
      </c>
      <c r="U37" s="335" t="s">
        <v>830</v>
      </c>
      <c r="V37" s="205" t="s">
        <v>360</v>
      </c>
      <c r="W37" s="335" t="s">
        <v>830</v>
      </c>
      <c r="Y37" s="359">
        <v>0</v>
      </c>
      <c r="Z37" s="360">
        <v>0</v>
      </c>
      <c r="AA37" s="360">
        <v>0</v>
      </c>
      <c r="AB37" s="360">
        <v>0</v>
      </c>
      <c r="AC37" s="360">
        <v>0</v>
      </c>
      <c r="AD37" s="360">
        <v>0</v>
      </c>
      <c r="AE37" s="360">
        <v>0</v>
      </c>
      <c r="AF37" s="361">
        <v>0</v>
      </c>
      <c r="AG37" s="359">
        <v>0</v>
      </c>
      <c r="AH37" s="360">
        <v>0</v>
      </c>
      <c r="AI37" s="360">
        <v>0</v>
      </c>
      <c r="AJ37" s="360">
        <v>0</v>
      </c>
      <c r="AK37" s="360">
        <v>0</v>
      </c>
      <c r="AL37" s="360">
        <v>0</v>
      </c>
      <c r="AM37" s="360">
        <v>0</v>
      </c>
      <c r="AN37" s="361">
        <v>0</v>
      </c>
      <c r="AO37" s="359">
        <v>0</v>
      </c>
      <c r="AP37" s="360">
        <v>0</v>
      </c>
      <c r="AQ37" s="360">
        <v>0</v>
      </c>
      <c r="AR37" s="360">
        <v>0</v>
      </c>
      <c r="AS37" s="360">
        <v>0</v>
      </c>
      <c r="AT37" s="360">
        <v>0</v>
      </c>
      <c r="AU37" s="360">
        <v>0</v>
      </c>
      <c r="AV37" s="361">
        <v>0</v>
      </c>
      <c r="AW37" s="362">
        <f>IF(I37="eFuse",1,0)</f>
        <v>0</v>
      </c>
      <c r="AX37" s="363">
        <f>IF(K37="Enable",1,0)</f>
        <v>0</v>
      </c>
      <c r="AY37" s="363">
        <f>IF(M37="Enable",1,0)</f>
        <v>0</v>
      </c>
      <c r="AZ37" s="363">
        <f>IF(O37="Enable",1,0)</f>
        <v>0</v>
      </c>
      <c r="BA37" s="360">
        <v>0</v>
      </c>
      <c r="BB37" s="363">
        <f>IF(S37="Auto Boot",1,0)</f>
        <v>0</v>
      </c>
      <c r="BC37" s="363">
        <f>IF(U37="Auto Boot",1,0)</f>
        <v>1</v>
      </c>
      <c r="BD37" s="364">
        <f>IF(W37="Auto Boot",1,0)</f>
        <v>1</v>
      </c>
    </row>
    <row r="38" spans="2:61">
      <c r="B38" s="89" t="str">
        <f>IF((COUNTIF(B42:B160,"WR8")+COUNTIF(B42:B160,"WR16")+COUNTIF(B42:B160,"WR32"))&gt;0,"delay","REMnd")</f>
        <v>delay</v>
      </c>
      <c r="C38" s="5"/>
      <c r="D38" s="14">
        <v>1000</v>
      </c>
      <c r="E38" s="207"/>
      <c r="F38" s="36" t="s">
        <v>446</v>
      </c>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61">
      <c r="B39" s="89" t="str">
        <f>IF((COUNTIF(B42:B160,"WR8")+COUNTIF(B42:B160,"WR16")+COUNTIF(B42:B160,"WR32"))&gt;0,"RD32","REMnd")</f>
        <v>RD32</v>
      </c>
      <c r="C39" s="5" t="s">
        <v>309</v>
      </c>
      <c r="D39" s="14" t="s">
        <v>297</v>
      </c>
      <c r="E39" s="294" t="str">
        <f>DEC2HEX(Y39*2^31+Z39*2^30+AA39*2^29+AB39*2^28+AC39*2^27+AD39*2^26+AE39*2^25+AF39*2^24+AG39*2^23+AH39*2^22+AI39*2^21+AJ39*2^20+AK39*2^19+AL39*2^18+AM39*2^17+AN39*2^16+AO39*2^15+AP39*2^14+AQ39*2^13+AR39*2^12+AS39*2^11+AT39*2^10+AU39*2^9+AV39*2^8+AW39*2^7+AX39*2^6+AY39*2^5+AZ39*2^4+BA39*2^3+BB39*2^2+BC39*2^1+BD39*2^0,8)</f>
        <v>00000006</v>
      </c>
      <c r="F39" s="36" t="s">
        <v>380</v>
      </c>
      <c r="G39"/>
      <c r="H39"/>
      <c r="I39"/>
      <c r="J39"/>
      <c r="K39"/>
      <c r="L39"/>
      <c r="M39"/>
      <c r="N39"/>
      <c r="O39"/>
      <c r="P39"/>
      <c r="Q39"/>
      <c r="R39"/>
      <c r="S39"/>
      <c r="T39"/>
      <c r="U39"/>
      <c r="V39"/>
      <c r="W39"/>
      <c r="X39"/>
      <c r="Y39" s="359">
        <v>0</v>
      </c>
      <c r="Z39" s="360">
        <v>0</v>
      </c>
      <c r="AA39" s="360">
        <v>0</v>
      </c>
      <c r="AB39" s="360">
        <v>0</v>
      </c>
      <c r="AC39" s="360">
        <v>0</v>
      </c>
      <c r="AD39" s="360">
        <v>0</v>
      </c>
      <c r="AE39" s="360">
        <v>0</v>
      </c>
      <c r="AF39" s="361">
        <v>0</v>
      </c>
      <c r="AG39" s="359">
        <v>0</v>
      </c>
      <c r="AH39" s="360">
        <v>0</v>
      </c>
      <c r="AI39" s="360">
        <v>0</v>
      </c>
      <c r="AJ39" s="360">
        <v>0</v>
      </c>
      <c r="AK39" s="360">
        <v>0</v>
      </c>
      <c r="AL39" s="360">
        <v>0</v>
      </c>
      <c r="AM39" s="360">
        <v>0</v>
      </c>
      <c r="AN39" s="361">
        <v>0</v>
      </c>
      <c r="AO39" s="359">
        <v>0</v>
      </c>
      <c r="AP39" s="360">
        <v>0</v>
      </c>
      <c r="AQ39" s="360">
        <v>0</v>
      </c>
      <c r="AR39" s="360">
        <v>0</v>
      </c>
      <c r="AS39" s="360">
        <v>0</v>
      </c>
      <c r="AT39" s="360">
        <v>0</v>
      </c>
      <c r="AU39" s="360">
        <v>0</v>
      </c>
      <c r="AV39" s="361">
        <v>0</v>
      </c>
      <c r="AW39" s="359">
        <v>0</v>
      </c>
      <c r="AX39" s="360">
        <v>0</v>
      </c>
      <c r="AY39" s="360">
        <v>0</v>
      </c>
      <c r="AZ39" s="360">
        <v>0</v>
      </c>
      <c r="BA39" s="360">
        <v>0</v>
      </c>
      <c r="BB39" s="365">
        <f>IF(AND(BD37=1,BC37=1),1,0)</f>
        <v>1</v>
      </c>
      <c r="BC39" s="365">
        <f>IF(BD37=1,1,0)</f>
        <v>1</v>
      </c>
      <c r="BD39" s="366">
        <f>IF(AND(BB37=1,BC37=1,BD37=1),1,0)</f>
        <v>0</v>
      </c>
      <c r="BE39"/>
      <c r="BF39"/>
      <c r="BG39"/>
      <c r="BH39"/>
      <c r="BI39"/>
    </row>
    <row r="40" spans="2:61">
      <c r="B40" s="354" t="str">
        <f>IF((COUNTIF(B42:B160,"WR8")+COUNTIF(B42:B160,"WR16")+COUNTIF(B42:B160,"WR32"))&gt;0,"CHECK","REMnd")</f>
        <v>CHECK</v>
      </c>
      <c r="C40" s="235" t="s">
        <v>931</v>
      </c>
      <c r="D40" s="236"/>
      <c r="E40" s="237"/>
      <c r="F40" s="235" t="s">
        <v>930</v>
      </c>
      <c r="G40"/>
      <c r="H40"/>
      <c r="I40" s="2"/>
    </row>
    <row r="41" spans="2:61">
      <c r="B41" s="80" t="s">
        <v>14</v>
      </c>
      <c r="C41" s="82" t="s">
        <v>416</v>
      </c>
      <c r="D41" s="80"/>
      <c r="E41" s="101"/>
      <c r="F41" s="92"/>
      <c r="G41"/>
      <c r="H41"/>
      <c r="I41"/>
      <c r="J41"/>
      <c r="K41"/>
      <c r="L41"/>
      <c r="M41"/>
      <c r="N41"/>
      <c r="O41"/>
      <c r="P41"/>
      <c r="Q41"/>
      <c r="R41"/>
      <c r="S41"/>
      <c r="T41"/>
      <c r="U41"/>
      <c r="V41"/>
      <c r="W41"/>
      <c r="X41" s="222"/>
    </row>
    <row r="42" spans="2:61">
      <c r="B42" s="89" t="str">
        <f>IF(Main_Parameters!$C$29="DP","WR8","REMnd")</f>
        <v>WR8</v>
      </c>
      <c r="C42" s="5" t="s">
        <v>1352</v>
      </c>
      <c r="D42" s="14" t="s">
        <v>1351</v>
      </c>
      <c r="E42" s="83" t="s">
        <v>1075</v>
      </c>
      <c r="F42" s="36" t="s">
        <v>1353</v>
      </c>
      <c r="G42"/>
      <c r="H42"/>
      <c r="I42" s="2"/>
    </row>
    <row r="43" spans="2:61">
      <c r="B43" s="16" t="s">
        <v>286</v>
      </c>
      <c r="C43" s="5" t="s">
        <v>311</v>
      </c>
      <c r="D43" s="14" t="s">
        <v>299</v>
      </c>
      <c r="E43" s="93" t="str">
        <f>IF(Main_Parameters!$C$30="Always Full","01","41")</f>
        <v>41</v>
      </c>
      <c r="F43" s="36" t="s">
        <v>405</v>
      </c>
      <c r="G43"/>
      <c r="H43"/>
      <c r="I43" s="2"/>
    </row>
    <row r="44" spans="2:61">
      <c r="B44" s="16" t="s">
        <v>286</v>
      </c>
      <c r="C44" s="5" t="s">
        <v>310</v>
      </c>
      <c r="D44" s="14" t="s">
        <v>300</v>
      </c>
      <c r="E44" s="100" t="str">
        <f>DEC2HEX(AW44*2^7+AX44*2^6+AY44*2^5+AZ44*2^4+BA44*2^3+BB44*2^2+BC44*2^1+BD44*2^0,2)</f>
        <v>0D</v>
      </c>
      <c r="F44" s="36" t="s">
        <v>980</v>
      </c>
      <c r="G44"/>
      <c r="H44"/>
      <c r="I44"/>
      <c r="J44"/>
      <c r="K44"/>
      <c r="L44"/>
      <c r="M44"/>
      <c r="N44"/>
      <c r="O44"/>
      <c r="P44"/>
      <c r="Q44"/>
      <c r="R44"/>
      <c r="S44"/>
      <c r="T44"/>
      <c r="U44"/>
      <c r="V44"/>
      <c r="W44"/>
      <c r="Y44" s="359">
        <v>0</v>
      </c>
      <c r="Z44" s="360">
        <v>0</v>
      </c>
      <c r="AA44" s="360">
        <v>0</v>
      </c>
      <c r="AB44" s="360">
        <v>0</v>
      </c>
      <c r="AC44" s="360">
        <v>0</v>
      </c>
      <c r="AD44" s="360">
        <v>0</v>
      </c>
      <c r="AE44" s="360">
        <v>0</v>
      </c>
      <c r="AF44" s="361">
        <v>0</v>
      </c>
      <c r="AG44" s="359">
        <v>0</v>
      </c>
      <c r="AH44" s="360">
        <v>0</v>
      </c>
      <c r="AI44" s="360">
        <v>0</v>
      </c>
      <c r="AJ44" s="360">
        <v>0</v>
      </c>
      <c r="AK44" s="360">
        <v>0</v>
      </c>
      <c r="AL44" s="360">
        <v>0</v>
      </c>
      <c r="AM44" s="360">
        <v>0</v>
      </c>
      <c r="AN44" s="361">
        <v>0</v>
      </c>
      <c r="AO44" s="359">
        <v>0</v>
      </c>
      <c r="AP44" s="360">
        <v>0</v>
      </c>
      <c r="AQ44" s="360">
        <v>0</v>
      </c>
      <c r="AR44" s="360">
        <v>0</v>
      </c>
      <c r="AS44" s="360">
        <v>0</v>
      </c>
      <c r="AT44" s="360">
        <v>0</v>
      </c>
      <c r="AU44" s="360">
        <v>0</v>
      </c>
      <c r="AV44" s="361">
        <v>0</v>
      </c>
      <c r="AW44" s="359">
        <v>0</v>
      </c>
      <c r="AX44" s="360">
        <v>0</v>
      </c>
      <c r="AY44" s="360">
        <v>0</v>
      </c>
      <c r="AZ44" s="360">
        <v>0</v>
      </c>
      <c r="BA44" s="360">
        <v>0</v>
      </c>
      <c r="BB44" s="363">
        <f>IF(Main_Parameters!$C$30="Always Both",2,3)</f>
        <v>3</v>
      </c>
      <c r="BC44" s="360">
        <v>0</v>
      </c>
      <c r="BD44" s="364">
        <f>IF(Main_Parameters!$C$30="Always Full",0,1)</f>
        <v>1</v>
      </c>
    </row>
    <row r="45" spans="2:61">
      <c r="B45" s="89" t="str">
        <f>IF(Main_Parameters!$C$37=27,"REMnd","WR8")</f>
        <v>REMnd</v>
      </c>
      <c r="C45" s="5" t="s">
        <v>312</v>
      </c>
      <c r="D45" s="14" t="s">
        <v>301</v>
      </c>
      <c r="E45" s="83" t="s">
        <v>379</v>
      </c>
      <c r="F45" s="36" t="s">
        <v>589</v>
      </c>
      <c r="G45"/>
      <c r="H45"/>
      <c r="I45" s="2"/>
    </row>
    <row r="46" spans="2:61">
      <c r="B46" s="89" t="str">
        <f>IF(Main_Parameters!$C$37=26,"WR8","REMnd")</f>
        <v>REMnd</v>
      </c>
      <c r="C46" s="5" t="s">
        <v>1179</v>
      </c>
      <c r="D46" s="14" t="s">
        <v>1180</v>
      </c>
      <c r="E46" s="83" t="s">
        <v>1229</v>
      </c>
      <c r="F46" s="36"/>
      <c r="G46"/>
      <c r="H46"/>
      <c r="I46" s="2"/>
    </row>
    <row r="47" spans="2:61">
      <c r="B47" s="89" t="str">
        <f>IF(Main_Parameters!$C$37=26,"WR8","REMnd")</f>
        <v>REMnd</v>
      </c>
      <c r="C47" s="5" t="s">
        <v>1183</v>
      </c>
      <c r="D47" s="14" t="s">
        <v>1181</v>
      </c>
      <c r="E47" s="83" t="s">
        <v>1230</v>
      </c>
      <c r="F47" s="36"/>
      <c r="G47"/>
      <c r="H47"/>
      <c r="I47" s="2"/>
    </row>
    <row r="48" spans="2:61">
      <c r="B48" s="89" t="str">
        <f>IF(Main_Parameters!$C$37=26,"WR8","REMnd")</f>
        <v>REMnd</v>
      </c>
      <c r="C48" s="5" t="s">
        <v>1184</v>
      </c>
      <c r="D48" s="14" t="s">
        <v>1182</v>
      </c>
      <c r="E48" s="83" t="s">
        <v>1231</v>
      </c>
      <c r="F48" s="36"/>
      <c r="G48"/>
      <c r="H48"/>
      <c r="I48" s="2"/>
    </row>
    <row r="49" spans="2:9">
      <c r="B49" s="89" t="str">
        <f>IF(Main_Parameters!$C$37=26,"WR8","REMnd")</f>
        <v>REMnd</v>
      </c>
      <c r="C49" s="5" t="s">
        <v>1185</v>
      </c>
      <c r="D49" s="14" t="s">
        <v>1188</v>
      </c>
      <c r="E49" s="83" t="s">
        <v>1232</v>
      </c>
      <c r="F49" s="36"/>
      <c r="G49"/>
      <c r="H49"/>
      <c r="I49" s="2"/>
    </row>
    <row r="50" spans="2:9">
      <c r="B50" s="89" t="str">
        <f>IF(Main_Parameters!$C$37=26,"WR8","REMnd")</f>
        <v>REMnd</v>
      </c>
      <c r="C50" s="5" t="s">
        <v>1186</v>
      </c>
      <c r="D50" s="14" t="s">
        <v>1189</v>
      </c>
      <c r="E50" s="83" t="s">
        <v>1233</v>
      </c>
      <c r="F50" s="36"/>
      <c r="G50"/>
      <c r="H50"/>
      <c r="I50" s="2"/>
    </row>
    <row r="51" spans="2:9">
      <c r="B51" s="89" t="str">
        <f>IF(Main_Parameters!$C$37=26,"WR8","REMnd")</f>
        <v>REMnd</v>
      </c>
      <c r="C51" s="5" t="s">
        <v>1187</v>
      </c>
      <c r="D51" s="14" t="s">
        <v>1190</v>
      </c>
      <c r="E51" s="83" t="s">
        <v>1234</v>
      </c>
      <c r="F51" s="36"/>
      <c r="G51"/>
      <c r="H51"/>
      <c r="I51" s="2"/>
    </row>
    <row r="52" spans="2:9">
      <c r="B52" s="89" t="str">
        <f>IF(Main_Parameters!$C$37=26,"WR8","REMnd")</f>
        <v>REMnd</v>
      </c>
      <c r="C52" s="5" t="s">
        <v>1194</v>
      </c>
      <c r="D52" s="14" t="s">
        <v>1191</v>
      </c>
      <c r="E52" s="83" t="s">
        <v>1235</v>
      </c>
      <c r="F52" s="36"/>
      <c r="G52"/>
      <c r="H52"/>
      <c r="I52" s="2"/>
    </row>
    <row r="53" spans="2:9">
      <c r="B53" s="89" t="str">
        <f>IF(Main_Parameters!$C$37=26,"WR8","REMnd")</f>
        <v>REMnd</v>
      </c>
      <c r="C53" s="5" t="s">
        <v>1195</v>
      </c>
      <c r="D53" s="14" t="s">
        <v>1192</v>
      </c>
      <c r="E53" s="83" t="s">
        <v>1236</v>
      </c>
      <c r="F53" s="36"/>
      <c r="G53"/>
      <c r="H53"/>
      <c r="I53" s="2"/>
    </row>
    <row r="54" spans="2:9">
      <c r="B54" s="89" t="str">
        <f>IF(Main_Parameters!$C$37=26,"WR8","REMnd")</f>
        <v>REMnd</v>
      </c>
      <c r="C54" s="5" t="s">
        <v>1196</v>
      </c>
      <c r="D54" s="14" t="s">
        <v>1193</v>
      </c>
      <c r="E54" s="83" t="s">
        <v>1237</v>
      </c>
      <c r="F54" s="36"/>
      <c r="G54"/>
      <c r="H54"/>
      <c r="I54" s="2"/>
    </row>
    <row r="55" spans="2:9">
      <c r="B55" s="89" t="str">
        <f>IF(Main_Parameters!$C$37=26,"WR8","REMnd")</f>
        <v>REMnd</v>
      </c>
      <c r="C55" s="5" t="s">
        <v>1197</v>
      </c>
      <c r="D55" s="14" t="s">
        <v>1200</v>
      </c>
      <c r="E55" s="83" t="s">
        <v>1238</v>
      </c>
      <c r="F55" s="36"/>
      <c r="G55"/>
      <c r="H55"/>
      <c r="I55" s="2"/>
    </row>
    <row r="56" spans="2:9">
      <c r="B56" s="89" t="str">
        <f>IF(Main_Parameters!$C$37=26,"WR8","REMnd")</f>
        <v>REMnd</v>
      </c>
      <c r="C56" s="5" t="s">
        <v>1198</v>
      </c>
      <c r="D56" s="14" t="s">
        <v>1201</v>
      </c>
      <c r="E56" s="83" t="s">
        <v>1239</v>
      </c>
      <c r="F56" s="36"/>
      <c r="G56"/>
      <c r="H56"/>
      <c r="I56" s="2"/>
    </row>
    <row r="57" spans="2:9">
      <c r="B57" s="89" t="str">
        <f>IF(Main_Parameters!$C$37=26,"WR8","REMnd")</f>
        <v>REMnd</v>
      </c>
      <c r="C57" s="5" t="s">
        <v>1199</v>
      </c>
      <c r="D57" s="14" t="s">
        <v>1202</v>
      </c>
      <c r="E57" s="83" t="s">
        <v>1240</v>
      </c>
      <c r="F57" s="36"/>
      <c r="G57"/>
      <c r="H57"/>
      <c r="I57" s="2"/>
    </row>
    <row r="58" spans="2:9">
      <c r="B58" s="89" t="str">
        <f>IF(Main_Parameters!$C$37=26,"WR8","REMnd")</f>
        <v>REMnd</v>
      </c>
      <c r="C58" s="5" t="s">
        <v>1206</v>
      </c>
      <c r="D58" s="14" t="s">
        <v>1203</v>
      </c>
      <c r="E58" s="83" t="s">
        <v>1241</v>
      </c>
      <c r="F58" s="36"/>
      <c r="G58"/>
      <c r="H58"/>
      <c r="I58" s="2"/>
    </row>
    <row r="59" spans="2:9">
      <c r="B59" s="89" t="str">
        <f>IF(Main_Parameters!$C$37=26,"WR8","REMnd")</f>
        <v>REMnd</v>
      </c>
      <c r="C59" s="5" t="s">
        <v>1207</v>
      </c>
      <c r="D59" s="14" t="s">
        <v>1204</v>
      </c>
      <c r="E59" s="83" t="s">
        <v>1242</v>
      </c>
      <c r="F59" s="36"/>
      <c r="G59"/>
      <c r="H59"/>
      <c r="I59" s="2"/>
    </row>
    <row r="60" spans="2:9">
      <c r="B60" s="89" t="str">
        <f>IF(Main_Parameters!$C$37=26,"WR8","REMnd")</f>
        <v>REMnd</v>
      </c>
      <c r="C60" s="5" t="s">
        <v>1208</v>
      </c>
      <c r="D60" s="14" t="s">
        <v>1205</v>
      </c>
      <c r="E60" s="83" t="s">
        <v>1243</v>
      </c>
      <c r="F60" s="36"/>
      <c r="G60"/>
      <c r="H60"/>
      <c r="I60" s="2"/>
    </row>
    <row r="61" spans="2:9">
      <c r="B61" s="89" t="str">
        <f>IF(Main_Parameters!$C$37=26,"WR8","REMnd")</f>
        <v>REMnd</v>
      </c>
      <c r="C61" s="5" t="s">
        <v>1211</v>
      </c>
      <c r="D61" s="14" t="s">
        <v>1209</v>
      </c>
      <c r="E61" s="83" t="s">
        <v>1244</v>
      </c>
      <c r="F61" s="36"/>
      <c r="G61"/>
      <c r="H61"/>
      <c r="I61" s="2"/>
    </row>
    <row r="62" spans="2:9">
      <c r="B62" s="89" t="str">
        <f>IF(Main_Parameters!$C$37=26,"WR8","REMnd")</f>
        <v>REMnd</v>
      </c>
      <c r="C62" s="5" t="s">
        <v>1212</v>
      </c>
      <c r="D62" s="14" t="s">
        <v>1210</v>
      </c>
      <c r="E62" s="83" t="s">
        <v>1238</v>
      </c>
      <c r="F62" s="36"/>
      <c r="G62"/>
      <c r="H62"/>
      <c r="I62" s="2"/>
    </row>
    <row r="63" spans="2:9">
      <c r="B63" s="89" t="str">
        <f>IF(Main_Parameters!$C$37=26,"WR8","REMnd")</f>
        <v>REMnd</v>
      </c>
      <c r="C63" s="5" t="s">
        <v>1213</v>
      </c>
      <c r="D63" s="14" t="s">
        <v>1221</v>
      </c>
      <c r="E63" s="83" t="s">
        <v>1240</v>
      </c>
      <c r="F63" s="36"/>
      <c r="G63"/>
      <c r="H63"/>
      <c r="I63" s="2"/>
    </row>
    <row r="64" spans="2:9">
      <c r="B64" s="89" t="str">
        <f>IF(Main_Parameters!$C$37=26,"WR8","REMnd")</f>
        <v>REMnd</v>
      </c>
      <c r="C64" s="5" t="s">
        <v>1214</v>
      </c>
      <c r="D64" s="14" t="s">
        <v>1222</v>
      </c>
      <c r="E64" s="83" t="s">
        <v>1241</v>
      </c>
      <c r="F64" s="36"/>
      <c r="G64"/>
      <c r="H64"/>
      <c r="I64" s="2"/>
    </row>
    <row r="65" spans="2:24">
      <c r="B65" s="89" t="str">
        <f>IF(Main_Parameters!$C$37=26,"WR8","REMnd")</f>
        <v>REMnd</v>
      </c>
      <c r="C65" s="5" t="s">
        <v>1215</v>
      </c>
      <c r="D65" s="14" t="s">
        <v>1223</v>
      </c>
      <c r="E65" s="83" t="s">
        <v>1244</v>
      </c>
      <c r="F65" s="36"/>
      <c r="G65"/>
      <c r="H65"/>
      <c r="I65" s="2"/>
    </row>
    <row r="66" spans="2:24">
      <c r="B66" s="89" t="str">
        <f>IF(Main_Parameters!$C$37=26,"WR8","REMnd")</f>
        <v>REMnd</v>
      </c>
      <c r="C66" s="5" t="s">
        <v>1216</v>
      </c>
      <c r="D66" s="14" t="s">
        <v>1224</v>
      </c>
      <c r="E66" s="83" t="s">
        <v>1238</v>
      </c>
      <c r="F66" s="36"/>
      <c r="G66"/>
      <c r="H66"/>
      <c r="I66" s="2"/>
    </row>
    <row r="67" spans="2:24">
      <c r="B67" s="89" t="str">
        <f>IF(Main_Parameters!$C$37=26,"WR8","REMnd")</f>
        <v>REMnd</v>
      </c>
      <c r="C67" s="5" t="s">
        <v>1217</v>
      </c>
      <c r="D67" s="14" t="s">
        <v>1225</v>
      </c>
      <c r="E67" s="83" t="s">
        <v>1245</v>
      </c>
      <c r="F67" s="36"/>
      <c r="G67"/>
      <c r="H67"/>
      <c r="I67" s="2"/>
    </row>
    <row r="68" spans="2:24">
      <c r="B68" s="89" t="str">
        <f>IF(Main_Parameters!$C$37=26,"WR8","REMnd")</f>
        <v>REMnd</v>
      </c>
      <c r="C68" s="5" t="s">
        <v>1218</v>
      </c>
      <c r="D68" s="14" t="s">
        <v>1226</v>
      </c>
      <c r="E68" s="83" t="s">
        <v>1246</v>
      </c>
      <c r="F68" s="36"/>
      <c r="G68"/>
      <c r="H68"/>
      <c r="I68" s="2"/>
    </row>
    <row r="69" spans="2:24">
      <c r="B69" s="89" t="str">
        <f>IF(Main_Parameters!$C$37=26,"WR8","REMnd")</f>
        <v>REMnd</v>
      </c>
      <c r="C69" s="5" t="s">
        <v>1219</v>
      </c>
      <c r="D69" s="14" t="s">
        <v>1227</v>
      </c>
      <c r="E69" s="83" t="s">
        <v>1229</v>
      </c>
      <c r="F69" s="36"/>
      <c r="G69"/>
      <c r="H69"/>
      <c r="I69" s="2"/>
    </row>
    <row r="70" spans="2:24">
      <c r="B70" s="89" t="str">
        <f>IF(Main_Parameters!$C$37=26,"WR8","REMnd")</f>
        <v>REMnd</v>
      </c>
      <c r="C70" s="5" t="s">
        <v>1220</v>
      </c>
      <c r="D70" s="14" t="s">
        <v>1228</v>
      </c>
      <c r="E70" s="83" t="s">
        <v>1240</v>
      </c>
      <c r="F70" s="36"/>
      <c r="G70"/>
      <c r="H70"/>
      <c r="I70" s="2"/>
    </row>
    <row r="71" spans="2:24">
      <c r="B71" s="80" t="s">
        <v>14</v>
      </c>
      <c r="C71" s="82" t="s">
        <v>856</v>
      </c>
      <c r="D71" s="80"/>
      <c r="E71" s="101"/>
      <c r="F71" s="92"/>
      <c r="G71"/>
      <c r="H71"/>
      <c r="I71"/>
      <c r="J71"/>
      <c r="K71"/>
      <c r="L71"/>
      <c r="M71"/>
      <c r="N71"/>
      <c r="O71"/>
      <c r="P71"/>
      <c r="Q71"/>
      <c r="R71"/>
      <c r="S71"/>
      <c r="T71"/>
      <c r="U71"/>
      <c r="V71"/>
      <c r="W71"/>
      <c r="X71" s="222"/>
    </row>
    <row r="72" spans="2:24">
      <c r="B72" s="16" t="s">
        <v>286</v>
      </c>
      <c r="C72" s="5" t="s">
        <v>566</v>
      </c>
      <c r="D72" s="14" t="s">
        <v>561</v>
      </c>
      <c r="E72" s="83" t="s">
        <v>565</v>
      </c>
      <c r="F72" s="36"/>
      <c r="G72"/>
      <c r="H72"/>
      <c r="I72" s="2"/>
    </row>
    <row r="73" spans="2:24">
      <c r="B73" s="16" t="s">
        <v>286</v>
      </c>
      <c r="C73" s="5" t="s">
        <v>567</v>
      </c>
      <c r="D73" s="14" t="s">
        <v>562</v>
      </c>
      <c r="E73" s="83" t="s">
        <v>565</v>
      </c>
      <c r="F73" s="36"/>
      <c r="G73"/>
      <c r="H73"/>
      <c r="I73" s="2"/>
    </row>
    <row r="74" spans="2:24">
      <c r="B74" s="16" t="s">
        <v>286</v>
      </c>
      <c r="C74" s="5" t="s">
        <v>568</v>
      </c>
      <c r="D74" s="14" t="s">
        <v>563</v>
      </c>
      <c r="E74" s="83" t="s">
        <v>565</v>
      </c>
      <c r="F74" s="36"/>
      <c r="G74"/>
      <c r="H74"/>
      <c r="I74" s="2"/>
    </row>
    <row r="75" spans="2:24">
      <c r="B75" s="16" t="s">
        <v>286</v>
      </c>
      <c r="C75" s="5" t="s">
        <v>569</v>
      </c>
      <c r="D75" s="14" t="s">
        <v>564</v>
      </c>
      <c r="E75" s="83" t="s">
        <v>565</v>
      </c>
      <c r="F75" s="36"/>
      <c r="G75"/>
      <c r="H75"/>
      <c r="I75" s="2"/>
    </row>
    <row r="76" spans="2:24">
      <c r="B76" s="16" t="s">
        <v>286</v>
      </c>
      <c r="C76" s="5" t="s">
        <v>858</v>
      </c>
      <c r="D76" s="14" t="s">
        <v>857</v>
      </c>
      <c r="E76" s="83" t="s">
        <v>859</v>
      </c>
      <c r="F76" s="36"/>
      <c r="G76"/>
      <c r="H76"/>
      <c r="I76" s="2"/>
    </row>
    <row r="77" spans="2:24">
      <c r="B77" s="16" t="s">
        <v>286</v>
      </c>
      <c r="C77" s="5" t="s">
        <v>720</v>
      </c>
      <c r="D77" s="14" t="s">
        <v>719</v>
      </c>
      <c r="E77" s="83" t="s">
        <v>796</v>
      </c>
      <c r="F77" s="36"/>
      <c r="G77"/>
      <c r="H77"/>
      <c r="I77" s="2"/>
    </row>
    <row r="78" spans="2:24">
      <c r="B78" s="16" t="s">
        <v>286</v>
      </c>
      <c r="C78" s="5" t="s">
        <v>721</v>
      </c>
      <c r="D78" s="14" t="s">
        <v>722</v>
      </c>
      <c r="E78" s="83" t="s">
        <v>797</v>
      </c>
      <c r="F78" s="36"/>
      <c r="G78"/>
      <c r="H78"/>
      <c r="I78" s="2"/>
    </row>
    <row r="79" spans="2:24">
      <c r="B79" s="16" t="s">
        <v>286</v>
      </c>
      <c r="C79" s="5" t="s">
        <v>860</v>
      </c>
      <c r="D79" s="14" t="s">
        <v>861</v>
      </c>
      <c r="E79" s="83" t="s">
        <v>862</v>
      </c>
      <c r="F79" s="36"/>
      <c r="G79"/>
      <c r="H79"/>
      <c r="I79" s="2"/>
    </row>
    <row r="80" spans="2:24">
      <c r="B80" s="16" t="s">
        <v>286</v>
      </c>
      <c r="C80" s="5" t="s">
        <v>863</v>
      </c>
      <c r="D80" s="14" t="s">
        <v>869</v>
      </c>
      <c r="E80" s="83" t="s">
        <v>862</v>
      </c>
      <c r="F80" s="36"/>
      <c r="G80"/>
      <c r="H80"/>
      <c r="I80" s="2"/>
    </row>
    <row r="81" spans="2:9">
      <c r="B81" s="16" t="s">
        <v>286</v>
      </c>
      <c r="C81" s="5" t="s">
        <v>864</v>
      </c>
      <c r="D81" s="14" t="s">
        <v>870</v>
      </c>
      <c r="E81" s="83" t="s">
        <v>798</v>
      </c>
      <c r="F81" s="36"/>
      <c r="G81"/>
      <c r="H81"/>
      <c r="I81" s="2"/>
    </row>
    <row r="82" spans="2:9">
      <c r="B82" s="16" t="s">
        <v>286</v>
      </c>
      <c r="C82" s="5" t="s">
        <v>865</v>
      </c>
      <c r="D82" s="14" t="s">
        <v>871</v>
      </c>
      <c r="E82" s="83" t="s">
        <v>798</v>
      </c>
      <c r="F82" s="36"/>
      <c r="G82"/>
      <c r="H82"/>
      <c r="I82" s="2"/>
    </row>
    <row r="83" spans="2:9">
      <c r="B83" s="16" t="s">
        <v>286</v>
      </c>
      <c r="C83" s="5" t="s">
        <v>866</v>
      </c>
      <c r="D83" s="14" t="s">
        <v>872</v>
      </c>
      <c r="E83" s="83" t="s">
        <v>798</v>
      </c>
      <c r="F83" s="36"/>
      <c r="G83"/>
      <c r="H83"/>
      <c r="I83" s="2"/>
    </row>
    <row r="84" spans="2:9">
      <c r="B84" s="16" t="s">
        <v>286</v>
      </c>
      <c r="C84" s="5" t="s">
        <v>867</v>
      </c>
      <c r="D84" s="14" t="s">
        <v>873</v>
      </c>
      <c r="E84" s="83" t="s">
        <v>798</v>
      </c>
      <c r="F84" s="36"/>
      <c r="G84"/>
      <c r="H84"/>
      <c r="I84" s="2"/>
    </row>
    <row r="85" spans="2:9">
      <c r="B85" s="16" t="s">
        <v>286</v>
      </c>
      <c r="C85" s="5" t="s">
        <v>868</v>
      </c>
      <c r="D85" s="14" t="s">
        <v>874</v>
      </c>
      <c r="E85" s="83" t="s">
        <v>798</v>
      </c>
      <c r="F85" s="36"/>
      <c r="G85"/>
      <c r="H85"/>
      <c r="I85" s="2"/>
    </row>
    <row r="86" spans="2:9">
      <c r="B86" s="16" t="s">
        <v>286</v>
      </c>
      <c r="C86" s="5" t="s">
        <v>759</v>
      </c>
      <c r="D86" s="14" t="s">
        <v>875</v>
      </c>
      <c r="E86" s="83" t="s">
        <v>798</v>
      </c>
      <c r="F86" s="36"/>
      <c r="G86"/>
      <c r="H86"/>
      <c r="I86" s="2"/>
    </row>
    <row r="87" spans="2:9">
      <c r="B87" s="16" t="s">
        <v>286</v>
      </c>
      <c r="C87" s="5" t="s">
        <v>760</v>
      </c>
      <c r="D87" s="14" t="s">
        <v>723</v>
      </c>
      <c r="E87" s="83" t="s">
        <v>799</v>
      </c>
      <c r="F87" s="36"/>
      <c r="G87"/>
      <c r="H87"/>
      <c r="I87" s="2"/>
    </row>
    <row r="88" spans="2:9">
      <c r="B88" s="16" t="s">
        <v>286</v>
      </c>
      <c r="C88" s="5" t="s">
        <v>761</v>
      </c>
      <c r="D88" s="14" t="s">
        <v>724</v>
      </c>
      <c r="E88" s="83" t="s">
        <v>799</v>
      </c>
      <c r="F88" s="36"/>
      <c r="G88"/>
      <c r="H88"/>
      <c r="I88" s="2"/>
    </row>
    <row r="89" spans="2:9">
      <c r="B89" s="16" t="s">
        <v>286</v>
      </c>
      <c r="C89" s="5" t="s">
        <v>762</v>
      </c>
      <c r="D89" s="14" t="s">
        <v>725</v>
      </c>
      <c r="E89" s="83" t="s">
        <v>799</v>
      </c>
      <c r="F89" s="36"/>
      <c r="G89"/>
      <c r="H89"/>
      <c r="I89" s="2"/>
    </row>
    <row r="90" spans="2:9">
      <c r="B90" s="16" t="s">
        <v>286</v>
      </c>
      <c r="C90" s="5" t="s">
        <v>763</v>
      </c>
      <c r="D90" s="14" t="s">
        <v>726</v>
      </c>
      <c r="E90" s="83" t="s">
        <v>799</v>
      </c>
      <c r="F90" s="36"/>
      <c r="G90"/>
      <c r="H90"/>
      <c r="I90" s="2"/>
    </row>
    <row r="91" spans="2:9">
      <c r="B91" s="16" t="s">
        <v>286</v>
      </c>
      <c r="C91" s="5" t="s">
        <v>764</v>
      </c>
      <c r="D91" s="14" t="s">
        <v>727</v>
      </c>
      <c r="E91" s="83" t="s">
        <v>799</v>
      </c>
      <c r="F91" s="36"/>
      <c r="G91"/>
      <c r="H91"/>
      <c r="I91" s="2"/>
    </row>
    <row r="92" spans="2:9">
      <c r="B92" s="16" t="s">
        <v>286</v>
      </c>
      <c r="C92" s="5" t="s">
        <v>765</v>
      </c>
      <c r="D92" s="14" t="s">
        <v>728</v>
      </c>
      <c r="E92" s="83" t="s">
        <v>799</v>
      </c>
      <c r="F92" s="36"/>
      <c r="G92"/>
      <c r="H92"/>
      <c r="I92" s="2"/>
    </row>
    <row r="93" spans="2:9">
      <c r="B93" s="16" t="s">
        <v>286</v>
      </c>
      <c r="C93" s="5" t="s">
        <v>766</v>
      </c>
      <c r="D93" s="14" t="s">
        <v>729</v>
      </c>
      <c r="E93" s="83" t="s">
        <v>799</v>
      </c>
      <c r="F93" s="36"/>
      <c r="G93"/>
      <c r="H93"/>
      <c r="I93" s="2"/>
    </row>
    <row r="94" spans="2:9">
      <c r="B94" s="16" t="s">
        <v>286</v>
      </c>
      <c r="C94" s="5" t="s">
        <v>767</v>
      </c>
      <c r="D94" s="14" t="s">
        <v>730</v>
      </c>
      <c r="E94" s="83" t="s">
        <v>799</v>
      </c>
      <c r="F94" s="36"/>
      <c r="G94"/>
      <c r="H94"/>
      <c r="I94" s="2"/>
    </row>
    <row r="95" spans="2:9">
      <c r="B95" s="16" t="s">
        <v>286</v>
      </c>
      <c r="C95" s="5" t="s">
        <v>768</v>
      </c>
      <c r="D95" s="14" t="s">
        <v>731</v>
      </c>
      <c r="E95" s="83" t="s">
        <v>799</v>
      </c>
      <c r="F95" s="36"/>
      <c r="G95"/>
      <c r="H95"/>
      <c r="I95" s="2"/>
    </row>
    <row r="96" spans="2:9">
      <c r="B96" s="16" t="s">
        <v>286</v>
      </c>
      <c r="C96" s="5" t="s">
        <v>769</v>
      </c>
      <c r="D96" s="14" t="s">
        <v>732</v>
      </c>
      <c r="E96" s="83" t="s">
        <v>799</v>
      </c>
      <c r="F96" s="36"/>
      <c r="G96"/>
      <c r="H96"/>
      <c r="I96" s="2"/>
    </row>
    <row r="97" spans="2:9">
      <c r="B97" s="16" t="s">
        <v>286</v>
      </c>
      <c r="C97" s="5" t="s">
        <v>770</v>
      </c>
      <c r="D97" s="14" t="s">
        <v>733</v>
      </c>
      <c r="E97" s="83" t="s">
        <v>799</v>
      </c>
      <c r="F97" s="36"/>
      <c r="G97"/>
      <c r="H97"/>
      <c r="I97" s="2"/>
    </row>
    <row r="98" spans="2:9">
      <c r="B98" s="16" t="s">
        <v>286</v>
      </c>
      <c r="C98" s="5" t="s">
        <v>771</v>
      </c>
      <c r="D98" s="14" t="s">
        <v>734</v>
      </c>
      <c r="E98" s="83" t="s">
        <v>799</v>
      </c>
      <c r="F98" s="36"/>
      <c r="G98"/>
      <c r="H98"/>
      <c r="I98" s="2"/>
    </row>
    <row r="99" spans="2:9">
      <c r="B99" s="16" t="s">
        <v>286</v>
      </c>
      <c r="C99" s="5" t="s">
        <v>772</v>
      </c>
      <c r="D99" s="14" t="s">
        <v>735</v>
      </c>
      <c r="E99" s="83" t="s">
        <v>799</v>
      </c>
      <c r="F99" s="36"/>
      <c r="G99"/>
      <c r="H99"/>
      <c r="I99" s="2"/>
    </row>
    <row r="100" spans="2:9">
      <c r="B100" s="16" t="s">
        <v>286</v>
      </c>
      <c r="C100" s="5" t="s">
        <v>773</v>
      </c>
      <c r="D100" s="14" t="s">
        <v>736</v>
      </c>
      <c r="E100" s="83" t="s">
        <v>799</v>
      </c>
      <c r="F100" s="36"/>
      <c r="G100"/>
      <c r="H100"/>
      <c r="I100" s="2"/>
    </row>
    <row r="101" spans="2:9">
      <c r="B101" s="16" t="s">
        <v>286</v>
      </c>
      <c r="C101" s="5" t="s">
        <v>774</v>
      </c>
      <c r="D101" s="14" t="s">
        <v>737</v>
      </c>
      <c r="E101" s="83" t="s">
        <v>799</v>
      </c>
      <c r="F101" s="36"/>
      <c r="G101"/>
      <c r="H101"/>
      <c r="I101" s="2"/>
    </row>
    <row r="102" spans="2:9">
      <c r="B102" s="16" t="s">
        <v>286</v>
      </c>
      <c r="C102" s="5" t="s">
        <v>775</v>
      </c>
      <c r="D102" s="14" t="s">
        <v>738</v>
      </c>
      <c r="E102" s="83" t="s">
        <v>799</v>
      </c>
      <c r="F102" s="36"/>
      <c r="G102"/>
      <c r="H102"/>
      <c r="I102" s="2"/>
    </row>
    <row r="103" spans="2:9">
      <c r="B103" s="16" t="s">
        <v>286</v>
      </c>
      <c r="C103" s="5" t="s">
        <v>776</v>
      </c>
      <c r="D103" s="14" t="s">
        <v>739</v>
      </c>
      <c r="E103" s="83" t="s">
        <v>799</v>
      </c>
      <c r="F103" s="36"/>
      <c r="G103"/>
      <c r="H103"/>
      <c r="I103" s="2"/>
    </row>
    <row r="104" spans="2:9">
      <c r="B104" s="16" t="s">
        <v>286</v>
      </c>
      <c r="C104" s="5" t="s">
        <v>777</v>
      </c>
      <c r="D104" s="14" t="s">
        <v>740</v>
      </c>
      <c r="E104" s="83" t="s">
        <v>799</v>
      </c>
      <c r="F104" s="36"/>
      <c r="G104"/>
      <c r="H104"/>
      <c r="I104" s="2"/>
    </row>
    <row r="105" spans="2:9">
      <c r="B105" s="16" t="s">
        <v>286</v>
      </c>
      <c r="C105" s="5" t="s">
        <v>778</v>
      </c>
      <c r="D105" s="14" t="s">
        <v>741</v>
      </c>
      <c r="E105" s="83" t="s">
        <v>799</v>
      </c>
      <c r="F105" s="36"/>
      <c r="G105"/>
      <c r="H105"/>
      <c r="I105" s="2"/>
    </row>
    <row r="106" spans="2:9">
      <c r="B106" s="16" t="s">
        <v>286</v>
      </c>
      <c r="C106" s="5" t="s">
        <v>779</v>
      </c>
      <c r="D106" s="14" t="s">
        <v>742</v>
      </c>
      <c r="E106" s="83" t="s">
        <v>799</v>
      </c>
      <c r="F106" s="36"/>
      <c r="G106"/>
      <c r="H106"/>
      <c r="I106" s="2"/>
    </row>
    <row r="107" spans="2:9">
      <c r="B107" s="16" t="s">
        <v>286</v>
      </c>
      <c r="C107" s="5" t="s">
        <v>780</v>
      </c>
      <c r="D107" s="14" t="s">
        <v>743</v>
      </c>
      <c r="E107" s="83" t="s">
        <v>799</v>
      </c>
      <c r="F107" s="36"/>
      <c r="G107"/>
      <c r="H107"/>
      <c r="I107" s="2"/>
    </row>
    <row r="108" spans="2:9">
      <c r="B108" s="16" t="s">
        <v>286</v>
      </c>
      <c r="C108" s="5" t="s">
        <v>781</v>
      </c>
      <c r="D108" s="14" t="s">
        <v>744</v>
      </c>
      <c r="E108" s="83" t="s">
        <v>799</v>
      </c>
      <c r="F108" s="36"/>
      <c r="G108"/>
      <c r="H108"/>
      <c r="I108" s="2"/>
    </row>
    <row r="109" spans="2:9">
      <c r="B109" s="16" t="s">
        <v>286</v>
      </c>
      <c r="C109" s="5" t="s">
        <v>782</v>
      </c>
      <c r="D109" s="14" t="s">
        <v>745</v>
      </c>
      <c r="E109" s="83" t="s">
        <v>799</v>
      </c>
      <c r="F109" s="36"/>
      <c r="G109"/>
      <c r="H109"/>
      <c r="I109" s="2"/>
    </row>
    <row r="110" spans="2:9">
      <c r="B110" s="16" t="s">
        <v>286</v>
      </c>
      <c r="C110" s="5" t="s">
        <v>783</v>
      </c>
      <c r="D110" s="14" t="s">
        <v>746</v>
      </c>
      <c r="E110" s="83" t="s">
        <v>799</v>
      </c>
      <c r="F110" s="36"/>
      <c r="G110"/>
      <c r="H110"/>
      <c r="I110" s="2"/>
    </row>
    <row r="111" spans="2:9">
      <c r="B111" s="16" t="s">
        <v>286</v>
      </c>
      <c r="C111" s="5" t="s">
        <v>784</v>
      </c>
      <c r="D111" s="14" t="s">
        <v>747</v>
      </c>
      <c r="E111" s="83" t="s">
        <v>876</v>
      </c>
      <c r="F111" s="36"/>
      <c r="G111"/>
      <c r="H111"/>
      <c r="I111" s="2"/>
    </row>
    <row r="112" spans="2:9">
      <c r="B112" s="16" t="s">
        <v>286</v>
      </c>
      <c r="C112" s="5" t="s">
        <v>785</v>
      </c>
      <c r="D112" s="14" t="s">
        <v>748</v>
      </c>
      <c r="E112" s="83" t="s">
        <v>800</v>
      </c>
      <c r="F112" s="36"/>
      <c r="G112"/>
      <c r="H112"/>
      <c r="I112" s="2"/>
    </row>
    <row r="113" spans="2:9">
      <c r="B113" s="16" t="s">
        <v>286</v>
      </c>
      <c r="C113" s="5" t="s">
        <v>786</v>
      </c>
      <c r="D113" s="14" t="s">
        <v>749</v>
      </c>
      <c r="E113" s="83" t="s">
        <v>801</v>
      </c>
      <c r="F113" s="36"/>
      <c r="G113"/>
      <c r="H113"/>
      <c r="I113" s="2"/>
    </row>
    <row r="114" spans="2:9">
      <c r="B114" s="16" t="s">
        <v>286</v>
      </c>
      <c r="C114" s="5" t="s">
        <v>787</v>
      </c>
      <c r="D114" s="14" t="s">
        <v>750</v>
      </c>
      <c r="E114" s="83" t="s">
        <v>876</v>
      </c>
      <c r="F114" s="36"/>
      <c r="G114"/>
      <c r="H114"/>
      <c r="I114" s="2"/>
    </row>
    <row r="115" spans="2:9">
      <c r="B115" s="16" t="s">
        <v>286</v>
      </c>
      <c r="C115" s="5" t="s">
        <v>788</v>
      </c>
      <c r="D115" s="14" t="s">
        <v>751</v>
      </c>
      <c r="E115" s="83" t="s">
        <v>800</v>
      </c>
      <c r="F115" s="36"/>
      <c r="G115"/>
      <c r="H115"/>
      <c r="I115" s="2"/>
    </row>
    <row r="116" spans="2:9">
      <c r="B116" s="16" t="s">
        <v>286</v>
      </c>
      <c r="C116" s="5" t="s">
        <v>789</v>
      </c>
      <c r="D116" s="14" t="s">
        <v>752</v>
      </c>
      <c r="E116" s="83" t="s">
        <v>801</v>
      </c>
      <c r="F116" s="36"/>
      <c r="G116"/>
      <c r="H116"/>
      <c r="I116" s="2"/>
    </row>
    <row r="117" spans="2:9">
      <c r="B117" s="16" t="s">
        <v>286</v>
      </c>
      <c r="C117" s="5" t="s">
        <v>790</v>
      </c>
      <c r="D117" s="14" t="s">
        <v>753</v>
      </c>
      <c r="E117" s="83" t="s">
        <v>876</v>
      </c>
      <c r="F117" s="36"/>
      <c r="G117"/>
      <c r="H117"/>
      <c r="I117" s="2"/>
    </row>
    <row r="118" spans="2:9">
      <c r="B118" s="16" t="s">
        <v>286</v>
      </c>
      <c r="C118" s="5" t="s">
        <v>791</v>
      </c>
      <c r="D118" s="14" t="s">
        <v>754</v>
      </c>
      <c r="E118" s="83" t="s">
        <v>800</v>
      </c>
      <c r="F118" s="36"/>
      <c r="G118"/>
      <c r="H118"/>
      <c r="I118" s="2"/>
    </row>
    <row r="119" spans="2:9">
      <c r="B119" s="16" t="s">
        <v>286</v>
      </c>
      <c r="C119" s="5" t="s">
        <v>792</v>
      </c>
      <c r="D119" s="14" t="s">
        <v>755</v>
      </c>
      <c r="E119" s="83" t="s">
        <v>801</v>
      </c>
      <c r="F119" s="36"/>
      <c r="G119"/>
      <c r="H119"/>
      <c r="I119" s="2"/>
    </row>
    <row r="120" spans="2:9">
      <c r="B120" s="16" t="s">
        <v>286</v>
      </c>
      <c r="C120" s="5" t="s">
        <v>793</v>
      </c>
      <c r="D120" s="14" t="s">
        <v>756</v>
      </c>
      <c r="E120" s="83" t="s">
        <v>876</v>
      </c>
      <c r="F120" s="36"/>
      <c r="G120"/>
      <c r="H120"/>
      <c r="I120" s="2"/>
    </row>
    <row r="121" spans="2:9">
      <c r="B121" s="16" t="s">
        <v>286</v>
      </c>
      <c r="C121" s="5" t="s">
        <v>794</v>
      </c>
      <c r="D121" s="14" t="s">
        <v>757</v>
      </c>
      <c r="E121" s="83" t="s">
        <v>800</v>
      </c>
      <c r="F121" s="36"/>
      <c r="G121"/>
      <c r="H121"/>
      <c r="I121" s="2"/>
    </row>
    <row r="122" spans="2:9">
      <c r="B122" s="16" t="s">
        <v>286</v>
      </c>
      <c r="C122" s="5" t="s">
        <v>784</v>
      </c>
      <c r="D122" s="14" t="s">
        <v>758</v>
      </c>
      <c r="E122" s="83" t="s">
        <v>801</v>
      </c>
      <c r="F122" s="36"/>
      <c r="G122"/>
      <c r="H122"/>
      <c r="I122" s="2"/>
    </row>
    <row r="123" spans="2:9">
      <c r="B123" s="16" t="s">
        <v>286</v>
      </c>
      <c r="C123" s="5" t="s">
        <v>878</v>
      </c>
      <c r="D123" s="14" t="s">
        <v>898</v>
      </c>
      <c r="E123" s="83" t="s">
        <v>880</v>
      </c>
      <c r="F123" s="36"/>
      <c r="G123"/>
      <c r="H123"/>
      <c r="I123" s="2"/>
    </row>
    <row r="124" spans="2:9">
      <c r="B124" s="16" t="s">
        <v>286</v>
      </c>
      <c r="C124" s="5" t="s">
        <v>879</v>
      </c>
      <c r="D124" s="14" t="s">
        <v>877</v>
      </c>
      <c r="E124" s="83" t="s">
        <v>880</v>
      </c>
      <c r="F124" s="36"/>
      <c r="G124"/>
      <c r="H124"/>
      <c r="I124" s="2"/>
    </row>
    <row r="125" spans="2:9">
      <c r="B125" s="16" t="s">
        <v>286</v>
      </c>
      <c r="C125" s="5" t="s">
        <v>887</v>
      </c>
      <c r="D125" s="14" t="s">
        <v>881</v>
      </c>
      <c r="E125" s="83" t="s">
        <v>894</v>
      </c>
      <c r="F125" s="36"/>
      <c r="G125"/>
      <c r="H125"/>
      <c r="I125" s="2"/>
    </row>
    <row r="126" spans="2:9">
      <c r="B126" s="16" t="s">
        <v>286</v>
      </c>
      <c r="C126" s="5" t="s">
        <v>888</v>
      </c>
      <c r="D126" s="14" t="s">
        <v>882</v>
      </c>
      <c r="E126" s="83" t="s">
        <v>894</v>
      </c>
      <c r="F126" s="36"/>
      <c r="G126"/>
      <c r="H126"/>
      <c r="I126" s="2"/>
    </row>
    <row r="127" spans="2:9">
      <c r="B127" s="16" t="s">
        <v>286</v>
      </c>
      <c r="C127" s="5" t="s">
        <v>889</v>
      </c>
      <c r="D127" s="14" t="s">
        <v>883</v>
      </c>
      <c r="E127" s="83" t="s">
        <v>895</v>
      </c>
      <c r="F127" s="36"/>
      <c r="G127"/>
      <c r="H127"/>
      <c r="I127" s="2"/>
    </row>
    <row r="128" spans="2:9">
      <c r="B128" s="16" t="s">
        <v>286</v>
      </c>
      <c r="C128" s="5" t="s">
        <v>890</v>
      </c>
      <c r="D128" s="14" t="s">
        <v>884</v>
      </c>
      <c r="E128" s="83" t="s">
        <v>896</v>
      </c>
      <c r="F128" s="36"/>
      <c r="G128"/>
      <c r="H128"/>
      <c r="I128" s="2"/>
    </row>
    <row r="129" spans="2:9">
      <c r="B129" s="16" t="s">
        <v>286</v>
      </c>
      <c r="C129" s="5" t="s">
        <v>891</v>
      </c>
      <c r="D129" s="14" t="s">
        <v>885</v>
      </c>
      <c r="E129" s="83" t="s">
        <v>897</v>
      </c>
      <c r="F129" s="36"/>
      <c r="G129"/>
      <c r="H129"/>
      <c r="I129" s="2"/>
    </row>
    <row r="130" spans="2:9">
      <c r="B130" s="16" t="s">
        <v>286</v>
      </c>
      <c r="C130" s="5" t="s">
        <v>892</v>
      </c>
      <c r="D130" s="14" t="s">
        <v>886</v>
      </c>
      <c r="E130" s="83" t="s">
        <v>895</v>
      </c>
      <c r="F130" s="36"/>
      <c r="G130"/>
      <c r="H130"/>
      <c r="I130" s="2"/>
    </row>
    <row r="131" spans="2:9">
      <c r="B131" s="16" t="s">
        <v>1357</v>
      </c>
      <c r="C131" s="5" t="s">
        <v>893</v>
      </c>
      <c r="D131" s="415" t="s">
        <v>1358</v>
      </c>
      <c r="E131" s="83" t="s">
        <v>1359</v>
      </c>
      <c r="F131" s="36"/>
      <c r="G131"/>
      <c r="H131"/>
      <c r="I131" s="2"/>
    </row>
    <row r="132" spans="2:9">
      <c r="B132" s="16" t="s">
        <v>1357</v>
      </c>
      <c r="C132" s="5" t="s">
        <v>1360</v>
      </c>
      <c r="D132" s="415" t="s">
        <v>1361</v>
      </c>
      <c r="E132" s="83" t="s">
        <v>1362</v>
      </c>
      <c r="F132" s="36"/>
      <c r="G132"/>
      <c r="H132"/>
      <c r="I132" s="2"/>
    </row>
    <row r="133" spans="2:9">
      <c r="B133" s="16" t="s">
        <v>1357</v>
      </c>
      <c r="C133" s="5" t="s">
        <v>1363</v>
      </c>
      <c r="D133" s="415" t="s">
        <v>1364</v>
      </c>
      <c r="E133" s="83" t="s">
        <v>1365</v>
      </c>
      <c r="F133" s="36"/>
      <c r="G133"/>
      <c r="H133"/>
      <c r="I133" s="2"/>
    </row>
    <row r="134" spans="2:9">
      <c r="B134" s="89" t="str">
        <f>IF(Main_Parameters!$C$37&lt;&gt;27,"WR8","REMnd")</f>
        <v>REMnd</v>
      </c>
      <c r="C134" s="5" t="s">
        <v>1366</v>
      </c>
      <c r="D134" s="415" t="s">
        <v>1367</v>
      </c>
      <c r="E134" s="83" t="s">
        <v>1368</v>
      </c>
      <c r="F134" s="36"/>
      <c r="G134"/>
      <c r="H134"/>
      <c r="I134" s="2"/>
    </row>
    <row r="135" spans="2:9">
      <c r="B135" s="89" t="str">
        <f>IF(Main_Parameters!$C$37&lt;&gt;27,"WR8","REMnd")</f>
        <v>REMnd</v>
      </c>
      <c r="C135" s="5" t="s">
        <v>1369</v>
      </c>
      <c r="D135" s="415" t="s">
        <v>1370</v>
      </c>
      <c r="E135" s="83" t="s">
        <v>1371</v>
      </c>
      <c r="F135" s="36"/>
      <c r="G135"/>
      <c r="H135"/>
      <c r="I135" s="2"/>
    </row>
    <row r="136" spans="2:9">
      <c r="B136" s="89" t="str">
        <f>IF(Main_Parameters!$C$37&lt;&gt;27,"WR8","REMnd")</f>
        <v>REMnd</v>
      </c>
      <c r="C136" s="5" t="s">
        <v>1372</v>
      </c>
      <c r="D136" s="415" t="s">
        <v>1373</v>
      </c>
      <c r="E136" s="83" t="s">
        <v>1368</v>
      </c>
      <c r="F136" s="36"/>
      <c r="G136"/>
      <c r="H136"/>
      <c r="I136" s="2"/>
    </row>
    <row r="137" spans="2:9">
      <c r="B137" s="89" t="str">
        <f>IF(Main_Parameters!$C$37&lt;&gt;27,"WR8","REMnd")</f>
        <v>REMnd</v>
      </c>
      <c r="C137" s="5" t="s">
        <v>1374</v>
      </c>
      <c r="D137" s="415" t="s">
        <v>1375</v>
      </c>
      <c r="E137" s="83" t="s">
        <v>1376</v>
      </c>
      <c r="F137" s="36"/>
      <c r="G137"/>
      <c r="H137"/>
      <c r="I137" s="2"/>
    </row>
    <row r="138" spans="2:9">
      <c r="B138" s="89" t="str">
        <f>IF(Main_Parameters!$C$37&lt;&gt;27,"WR8","REMnd")</f>
        <v>REMnd</v>
      </c>
      <c r="C138" s="5" t="s">
        <v>1377</v>
      </c>
      <c r="D138" s="415" t="s">
        <v>1378</v>
      </c>
      <c r="E138" s="83" t="s">
        <v>1379</v>
      </c>
      <c r="F138" s="36"/>
      <c r="G138"/>
      <c r="H138"/>
      <c r="I138" s="2"/>
    </row>
    <row r="139" spans="2:9">
      <c r="B139" s="89" t="str">
        <f>IF(Main_Parameters!$C$37&lt;&gt;27,"WR8","REMnd")</f>
        <v>REMnd</v>
      </c>
      <c r="C139" s="5" t="s">
        <v>1380</v>
      </c>
      <c r="D139" s="415" t="s">
        <v>1381</v>
      </c>
      <c r="E139" s="83" t="s">
        <v>1382</v>
      </c>
      <c r="F139" s="36"/>
      <c r="G139"/>
      <c r="H139"/>
      <c r="I139" s="2"/>
    </row>
    <row r="140" spans="2:9">
      <c r="B140" s="89" t="str">
        <f>IF(Main_Parameters!$C$37&lt;&gt;27,"WR8","REMnd")</f>
        <v>REMnd</v>
      </c>
      <c r="C140" s="5" t="s">
        <v>1383</v>
      </c>
      <c r="D140" s="415" t="s">
        <v>1384</v>
      </c>
      <c r="E140" s="83" t="s">
        <v>1385</v>
      </c>
      <c r="F140" s="36"/>
      <c r="G140"/>
      <c r="H140"/>
      <c r="I140" s="2"/>
    </row>
    <row r="141" spans="2:9">
      <c r="B141" s="89" t="str">
        <f>IF(Main_Parameters!$C$37&lt;&gt;27,"WR8","REMnd")</f>
        <v>REMnd</v>
      </c>
      <c r="C141" s="5" t="s">
        <v>1386</v>
      </c>
      <c r="D141" s="415" t="s">
        <v>1387</v>
      </c>
      <c r="E141" s="83" t="s">
        <v>1371</v>
      </c>
      <c r="F141" s="36"/>
      <c r="G141"/>
      <c r="H141"/>
      <c r="I141" s="2"/>
    </row>
    <row r="142" spans="2:9">
      <c r="B142" s="89" t="str">
        <f>IF(Main_Parameters!$C$37&lt;&gt;27,"WR8","REMnd")</f>
        <v>REMnd</v>
      </c>
      <c r="C142" s="5" t="s">
        <v>1388</v>
      </c>
      <c r="D142" s="415" t="s">
        <v>1389</v>
      </c>
      <c r="E142" s="83" t="s">
        <v>1385</v>
      </c>
      <c r="F142" s="36"/>
      <c r="G142"/>
      <c r="H142"/>
      <c r="I142" s="2"/>
    </row>
    <row r="143" spans="2:9">
      <c r="B143" s="89" t="str">
        <f>IF(Main_Parameters!$C$37&lt;&gt;27,"WR8","REMnd")</f>
        <v>REMnd</v>
      </c>
      <c r="C143" s="5" t="s">
        <v>1390</v>
      </c>
      <c r="D143" s="415" t="s">
        <v>1391</v>
      </c>
      <c r="E143" s="83" t="s">
        <v>1376</v>
      </c>
      <c r="F143" s="36"/>
      <c r="G143"/>
      <c r="H143"/>
      <c r="I143" s="2"/>
    </row>
    <row r="144" spans="2:9">
      <c r="B144" s="89" t="str">
        <f>IF(Main_Parameters!$C$37&lt;&gt;27,"WR8","REMnd")</f>
        <v>REMnd</v>
      </c>
      <c r="C144" s="5" t="s">
        <v>1392</v>
      </c>
      <c r="D144" s="415" t="s">
        <v>1393</v>
      </c>
      <c r="E144" s="83" t="s">
        <v>1394</v>
      </c>
      <c r="F144" s="36"/>
      <c r="G144"/>
      <c r="H144"/>
      <c r="I144" s="2"/>
    </row>
    <row r="145" spans="2:9">
      <c r="B145" s="89" t="str">
        <f>IF(Main_Parameters!$C$37&lt;&gt;27,"WR8","REMnd")</f>
        <v>REMnd</v>
      </c>
      <c r="C145" s="5" t="s">
        <v>1395</v>
      </c>
      <c r="D145" s="415" t="s">
        <v>1396</v>
      </c>
      <c r="E145" s="83" t="s">
        <v>1382</v>
      </c>
      <c r="F145" s="36"/>
      <c r="G145"/>
      <c r="H145"/>
      <c r="I145" s="2"/>
    </row>
    <row r="146" spans="2:9">
      <c r="B146" s="89" t="str">
        <f>IF(Main_Parameters!$C$37&lt;&gt;27,"WR8","REMnd")</f>
        <v>REMnd</v>
      </c>
      <c r="C146" s="5" t="s">
        <v>1397</v>
      </c>
      <c r="D146" s="415" t="s">
        <v>1398</v>
      </c>
      <c r="E146" s="83" t="s">
        <v>1365</v>
      </c>
      <c r="F146" s="36"/>
      <c r="G146"/>
      <c r="H146"/>
      <c r="I146" s="2"/>
    </row>
    <row r="147" spans="2:9">
      <c r="B147" s="89" t="str">
        <f>IF(Main_Parameters!$C$37&lt;&gt;27,"WR8","REMnd")</f>
        <v>REMnd</v>
      </c>
      <c r="C147" s="5" t="s">
        <v>1399</v>
      </c>
      <c r="D147" s="415" t="s">
        <v>1400</v>
      </c>
      <c r="E147" s="83" t="s">
        <v>1371</v>
      </c>
      <c r="F147" s="36"/>
      <c r="G147"/>
      <c r="H147"/>
      <c r="I147" s="2"/>
    </row>
    <row r="148" spans="2:9">
      <c r="B148" s="89" t="str">
        <f>IF(Main_Parameters!$C$37&lt;&gt;27,"WR8","REMnd")</f>
        <v>REMnd</v>
      </c>
      <c r="C148" s="5" t="s">
        <v>1401</v>
      </c>
      <c r="D148" s="415" t="s">
        <v>1402</v>
      </c>
      <c r="E148" s="83" t="s">
        <v>1403</v>
      </c>
      <c r="F148" s="36"/>
      <c r="G148"/>
      <c r="H148"/>
      <c r="I148" s="2"/>
    </row>
    <row r="149" spans="2:9">
      <c r="B149" s="89" t="str">
        <f>IF(Main_Parameters!$C$37&lt;&gt;27,"WR8","REMnd")</f>
        <v>REMnd</v>
      </c>
      <c r="C149" s="5" t="s">
        <v>1404</v>
      </c>
      <c r="D149" s="415" t="s">
        <v>1405</v>
      </c>
      <c r="E149" s="83" t="s">
        <v>1406</v>
      </c>
      <c r="F149" s="36"/>
      <c r="G149"/>
      <c r="H149"/>
      <c r="I149" s="2"/>
    </row>
    <row r="150" spans="2:9">
      <c r="B150" s="89" t="str">
        <f>IF(Main_Parameters!$C$37&lt;&gt;27,"WR8","REMnd")</f>
        <v>REMnd</v>
      </c>
      <c r="C150" s="5" t="s">
        <v>1407</v>
      </c>
      <c r="D150" s="415" t="s">
        <v>1408</v>
      </c>
      <c r="E150" s="83" t="s">
        <v>1409</v>
      </c>
      <c r="F150" s="36"/>
      <c r="G150"/>
      <c r="H150"/>
      <c r="I150" s="2"/>
    </row>
    <row r="151" spans="2:9">
      <c r="B151" s="89" t="str">
        <f>IF(Main_Parameters!$C$37&lt;&gt;27,"WR8","REMnd")</f>
        <v>REMnd</v>
      </c>
      <c r="C151" s="5" t="s">
        <v>1397</v>
      </c>
      <c r="D151" s="415" t="s">
        <v>1398</v>
      </c>
      <c r="E151" s="83" t="s">
        <v>1410</v>
      </c>
      <c r="F151" s="36"/>
      <c r="G151"/>
      <c r="H151"/>
      <c r="I151" s="2"/>
    </row>
    <row r="152" spans="2:9">
      <c r="B152" s="89" t="str">
        <f>IF(Main_Parameters!$C$37&lt;&gt;27,"WR8","REMnd")</f>
        <v>REMnd</v>
      </c>
      <c r="C152" s="5" t="s">
        <v>1399</v>
      </c>
      <c r="D152" s="415" t="s">
        <v>1400</v>
      </c>
      <c r="E152" s="83" t="s">
        <v>1376</v>
      </c>
      <c r="F152" s="36"/>
      <c r="G152"/>
      <c r="H152"/>
      <c r="I152" s="2"/>
    </row>
    <row r="153" spans="2:9">
      <c r="B153" s="89" t="str">
        <f>IF(Main_Parameters!$C$37&lt;&gt;27,"WR8","REMnd")</f>
        <v>REMnd</v>
      </c>
      <c r="C153" s="5" t="s">
        <v>1401</v>
      </c>
      <c r="D153" s="415" t="s">
        <v>1402</v>
      </c>
      <c r="E153" s="83" t="s">
        <v>1411</v>
      </c>
      <c r="F153" s="36"/>
      <c r="G153"/>
      <c r="H153"/>
      <c r="I153" s="2"/>
    </row>
    <row r="154" spans="2:9">
      <c r="B154" s="89" t="str">
        <f>IF(Main_Parameters!$C$37&lt;&gt;27,"WR8","REMnd")</f>
        <v>REMnd</v>
      </c>
      <c r="C154" s="5" t="s">
        <v>1404</v>
      </c>
      <c r="D154" s="415" t="s">
        <v>1405</v>
      </c>
      <c r="E154" s="83" t="s">
        <v>1412</v>
      </c>
      <c r="F154" s="36"/>
      <c r="G154"/>
      <c r="H154"/>
      <c r="I154" s="2"/>
    </row>
    <row r="155" spans="2:9">
      <c r="B155" s="89" t="str">
        <f>IF(Main_Parameters!$C$37&lt;&gt;27,"WR8","REMnd")</f>
        <v>REMnd</v>
      </c>
      <c r="C155" s="5" t="s">
        <v>1407</v>
      </c>
      <c r="D155" s="415" t="s">
        <v>1408</v>
      </c>
      <c r="E155" s="83" t="s">
        <v>1409</v>
      </c>
      <c r="F155" s="36"/>
      <c r="G155"/>
      <c r="H155"/>
      <c r="I155" s="2"/>
    </row>
    <row r="156" spans="2:9">
      <c r="B156" s="89" t="str">
        <f>IF(Main_Parameters!$C$37&lt;&gt;27,"WR8","REMnd")</f>
        <v>REMnd</v>
      </c>
      <c r="C156" s="5" t="s">
        <v>1397</v>
      </c>
      <c r="D156" s="415" t="s">
        <v>1398</v>
      </c>
      <c r="E156" s="83" t="s">
        <v>1376</v>
      </c>
      <c r="F156" s="36"/>
      <c r="G156"/>
      <c r="H156"/>
      <c r="I156" s="2"/>
    </row>
    <row r="157" spans="2:9">
      <c r="B157" s="89" t="str">
        <f>IF(Main_Parameters!$C$37&lt;&gt;27,"WR8","REMnd")</f>
        <v>REMnd</v>
      </c>
      <c r="C157" s="5" t="s">
        <v>1399</v>
      </c>
      <c r="D157" s="415" t="s">
        <v>1400</v>
      </c>
      <c r="E157" s="83" t="s">
        <v>1382</v>
      </c>
      <c r="F157" s="36"/>
      <c r="G157"/>
      <c r="H157"/>
      <c r="I157" s="2"/>
    </row>
    <row r="158" spans="2:9">
      <c r="B158" s="89" t="str">
        <f>IF(Main_Parameters!$C$37&lt;&gt;27,"WR8","REMnd")</f>
        <v>REMnd</v>
      </c>
      <c r="C158" s="5" t="s">
        <v>1401</v>
      </c>
      <c r="D158" s="415" t="s">
        <v>1402</v>
      </c>
      <c r="E158" s="83" t="s">
        <v>1413</v>
      </c>
      <c r="F158" s="36"/>
      <c r="G158"/>
      <c r="H158"/>
      <c r="I158" s="2"/>
    </row>
    <row r="159" spans="2:9">
      <c r="B159" s="89" t="str">
        <f>IF(Main_Parameters!$C$37&lt;&gt;27,"WR8","REMnd")</f>
        <v>REMnd</v>
      </c>
      <c r="C159" s="5" t="s">
        <v>1404</v>
      </c>
      <c r="D159" s="415" t="s">
        <v>1405</v>
      </c>
      <c r="E159" s="83" t="s">
        <v>1406</v>
      </c>
      <c r="F159" s="36"/>
      <c r="G159"/>
      <c r="H159"/>
      <c r="I159" s="2"/>
    </row>
    <row r="160" spans="2:9">
      <c r="B160" s="89" t="str">
        <f>IF(Main_Parameters!$C$37&lt;&gt;27,"WR8","REMnd")</f>
        <v>REMnd</v>
      </c>
      <c r="C160" s="5" t="s">
        <v>1407</v>
      </c>
      <c r="D160" s="415" t="s">
        <v>1408</v>
      </c>
      <c r="E160" s="83" t="s">
        <v>1409</v>
      </c>
      <c r="F160" s="36"/>
      <c r="G160"/>
      <c r="H160"/>
      <c r="I160" s="2"/>
    </row>
    <row r="161" spans="2:56">
      <c r="B161" s="16" t="s">
        <v>290</v>
      </c>
      <c r="C161" s="5" t="s">
        <v>308</v>
      </c>
      <c r="D161" s="14" t="s">
        <v>296</v>
      </c>
      <c r="E161" s="100" t="str">
        <f>DEC2HEX(Y161*2^31+Z161*2^30+AA161*2^29+AB161*2^28+AC161*2^27+AD161*2^26+AE161*2^25+AF161*2^24+AG161*2^23+AH161*2^22+AI161*2^21+AJ161*2^20+AK161*2^19+AL161*2^18+AM161*2^17+AN161*2^16+AO161*2^15+AP161*2^14+AQ161*2^13+AR161*2^12+AS161*2^11+AT161*2^10+AU161*2^9+AV161*2^8+AW161*2^7+AX161*2^6+AY161*2^5+AZ161*2^4+BA161*2^3+BB161*2^2+BC161*2^1+BD161*2^0,8)</f>
        <v>00000007</v>
      </c>
      <c r="F161" s="36" t="s">
        <v>455</v>
      </c>
      <c r="G161"/>
      <c r="H161" s="188" t="s">
        <v>354</v>
      </c>
      <c r="I161" s="193" t="s">
        <v>122</v>
      </c>
      <c r="J161" s="188" t="s">
        <v>355</v>
      </c>
      <c r="K161" s="193" t="s">
        <v>37</v>
      </c>
      <c r="L161" s="188" t="s">
        <v>356</v>
      </c>
      <c r="M161" s="193" t="s">
        <v>37</v>
      </c>
      <c r="N161" s="188" t="s">
        <v>357</v>
      </c>
      <c r="O161" s="194" t="s">
        <v>37</v>
      </c>
      <c r="P161" s="192"/>
      <c r="Q161" s="189"/>
      <c r="R161" s="264" t="s">
        <v>358</v>
      </c>
      <c r="S161" s="193" t="s">
        <v>361</v>
      </c>
      <c r="T161" s="206" t="s">
        <v>359</v>
      </c>
      <c r="U161" s="193" t="s">
        <v>361</v>
      </c>
      <c r="V161" s="205" t="s">
        <v>360</v>
      </c>
      <c r="W161" s="193" t="s">
        <v>361</v>
      </c>
      <c r="Y161" s="359">
        <v>0</v>
      </c>
      <c r="Z161" s="360">
        <v>0</v>
      </c>
      <c r="AA161" s="360">
        <v>0</v>
      </c>
      <c r="AB161" s="360">
        <v>0</v>
      </c>
      <c r="AC161" s="360">
        <v>0</v>
      </c>
      <c r="AD161" s="360">
        <v>0</v>
      </c>
      <c r="AE161" s="360">
        <v>0</v>
      </c>
      <c r="AF161" s="361">
        <v>0</v>
      </c>
      <c r="AG161" s="359">
        <v>0</v>
      </c>
      <c r="AH161" s="360">
        <v>0</v>
      </c>
      <c r="AI161" s="360">
        <v>0</v>
      </c>
      <c r="AJ161" s="360">
        <v>0</v>
      </c>
      <c r="AK161" s="360">
        <v>0</v>
      </c>
      <c r="AL161" s="360">
        <v>0</v>
      </c>
      <c r="AM161" s="360">
        <v>0</v>
      </c>
      <c r="AN161" s="361">
        <v>0</v>
      </c>
      <c r="AO161" s="359">
        <v>0</v>
      </c>
      <c r="AP161" s="360">
        <v>0</v>
      </c>
      <c r="AQ161" s="360">
        <v>0</v>
      </c>
      <c r="AR161" s="360">
        <v>0</v>
      </c>
      <c r="AS161" s="360">
        <v>0</v>
      </c>
      <c r="AT161" s="360">
        <v>0</v>
      </c>
      <c r="AU161" s="360">
        <v>0</v>
      </c>
      <c r="AV161" s="361">
        <v>0</v>
      </c>
      <c r="AW161" s="362">
        <f>IF(I161="eFuse",1,0)</f>
        <v>0</v>
      </c>
      <c r="AX161" s="363">
        <f>IF(K161="Enable",1,0)</f>
        <v>0</v>
      </c>
      <c r="AY161" s="363">
        <f>IF(M161="Enable",1,0)</f>
        <v>0</v>
      </c>
      <c r="AZ161" s="363">
        <f>IF(O161="Enable",1,0)</f>
        <v>0</v>
      </c>
      <c r="BA161" s="360">
        <v>0</v>
      </c>
      <c r="BB161" s="363">
        <f>IF(S161="Auto Boot",1,0)</f>
        <v>1</v>
      </c>
      <c r="BC161" s="363">
        <f>IF(U161="Auto Boot",1,0)</f>
        <v>1</v>
      </c>
      <c r="BD161" s="364">
        <f>IF(W161="Auto Boot",1,0)</f>
        <v>1</v>
      </c>
    </row>
    <row r="162" spans="2:56">
      <c r="B162" s="16" t="s">
        <v>425</v>
      </c>
      <c r="C162" s="5"/>
      <c r="D162" s="14">
        <v>1000</v>
      </c>
      <c r="E162" s="207"/>
      <c r="F162" s="36" t="s">
        <v>446</v>
      </c>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c r="B163" s="16" t="s">
        <v>298</v>
      </c>
      <c r="C163" s="5" t="s">
        <v>309</v>
      </c>
      <c r="D163" s="14" t="s">
        <v>297</v>
      </c>
      <c r="E163" s="294" t="str">
        <f>DEC2HEX(Y163*2^31+Z163*2^30+AA163*2^29+AB163*2^28+AC163*2^27+AD163*2^26+AE163*2^25+AF163*2^24+AG163*2^23+AH163*2^22+AI163*2^21+AJ163*2^20+AK163*2^19+AL163*2^18+AM163*2^17+AN163*2^16+AO163*2^15+AP163*2^14+AQ163*2^13+AR163*2^12+AS163*2^11+AT163*2^10+AU163*2^9+AV163*2^8+AW163*2^7+AX163*2^6+AY163*2^5+AZ163*2^4+BA163*2^3+BB163*2^2+BC163*2^1+BD163*2^0,8)</f>
        <v>00000007</v>
      </c>
      <c r="F163" s="36" t="s">
        <v>418</v>
      </c>
      <c r="G163"/>
      <c r="H163"/>
      <c r="I163"/>
      <c r="J163"/>
      <c r="K163"/>
      <c r="L163"/>
      <c r="M163"/>
      <c r="Y163" s="359">
        <v>0</v>
      </c>
      <c r="Z163" s="360">
        <v>0</v>
      </c>
      <c r="AA163" s="360">
        <v>0</v>
      </c>
      <c r="AB163" s="360">
        <v>0</v>
      </c>
      <c r="AC163" s="360">
        <v>0</v>
      </c>
      <c r="AD163" s="360">
        <v>0</v>
      </c>
      <c r="AE163" s="360">
        <v>0</v>
      </c>
      <c r="AF163" s="361">
        <v>0</v>
      </c>
      <c r="AG163" s="359">
        <v>0</v>
      </c>
      <c r="AH163" s="360">
        <v>0</v>
      </c>
      <c r="AI163" s="360">
        <v>0</v>
      </c>
      <c r="AJ163" s="360">
        <v>0</v>
      </c>
      <c r="AK163" s="360">
        <v>0</v>
      </c>
      <c r="AL163" s="360">
        <v>0</v>
      </c>
      <c r="AM163" s="360">
        <v>0</v>
      </c>
      <c r="AN163" s="361">
        <v>0</v>
      </c>
      <c r="AO163" s="359">
        <v>0</v>
      </c>
      <c r="AP163" s="360">
        <v>0</v>
      </c>
      <c r="AQ163" s="360">
        <v>0</v>
      </c>
      <c r="AR163" s="360">
        <v>0</v>
      </c>
      <c r="AS163" s="360">
        <v>0</v>
      </c>
      <c r="AT163" s="360">
        <v>0</v>
      </c>
      <c r="AU163" s="360">
        <v>0</v>
      </c>
      <c r="AV163" s="361">
        <v>0</v>
      </c>
      <c r="AW163" s="359">
        <v>0</v>
      </c>
      <c r="AX163" s="360">
        <v>0</v>
      </c>
      <c r="AY163" s="360">
        <v>0</v>
      </c>
      <c r="AZ163" s="360">
        <v>0</v>
      </c>
      <c r="BA163" s="360">
        <v>0</v>
      </c>
      <c r="BB163" s="365">
        <f>IF(AND(BD161=1,BC161=1),1,0)</f>
        <v>1</v>
      </c>
      <c r="BC163" s="365">
        <f>IF(BD161=1,1,0)</f>
        <v>1</v>
      </c>
      <c r="BD163" s="366">
        <f>IF(AND(BB161=1,BC161=1,BD161=1),1,0)</f>
        <v>1</v>
      </c>
    </row>
    <row r="164" spans="2:56">
      <c r="B164" s="234" t="s">
        <v>419</v>
      </c>
      <c r="C164" s="235" t="s">
        <v>931</v>
      </c>
      <c r="D164" s="236"/>
      <c r="E164" s="237"/>
      <c r="F164" s="235" t="s">
        <v>930</v>
      </c>
      <c r="G164"/>
      <c r="H164"/>
      <c r="I164" s="2"/>
    </row>
    <row r="165" spans="2:56">
      <c r="B165" s="80" t="str">
        <f>IF(Main_Parameters!$B$20="Original","REM","REMnd")</f>
        <v>REM</v>
      </c>
      <c r="C165" s="82" t="s">
        <v>835</v>
      </c>
      <c r="D165" s="80"/>
      <c r="E165" s="101"/>
      <c r="F165" s="92"/>
      <c r="G165"/>
      <c r="H165"/>
      <c r="I165" s="2"/>
    </row>
    <row r="166" spans="2:56">
      <c r="B166" s="89" t="str">
        <f>IF(AND(Main_Parameters!$B$20="Original",Main_Parameters!$C$41="TX0/1 Enable"),"WR32","REMnd")</f>
        <v>WR32</v>
      </c>
      <c r="C166" s="333" t="s">
        <v>827</v>
      </c>
      <c r="D166" s="334" t="s">
        <v>824</v>
      </c>
      <c r="E166" s="100" t="str">
        <f ca="1">Main_Parameters!$C$289</f>
        <v>0000021C</v>
      </c>
      <c r="F166" s="135"/>
      <c r="G166"/>
      <c r="H166"/>
      <c r="I166" s="2"/>
    </row>
    <row r="167" spans="2:56">
      <c r="B167" s="89" t="str">
        <f>IF(AND(Main_Parameters!$B$20="Original",Main_Parameters!$C$41="TX0/1 Enable"),"WR32","REMnd")</f>
        <v>WR32</v>
      </c>
      <c r="C167" s="333" t="s">
        <v>828</v>
      </c>
      <c r="D167" s="334" t="s">
        <v>825</v>
      </c>
      <c r="E167" s="100" t="str">
        <f ca="1">Main_Parameters!$C$291</f>
        <v>0000021C</v>
      </c>
      <c r="F167" s="135"/>
      <c r="G167"/>
      <c r="H167"/>
      <c r="I167" s="2"/>
    </row>
    <row r="168" spans="2:56">
      <c r="B168" s="89" t="str">
        <f>IF(Main_Parameters!$B$20="Original","WR32","REMnd")</f>
        <v>WR32</v>
      </c>
      <c r="C168" s="333" t="s">
        <v>829</v>
      </c>
      <c r="D168" s="334" t="s">
        <v>826</v>
      </c>
      <c r="E168" s="100" t="str">
        <f ca="1">Main_Parameters!$C$293</f>
        <v>00000438</v>
      </c>
      <c r="F168" s="135"/>
      <c r="G168"/>
      <c r="H168"/>
      <c r="I168" s="2"/>
    </row>
    <row r="169" spans="2:56">
      <c r="B169" s="89" t="str">
        <f>IF(Main_Parameters!I59=0,"REMnd","WR32")</f>
        <v>REMnd</v>
      </c>
      <c r="C169" s="333" t="s">
        <v>1517</v>
      </c>
      <c r="D169" s="334" t="s">
        <v>1519</v>
      </c>
      <c r="E169" s="100" t="str">
        <f>Main_Parameters!C295</f>
        <v>00000000</v>
      </c>
      <c r="F169" s="135"/>
      <c r="G169"/>
      <c r="H169"/>
      <c r="I169" s="2"/>
    </row>
    <row r="170" spans="2:56">
      <c r="B170" s="89" t="str">
        <f>IF(Main_Parameters!I60=0,"REMnd","WR32")</f>
        <v>REMnd</v>
      </c>
      <c r="C170" s="333" t="s">
        <v>1521</v>
      </c>
      <c r="D170" s="334" t="s">
        <v>1527</v>
      </c>
      <c r="E170" s="100" t="str">
        <f>Main_Parameters!C296</f>
        <v>00000000</v>
      </c>
      <c r="F170" s="135"/>
      <c r="G170"/>
      <c r="H170"/>
      <c r="I170" s="2"/>
    </row>
    <row r="171" spans="2:56">
      <c r="B171" s="89" t="str">
        <f>IF(Main_Parameters!J60=0,"REMnd","WR32")</f>
        <v>REMnd</v>
      </c>
      <c r="C171" s="333" t="s">
        <v>1523</v>
      </c>
      <c r="D171" s="334" t="s">
        <v>1525</v>
      </c>
      <c r="E171" s="100" t="str">
        <f>Main_Parameters!C297</f>
        <v>0000FF00</v>
      </c>
      <c r="F171" s="135"/>
      <c r="G171"/>
      <c r="H171"/>
      <c r="I171" s="2"/>
    </row>
    <row r="172" spans="2:56">
      <c r="B172" s="89" t="str">
        <f>IF(OR(Main_Parameters!$B$20="Original",Main_Parameters!J60&lt;&gt;0),"WR32","REMnd")</f>
        <v>WR32</v>
      </c>
      <c r="C172" s="333" t="s">
        <v>819</v>
      </c>
      <c r="D172" s="334" t="s">
        <v>820</v>
      </c>
      <c r="E172" s="100" t="str">
        <f ca="1">Main_Parameters!$C$300</f>
        <v>3E0B0654</v>
      </c>
      <c r="F172" s="135"/>
      <c r="G172"/>
      <c r="H172"/>
      <c r="I172" s="2"/>
    </row>
    <row r="173" spans="2:56">
      <c r="B173" s="89" t="str">
        <f>IF(AND(Main_Parameters!$B$20="Original",Main_Parameters!$C$41="TX0/1 Enable"),"WR32",IF(Main_Parameters!J60&lt;&gt;0,"WR32","REMnd"))</f>
        <v>WR32</v>
      </c>
      <c r="C173" s="333" t="s">
        <v>823</v>
      </c>
      <c r="D173" s="334" t="s">
        <v>822</v>
      </c>
      <c r="E173" s="100" t="str">
        <f ca="1">Main_Parameters!$C$302</f>
        <v>3E0B0654</v>
      </c>
      <c r="F173" s="135"/>
      <c r="G173"/>
      <c r="H173"/>
      <c r="I173" s="2"/>
    </row>
    <row r="174" spans="2:56">
      <c r="B174" s="80" t="s">
        <v>14</v>
      </c>
      <c r="C174" s="82" t="s">
        <v>417</v>
      </c>
      <c r="D174" s="80"/>
      <c r="E174" s="101"/>
      <c r="F174" s="92"/>
      <c r="G174"/>
      <c r="H174"/>
      <c r="I174"/>
      <c r="J174"/>
      <c r="K174"/>
      <c r="L174"/>
      <c r="M174"/>
      <c r="N174"/>
      <c r="O174"/>
      <c r="P174"/>
      <c r="Q174"/>
      <c r="R174"/>
      <c r="S174"/>
      <c r="T174"/>
      <c r="U174"/>
      <c r="V174"/>
      <c r="W174"/>
      <c r="X174" s="222"/>
    </row>
    <row r="175" spans="2:56">
      <c r="B175" s="16" t="s">
        <v>578</v>
      </c>
      <c r="C175" s="5" t="s">
        <v>579</v>
      </c>
      <c r="D175" s="14" t="s">
        <v>580</v>
      </c>
      <c r="E175" s="272" t="str">
        <f>DEC2HEX(Y175*2^31+Z175*2^30+AA175*2^29+AB175*2^28+AC175*2^27+AD175*2^26+AE175*2^25+AF175*2^24+AG175*2^23+AH175*2^22+AI175*2^21+AJ175*2^20+AK175*2^19+AL175*2^18+AM175*2^17+AN175*2^16+AO175*2^15+AP175*2^14+AQ175*2^13+AR175*2^12+AS175*2^11+AT175*2^10+AU175*2^9+AV175*2^8+AW175*2^7+AX175*2^6+AY175*2^5+AZ175*2^4+BA175*2^3+BB175*2^2+BC175*2^1+BD175*2^0,2)</f>
        <v>01</v>
      </c>
      <c r="F175" s="36" t="s">
        <v>581</v>
      </c>
      <c r="G175"/>
      <c r="H175" s="91" t="s">
        <v>582</v>
      </c>
      <c r="I175" s="193" t="s">
        <v>381</v>
      </c>
      <c r="J175" s="91" t="s">
        <v>583</v>
      </c>
      <c r="K175" s="193" t="s">
        <v>382</v>
      </c>
      <c r="Y175" s="359">
        <v>0</v>
      </c>
      <c r="Z175" s="360">
        <v>0</v>
      </c>
      <c r="AA175" s="360">
        <v>0</v>
      </c>
      <c r="AB175" s="360">
        <v>0</v>
      </c>
      <c r="AC175" s="360">
        <v>0</v>
      </c>
      <c r="AD175" s="360">
        <v>0</v>
      </c>
      <c r="AE175" s="360">
        <v>0</v>
      </c>
      <c r="AF175" s="361">
        <v>0</v>
      </c>
      <c r="AG175" s="359">
        <v>0</v>
      </c>
      <c r="AH175" s="360">
        <v>0</v>
      </c>
      <c r="AI175" s="360">
        <v>0</v>
      </c>
      <c r="AJ175" s="360">
        <v>0</v>
      </c>
      <c r="AK175" s="360">
        <v>0</v>
      </c>
      <c r="AL175" s="360">
        <v>0</v>
      </c>
      <c r="AM175" s="360">
        <v>0</v>
      </c>
      <c r="AN175" s="361">
        <v>0</v>
      </c>
      <c r="AO175" s="359">
        <v>0</v>
      </c>
      <c r="AP175" s="360">
        <v>0</v>
      </c>
      <c r="AQ175" s="360">
        <v>0</v>
      </c>
      <c r="AR175" s="360">
        <v>0</v>
      </c>
      <c r="AS175" s="360">
        <v>0</v>
      </c>
      <c r="AT175" s="360">
        <v>0</v>
      </c>
      <c r="AU175" s="360">
        <v>0</v>
      </c>
      <c r="AV175" s="361">
        <v>0</v>
      </c>
      <c r="AW175" s="359">
        <v>0</v>
      </c>
      <c r="AX175" s="360">
        <v>0</v>
      </c>
      <c r="AY175" s="360">
        <v>0</v>
      </c>
      <c r="AZ175" s="360">
        <v>0</v>
      </c>
      <c r="BA175" s="360">
        <v>0</v>
      </c>
      <c r="BB175" s="360">
        <v>0</v>
      </c>
      <c r="BC175" s="363">
        <f>IF(I175="Error",1,0)</f>
        <v>0</v>
      </c>
      <c r="BD175" s="364">
        <f>IF(K175="Ready",1,0)</f>
        <v>1</v>
      </c>
    </row>
    <row r="176" spans="2:56">
      <c r="B176" s="234" t="s">
        <v>584</v>
      </c>
      <c r="C176" s="235" t="s">
        <v>585</v>
      </c>
      <c r="D176" s="236"/>
      <c r="E176" s="237"/>
      <c r="F176" s="235" t="s">
        <v>586</v>
      </c>
      <c r="G176"/>
      <c r="H176"/>
      <c r="I176" s="2"/>
    </row>
    <row r="177" spans="2:28">
      <c r="B177" s="80" t="str">
        <f>IF(Main_Parameters!$C$37=26,"REM","REMnd")</f>
        <v>REMnd</v>
      </c>
      <c r="C177" s="82" t="s">
        <v>1248</v>
      </c>
      <c r="D177" s="80"/>
      <c r="E177" s="101"/>
      <c r="F177" s="92"/>
      <c r="G177"/>
      <c r="H177"/>
      <c r="I177" s="2"/>
    </row>
    <row r="178" spans="2:28">
      <c r="B178" s="89" t="str">
        <f>IF(Main_Parameters!$C$37=26,"WR32","REMnd")</f>
        <v>REMnd</v>
      </c>
      <c r="C178" s="333" t="s">
        <v>1247</v>
      </c>
      <c r="D178" s="388" t="str">
        <f>IF(Main_Parameters!$C$41="TX0/1 Enable","4020","2020")</f>
        <v>4020</v>
      </c>
      <c r="E178" s="83" t="s">
        <v>1249</v>
      </c>
      <c r="F178" s="135"/>
      <c r="G178"/>
      <c r="H178"/>
      <c r="I178" s="2"/>
    </row>
    <row r="179" spans="2:28">
      <c r="B179" s="89" t="str">
        <f>IF(Main_Parameters!$C$37=26,"WR32","REMnd")</f>
        <v>REMnd</v>
      </c>
      <c r="C179" s="333" t="s">
        <v>1250</v>
      </c>
      <c r="D179" s="388" t="str">
        <f>IF(Main_Parameters!$C$41="TX0/1 Enable","4170","2170")</f>
        <v>4170</v>
      </c>
      <c r="E179" s="83" t="s">
        <v>1251</v>
      </c>
      <c r="F179" s="135"/>
      <c r="G179"/>
      <c r="H179"/>
      <c r="I179" s="2"/>
    </row>
    <row r="180" spans="2:28">
      <c r="B180" s="89" t="str">
        <f>IF(Main_Parameters!$C$21=5.4,"REMnd","WR8")</f>
        <v>REMnd</v>
      </c>
      <c r="C180" s="5" t="s">
        <v>1635</v>
      </c>
      <c r="D180" s="14" t="s">
        <v>1634</v>
      </c>
      <c r="E180" s="93" t="str">
        <f>Main_Parameters!$C$142</f>
        <v>13</v>
      </c>
      <c r="F180" s="36"/>
      <c r="G180"/>
      <c r="H180"/>
      <c r="I180" s="2"/>
    </row>
    <row r="181" spans="2:28">
      <c r="B181" s="16" t="s">
        <v>286</v>
      </c>
      <c r="C181" s="5" t="s">
        <v>313</v>
      </c>
      <c r="D181" s="14" t="s">
        <v>315</v>
      </c>
      <c r="E181" s="93" t="str">
        <f>Main_Parameters!$C$143</f>
        <v>14</v>
      </c>
      <c r="F181" s="36"/>
      <c r="G181"/>
      <c r="H181"/>
      <c r="I181" s="2"/>
    </row>
    <row r="182" spans="2:28">
      <c r="B182" s="16" t="s">
        <v>286</v>
      </c>
      <c r="C182" s="5" t="s">
        <v>314</v>
      </c>
      <c r="D182" s="14" t="s">
        <v>316</v>
      </c>
      <c r="E182" s="93" t="str">
        <f>Main_Parameters!$C$144</f>
        <v>02</v>
      </c>
      <c r="F182" s="36"/>
      <c r="G182"/>
      <c r="H182"/>
      <c r="I182" s="2"/>
    </row>
    <row r="183" spans="2:28">
      <c r="B183" s="16" t="s">
        <v>286</v>
      </c>
      <c r="C183" s="5" t="s">
        <v>804</v>
      </c>
      <c r="D183" s="14" t="s">
        <v>805</v>
      </c>
      <c r="E183" s="83" t="s">
        <v>806</v>
      </c>
      <c r="F183" s="36"/>
      <c r="G183"/>
      <c r="H183"/>
      <c r="I183" s="2"/>
    </row>
    <row r="184" spans="2:28">
      <c r="B184" s="16" t="s">
        <v>286</v>
      </c>
      <c r="C184" s="5" t="s">
        <v>570</v>
      </c>
      <c r="D184" s="14" t="s">
        <v>571</v>
      </c>
      <c r="E184" s="83" t="s">
        <v>572</v>
      </c>
      <c r="F184" s="36"/>
      <c r="G184"/>
      <c r="H184"/>
      <c r="I184" s="2"/>
    </row>
    <row r="185" spans="2:28">
      <c r="B185" s="16" t="s">
        <v>286</v>
      </c>
      <c r="C185" s="5" t="s">
        <v>803</v>
      </c>
      <c r="D185" s="14" t="s">
        <v>1639</v>
      </c>
      <c r="E185" s="83" t="s">
        <v>799</v>
      </c>
      <c r="F185" s="36" t="s">
        <v>802</v>
      </c>
      <c r="G185"/>
      <c r="H185"/>
      <c r="I185" s="2"/>
    </row>
    <row r="186" spans="2:28">
      <c r="B186" s="375" t="str">
        <f>IF(Main_Parameters!$C$29="DP","REM","REMnd")</f>
        <v>REM</v>
      </c>
      <c r="C186" s="376" t="s">
        <v>938</v>
      </c>
      <c r="D186" s="375"/>
      <c r="E186" s="375"/>
      <c r="F186" s="377"/>
      <c r="G186"/>
      <c r="H186"/>
      <c r="I186"/>
      <c r="J186"/>
      <c r="K186"/>
      <c r="L186"/>
      <c r="M186"/>
      <c r="N186"/>
      <c r="O186"/>
      <c r="P186"/>
      <c r="Q186"/>
      <c r="R186"/>
      <c r="S186"/>
      <c r="T186"/>
      <c r="U186"/>
      <c r="V186"/>
      <c r="W186"/>
      <c r="X186" s="222"/>
    </row>
    <row r="187" spans="2:28">
      <c r="B187" s="89" t="str">
        <f>IF(Main_Parameters!$C$29="DP","WR8","REMnd")</f>
        <v>WR8</v>
      </c>
      <c r="C187" s="5"/>
      <c r="D187" s="14" t="s">
        <v>939</v>
      </c>
      <c r="E187" s="83" t="s">
        <v>940</v>
      </c>
      <c r="F187" s="36"/>
      <c r="G187"/>
      <c r="H187"/>
      <c r="I187" s="2"/>
    </row>
    <row r="188" spans="2:28">
      <c r="B188" s="89" t="str">
        <f>IF(Main_Parameters!$C$29="DP","WR16","REMnd")</f>
        <v>WR16</v>
      </c>
      <c r="C188" s="5"/>
      <c r="D188" s="14" t="s">
        <v>941</v>
      </c>
      <c r="E188" s="83" t="s">
        <v>942</v>
      </c>
      <c r="F188" s="36"/>
      <c r="G188"/>
      <c r="H188"/>
      <c r="I188" s="2"/>
    </row>
    <row r="189" spans="2:28">
      <c r="B189" s="89" t="str">
        <f>IF(Main_Parameters!$C$29="DP","WR32","REMnd")</f>
        <v>WR32</v>
      </c>
      <c r="C189" s="5"/>
      <c r="D189" s="14" t="s">
        <v>943</v>
      </c>
      <c r="E189" s="93" t="str">
        <f>Main_Parameters!$C$270</f>
        <v>00000004</v>
      </c>
      <c r="F189" s="36"/>
      <c r="G189"/>
      <c r="H189"/>
      <c r="I189" s="2"/>
    </row>
    <row r="190" spans="2:28">
      <c r="B190" s="375" t="str">
        <f>IF(Main_Parameters!$C$29="DP","REM","REMnd")</f>
        <v>REM</v>
      </c>
      <c r="C190" s="376" t="s">
        <v>944</v>
      </c>
      <c r="D190" s="375"/>
      <c r="E190" s="375"/>
      <c r="F190" s="377"/>
      <c r="G190"/>
      <c r="H190"/>
      <c r="I190" s="2"/>
      <c r="Y190" s="545" t="s">
        <v>1427</v>
      </c>
      <c r="Z190" s="545"/>
      <c r="AA190" s="545" t="s">
        <v>1428</v>
      </c>
      <c r="AB190" s="545"/>
    </row>
    <row r="191" spans="2:28">
      <c r="B191" s="163" t="s">
        <v>1416</v>
      </c>
      <c r="C191" s="333" t="s">
        <v>949</v>
      </c>
      <c r="D191" s="89" t="str">
        <f>IF(OR(I191="GPIO0",I191="GPIO1"),"5010","5014")</f>
        <v>5010</v>
      </c>
      <c r="E191" s="100" t="str">
        <f>IF(OR(I191="GPIO0",I191="GPIO2"),AA191,Y191)</f>
        <v>016A0000</v>
      </c>
      <c r="F191" s="135"/>
      <c r="G191"/>
      <c r="H191" s="91" t="s">
        <v>945</v>
      </c>
      <c r="I191" s="193" t="s">
        <v>1451</v>
      </c>
      <c r="J191" s="89" t="str">
        <f>IF(Main_Parameters!$C$29="DP","VSYNC mon","Sleep In mon")</f>
        <v>VSYNC mon</v>
      </c>
      <c r="Y191" s="544" t="str">
        <f>IF(Main_Parameters!$C$29="DP","016A0000","009D0000")</f>
        <v>016A0000</v>
      </c>
      <c r="Z191" s="544"/>
      <c r="AA191" s="544" t="str">
        <f>IF(Main_Parameters!$C$29="DP","0000016A","0000009D")</f>
        <v>0000016A</v>
      </c>
      <c r="AB191" s="544"/>
    </row>
    <row r="192" spans="2:28" ht="15" customHeight="1">
      <c r="B192" s="163" t="s">
        <v>1417</v>
      </c>
      <c r="C192" s="333" t="s">
        <v>947</v>
      </c>
      <c r="D192" s="334" t="s">
        <v>946</v>
      </c>
      <c r="E192" s="100" t="str">
        <f>IF(I191="GPIO0","00000004",IF(I191="GPIO1","00000040",IF(I191="GPIO2","00000400","00004000")))</f>
        <v>00000040</v>
      </c>
      <c r="F192" s="386"/>
      <c r="G192"/>
      <c r="H192"/>
      <c r="I192" s="2"/>
    </row>
    <row r="193" spans="2:23" ht="14.25" customHeight="1">
      <c r="B193" s="163" t="s">
        <v>1417</v>
      </c>
      <c r="C193" s="333" t="s">
        <v>1014</v>
      </c>
      <c r="D193" s="334" t="s">
        <v>1013</v>
      </c>
      <c r="E193" s="100" t="str">
        <f>IF(I191="GPIO0","00000001",IF(I191="GPIO1","00000002",IF(I191="GPIO2","00000004","00000008")))</f>
        <v>00000002</v>
      </c>
      <c r="F193" s="386"/>
      <c r="G193"/>
      <c r="H193"/>
      <c r="I193" s="2"/>
    </row>
    <row r="194" spans="2:23">
      <c r="B194" s="375" t="str">
        <f>IF(Main_Parameters!$C$29="DP","REM","REMnd")</f>
        <v>REM</v>
      </c>
      <c r="C194" s="376" t="s">
        <v>952</v>
      </c>
      <c r="D194" s="375"/>
      <c r="E194" s="375"/>
      <c r="F194" s="377"/>
      <c r="G194"/>
      <c r="H194"/>
      <c r="I194" s="2"/>
    </row>
    <row r="195" spans="2:23">
      <c r="B195" s="89" t="str">
        <f>IF(Main_Parameters!$C$29="DP","WR32","REMnd")</f>
        <v>WR32</v>
      </c>
      <c r="C195" s="333" t="s">
        <v>953</v>
      </c>
      <c r="D195" s="334" t="s">
        <v>954</v>
      </c>
      <c r="E195" s="83" t="s">
        <v>955</v>
      </c>
      <c r="F195" s="135" t="s">
        <v>956</v>
      </c>
      <c r="G195"/>
      <c r="H195"/>
      <c r="I195" s="2"/>
    </row>
    <row r="196" spans="2:23" ht="24.75" customHeight="1">
      <c r="B196" s="423" t="str">
        <f>IF(Main_Parameters!$C$29="DP","REM","REMnd")</f>
        <v>REM</v>
      </c>
      <c r="C196" s="424" t="s">
        <v>1439</v>
      </c>
      <c r="D196" s="423"/>
      <c r="E196" s="423"/>
      <c r="F196" s="425"/>
      <c r="G196"/>
      <c r="H196"/>
      <c r="I196" s="2"/>
    </row>
    <row r="197" spans="2:23" ht="26.25" customHeight="1">
      <c r="B197" s="416" t="s">
        <v>14</v>
      </c>
      <c r="C197" s="419" t="s">
        <v>1436</v>
      </c>
      <c r="D197" s="420"/>
      <c r="E197" s="421"/>
      <c r="F197" s="422"/>
      <c r="G197"/>
      <c r="H197"/>
      <c r="I197"/>
      <c r="J197"/>
      <c r="K197"/>
      <c r="L197"/>
      <c r="M197"/>
      <c r="N197"/>
      <c r="O197"/>
      <c r="P197"/>
      <c r="Q197"/>
      <c r="R197"/>
      <c r="S197"/>
      <c r="T197"/>
      <c r="U197"/>
      <c r="V197"/>
      <c r="W197"/>
    </row>
    <row r="198" spans="2:23">
      <c r="B198" s="375" t="str">
        <f>IF(Main_Parameters!$C$29="DP","REM","REMnd")</f>
        <v>REM</v>
      </c>
      <c r="C198" s="376" t="s">
        <v>952</v>
      </c>
      <c r="D198" s="375"/>
      <c r="E198" s="375"/>
      <c r="F198" s="377"/>
      <c r="G198"/>
      <c r="H198"/>
      <c r="I198"/>
      <c r="J198"/>
      <c r="K198"/>
      <c r="L198"/>
      <c r="M198"/>
      <c r="N198"/>
      <c r="O198"/>
      <c r="P198"/>
      <c r="Q198"/>
      <c r="R198"/>
      <c r="S198"/>
      <c r="T198"/>
      <c r="U198"/>
      <c r="V198"/>
      <c r="W198"/>
    </row>
    <row r="199" spans="2:23" ht="15">
      <c r="B199" s="354" t="str">
        <f>IF(Main_Parameters!$C$29="DP","REM","REMnd")</f>
        <v>REM</v>
      </c>
      <c r="C199" s="379" t="s">
        <v>957</v>
      </c>
      <c r="D199" s="378"/>
      <c r="E199" s="378"/>
      <c r="F199" s="380" t="s">
        <v>958</v>
      </c>
      <c r="G199"/>
      <c r="H199"/>
      <c r="I199"/>
      <c r="J199"/>
      <c r="K199"/>
      <c r="L199"/>
      <c r="M199"/>
      <c r="N199"/>
      <c r="O199"/>
      <c r="P199"/>
      <c r="Q199"/>
      <c r="R199"/>
      <c r="S199"/>
      <c r="T199"/>
      <c r="U199"/>
      <c r="V199"/>
      <c r="W199"/>
    </row>
    <row r="200" spans="2:23">
      <c r="B200" s="89" t="str">
        <f>IF(Main_Parameters!$C$29="DP","WR32","REMnd")</f>
        <v>WR32</v>
      </c>
      <c r="C200" s="333" t="s">
        <v>953</v>
      </c>
      <c r="D200" s="334" t="s">
        <v>954</v>
      </c>
      <c r="E200" s="83" t="s">
        <v>962</v>
      </c>
      <c r="F200" s="135" t="s">
        <v>959</v>
      </c>
      <c r="G200"/>
      <c r="H200"/>
      <c r="I200"/>
      <c r="J200"/>
      <c r="K200"/>
      <c r="L200"/>
      <c r="M200"/>
      <c r="N200"/>
      <c r="O200"/>
      <c r="P200"/>
      <c r="Q200"/>
      <c r="R200"/>
      <c r="S200"/>
      <c r="T200"/>
      <c r="U200"/>
      <c r="V200"/>
      <c r="W200"/>
    </row>
    <row r="201" spans="2:23">
      <c r="B201" s="381" t="s">
        <v>960</v>
      </c>
      <c r="C201" s="382" t="s">
        <v>961</v>
      </c>
      <c r="D201" s="383"/>
      <c r="E201" s="384"/>
      <c r="F201" s="385"/>
      <c r="G201"/>
      <c r="H201"/>
      <c r="I201"/>
      <c r="J201"/>
      <c r="K201"/>
      <c r="L201"/>
      <c r="M201"/>
      <c r="N201"/>
      <c r="O201"/>
      <c r="P201"/>
      <c r="Q201"/>
      <c r="R201"/>
      <c r="S201"/>
      <c r="T201"/>
      <c r="U201"/>
      <c r="V201"/>
      <c r="W201"/>
    </row>
    <row r="202" spans="2:23">
      <c r="B202" s="381" t="s">
        <v>960</v>
      </c>
      <c r="C202" s="382" t="s">
        <v>963</v>
      </c>
      <c r="D202" s="383"/>
      <c r="E202" s="384"/>
      <c r="F202" s="385"/>
      <c r="G202"/>
      <c r="H202"/>
      <c r="I202"/>
      <c r="J202"/>
      <c r="K202"/>
      <c r="L202"/>
      <c r="M202"/>
      <c r="N202"/>
      <c r="O202"/>
      <c r="P202"/>
      <c r="Q202"/>
      <c r="R202"/>
      <c r="S202"/>
      <c r="T202"/>
      <c r="U202"/>
      <c r="V202"/>
      <c r="W202"/>
    </row>
    <row r="203" spans="2:23">
      <c r="B203" s="16" t="s">
        <v>578</v>
      </c>
      <c r="C203" s="5" t="s">
        <v>598</v>
      </c>
      <c r="D203" s="14" t="s">
        <v>317</v>
      </c>
      <c r="E203" s="283" t="str">
        <f>IF(Main_Parameters!$C$22=1,"07","77")</f>
        <v>77</v>
      </c>
      <c r="F203" s="36" t="s">
        <v>595</v>
      </c>
      <c r="G203"/>
      <c r="H203"/>
      <c r="I203" s="2"/>
    </row>
    <row r="204" spans="2:23">
      <c r="B204" s="234" t="s">
        <v>1461</v>
      </c>
      <c r="C204" s="235" t="s">
        <v>447</v>
      </c>
      <c r="D204" s="236"/>
      <c r="E204" s="237"/>
      <c r="F204" s="235" t="s">
        <v>597</v>
      </c>
      <c r="G204"/>
      <c r="H204"/>
      <c r="I204" s="2"/>
    </row>
    <row r="205" spans="2:23">
      <c r="B205" s="89" t="str">
        <f>IF(Main_Parameters!$C$22=4,"RD8","REMnd")</f>
        <v>REMnd</v>
      </c>
      <c r="C205" s="5" t="s">
        <v>599</v>
      </c>
      <c r="D205" s="14" t="s">
        <v>593</v>
      </c>
      <c r="E205" s="283" t="str">
        <f>IF(Main_Parameters!$C$22=4,"77","00")</f>
        <v>00</v>
      </c>
      <c r="F205" s="36" t="s">
        <v>596</v>
      </c>
      <c r="G205"/>
      <c r="H205"/>
      <c r="I205" s="2"/>
    </row>
    <row r="206" spans="2:23">
      <c r="B206" s="234" t="s">
        <v>1461</v>
      </c>
      <c r="C206" s="235" t="s">
        <v>594</v>
      </c>
      <c r="D206" s="236"/>
      <c r="E206" s="237"/>
      <c r="F206" s="235" t="s">
        <v>597</v>
      </c>
      <c r="G206"/>
      <c r="H206"/>
      <c r="I206" s="2"/>
    </row>
    <row r="207" spans="2:23">
      <c r="B207" s="16" t="s">
        <v>578</v>
      </c>
      <c r="C207" s="5" t="s">
        <v>600</v>
      </c>
      <c r="D207" s="14" t="s">
        <v>318</v>
      </c>
      <c r="E207" s="283" t="s">
        <v>626</v>
      </c>
      <c r="F207" s="36" t="s">
        <v>601</v>
      </c>
      <c r="G207"/>
      <c r="H207"/>
      <c r="I207" s="2"/>
    </row>
    <row r="208" spans="2:23">
      <c r="B208" s="234" t="s">
        <v>1461</v>
      </c>
      <c r="C208" s="235" t="s">
        <v>448</v>
      </c>
      <c r="D208" s="14" t="s">
        <v>1460</v>
      </c>
      <c r="E208" s="83" t="s">
        <v>1460</v>
      </c>
      <c r="F208" s="235" t="s">
        <v>597</v>
      </c>
      <c r="G208"/>
      <c r="H208"/>
      <c r="I208" s="2"/>
    </row>
    <row r="209" spans="2:56">
      <c r="B209" s="80" t="str">
        <f ca="1">IF(Main_Parameters!$BA$40="Preset","REMnd","REM")</f>
        <v>REM</v>
      </c>
      <c r="C209" s="82" t="s">
        <v>855</v>
      </c>
      <c r="D209" s="80"/>
      <c r="E209" s="101"/>
      <c r="F209" s="92"/>
      <c r="G209"/>
      <c r="H209"/>
      <c r="I209" s="2"/>
    </row>
    <row r="210" spans="2:56">
      <c r="B210" s="89" t="str">
        <f ca="1">IF(Main_Parameters!$BA$40="Preset","REMnd","WR32")</f>
        <v>WR32</v>
      </c>
      <c r="C210" s="333" t="s">
        <v>811</v>
      </c>
      <c r="D210" s="388" t="str">
        <f>IF(Main_Parameters!$C$41="TX0/1 Enable","4154","2154")</f>
        <v>4154</v>
      </c>
      <c r="E210" s="100" t="str">
        <f ca="1">Main_Parameters!$C$305</f>
        <v>00000006</v>
      </c>
      <c r="F210" s="135"/>
      <c r="G210"/>
      <c r="H210"/>
      <c r="I210" s="2"/>
    </row>
    <row r="211" spans="2:56">
      <c r="B211" s="163" t="s">
        <v>290</v>
      </c>
      <c r="C211" s="333" t="s">
        <v>812</v>
      </c>
      <c r="D211" s="388" t="str">
        <f>IF(Main_Parameters!$C$41="TX0/1 Enable","4158","2158")</f>
        <v>4158</v>
      </c>
      <c r="E211" s="100" t="str">
        <f ca="1">Main_Parameters!$C$307</f>
        <v>00140003</v>
      </c>
      <c r="F211" s="135"/>
      <c r="G211"/>
      <c r="H211"/>
      <c r="I211" s="2"/>
    </row>
    <row r="212" spans="2:56">
      <c r="B212" s="89" t="str">
        <f ca="1">IF(Main_Parameters!$BA$40="Preset","REMnd","WR32")</f>
        <v>WR32</v>
      </c>
      <c r="C212" s="333" t="s">
        <v>813</v>
      </c>
      <c r="D212" s="388" t="str">
        <f>IF(Main_Parameters!$C$41="TX0/1 Enable","415C","215C")</f>
        <v>415C</v>
      </c>
      <c r="E212" s="100" t="str">
        <f ca="1">Main_Parameters!$C$309</f>
        <v>00060002</v>
      </c>
      <c r="F212" s="135"/>
      <c r="G212"/>
      <c r="H212"/>
      <c r="I212" s="2"/>
    </row>
    <row r="213" spans="2:56">
      <c r="B213" s="163" t="s">
        <v>1540</v>
      </c>
      <c r="C213" s="333" t="s">
        <v>814</v>
      </c>
      <c r="D213" s="388" t="str">
        <f>IF(Main_Parameters!$C$41="TX0/1 Enable","4160","2160")</f>
        <v>4160</v>
      </c>
      <c r="E213" s="100" t="str">
        <f ca="1">Main_Parameters!$C$311</f>
        <v>000A0003</v>
      </c>
      <c r="F213" s="135"/>
      <c r="G213"/>
      <c r="H213"/>
      <c r="I213" s="2"/>
    </row>
    <row r="214" spans="2:56">
      <c r="B214" s="163" t="s">
        <v>1304</v>
      </c>
      <c r="C214" s="333" t="s">
        <v>815</v>
      </c>
      <c r="D214" s="388" t="str">
        <f>IF(Main_Parameters!$C$41="TX0/1 Enable","4164","2164")</f>
        <v>4164</v>
      </c>
      <c r="E214" s="100" t="str">
        <f ca="1">Main_Parameters!$C$313</f>
        <v>00002710</v>
      </c>
      <c r="F214" s="135"/>
      <c r="G214"/>
      <c r="H214"/>
      <c r="I214" s="2"/>
    </row>
    <row r="215" spans="2:56">
      <c r="B215" s="163" t="s">
        <v>1304</v>
      </c>
      <c r="C215" s="333" t="s">
        <v>816</v>
      </c>
      <c r="D215" s="388" t="str">
        <f>IF(Main_Parameters!$C$41="TX0/1 Enable","4168","2168")</f>
        <v>4168</v>
      </c>
      <c r="E215" s="100" t="str">
        <f ca="1">Main_Parameters!$C$315</f>
        <v>0000000A</v>
      </c>
      <c r="F215" s="135"/>
      <c r="G215"/>
      <c r="H215"/>
      <c r="I215" s="2"/>
    </row>
    <row r="216" spans="2:56">
      <c r="B216" s="89" t="str">
        <f ca="1">IF(Main_Parameters!$BA$40="Preset","REMnd","WR32")</f>
        <v>WR32</v>
      </c>
      <c r="C216" s="333" t="s">
        <v>817</v>
      </c>
      <c r="D216" s="388" t="str">
        <f>IF(Main_Parameters!$C$41="TX0/1 Enable","416C","216C")</f>
        <v>416C</v>
      </c>
      <c r="E216" s="100" t="str">
        <f ca="1">Main_Parameters!$C$317</f>
        <v>00070005</v>
      </c>
      <c r="F216" s="135"/>
      <c r="G216"/>
      <c r="H216"/>
      <c r="I216" s="2"/>
    </row>
    <row r="217" spans="2:56">
      <c r="B217" s="89" t="str">
        <f ca="1">IF(Main_Parameters!$BA$40="Preset","REMnd","WR32")</f>
        <v>WR32</v>
      </c>
      <c r="C217" s="333" t="s">
        <v>818</v>
      </c>
      <c r="D217" s="388" t="str">
        <f>IF(Main_Parameters!$C$41="TX0/1 Enable","4178","2178")</f>
        <v>4178</v>
      </c>
      <c r="E217" s="100" t="str">
        <f ca="1">Main_Parameters!$C$319</f>
        <v>00060006</v>
      </c>
      <c r="F217" s="135"/>
      <c r="G217"/>
      <c r="H217"/>
      <c r="I217" s="2"/>
    </row>
    <row r="218" spans="2:56">
      <c r="B218" s="80" t="s">
        <v>14</v>
      </c>
      <c r="C218" s="82" t="s">
        <v>1321</v>
      </c>
      <c r="D218" s="80"/>
      <c r="E218" s="101"/>
      <c r="F218" s="92"/>
      <c r="G218"/>
      <c r="H218"/>
      <c r="I218"/>
      <c r="J218"/>
      <c r="K218"/>
      <c r="L218"/>
      <c r="M218"/>
      <c r="N218"/>
      <c r="O218"/>
      <c r="P218"/>
      <c r="Q218"/>
      <c r="R218"/>
      <c r="S218"/>
      <c r="T218"/>
      <c r="U218"/>
      <c r="V218"/>
      <c r="W218"/>
      <c r="X218" s="222"/>
    </row>
    <row r="219" spans="2:56">
      <c r="B219" s="89" t="str">
        <f>IF(Main_Parameters!$C$46="Enable","WR32","REMnd")</f>
        <v>REMnd</v>
      </c>
      <c r="C219" s="5" t="s">
        <v>575</v>
      </c>
      <c r="D219" s="14" t="s">
        <v>573</v>
      </c>
      <c r="E219" s="83" t="s">
        <v>574</v>
      </c>
      <c r="F219" s="36" t="s">
        <v>590</v>
      </c>
      <c r="G219"/>
      <c r="H219"/>
      <c r="I219" s="2"/>
    </row>
    <row r="220" spans="2:56">
      <c r="B220" s="89" t="str">
        <f>IF(Main_Parameters!$C$46="Enable","WR32","REMnd")</f>
        <v>REMnd</v>
      </c>
      <c r="C220" s="5" t="s">
        <v>576</v>
      </c>
      <c r="D220" s="14" t="s">
        <v>577</v>
      </c>
      <c r="E220" s="83" t="s">
        <v>574</v>
      </c>
      <c r="F220" s="36" t="s">
        <v>590</v>
      </c>
      <c r="G220"/>
      <c r="H220"/>
      <c r="I220" s="2"/>
    </row>
    <row r="221" spans="2:56">
      <c r="B221" s="89" t="str">
        <f>IF(Main_Parameters!$BB$42=1,"WR32","REMnd")</f>
        <v>REMnd</v>
      </c>
      <c r="C221" s="5" t="s">
        <v>932</v>
      </c>
      <c r="D221" s="14" t="s">
        <v>933</v>
      </c>
      <c r="E221" s="100" t="str">
        <f>DEC2HEX(Y221*2^31+Z221*2^30+AA221*2^29+AB221*2^28+AC221*2^27+AD221*2^26+AE221*2^25+AF221*2^24+AG221*2^23+AH221*2^22+AI221*2^21+AJ221*2^20+AK221*2^19+AL221*2^18+AM221*2^17+AN221*2^16+AO221*2^15+AP221*2^14+AQ221*2^13+AR221*2^12+AS221*2^11+AT221*2^10+AU221*2^9+AV221*2^8+AW221*2^7+AX221*2^6+AY221*2^5+AZ221*2^4+BA221*2^3+BB221*2^2+BC221*2^1+BD221*2^0,8)</f>
        <v>0F000000</v>
      </c>
      <c r="F221" s="36" t="s">
        <v>934</v>
      </c>
      <c r="G221"/>
      <c r="H221"/>
      <c r="I221" s="2"/>
      <c r="Y221" s="359">
        <v>0</v>
      </c>
      <c r="Z221" s="360">
        <v>0</v>
      </c>
      <c r="AA221" s="360">
        <v>0</v>
      </c>
      <c r="AB221" s="360">
        <v>0</v>
      </c>
      <c r="AC221" s="360">
        <v>1</v>
      </c>
      <c r="AD221" s="360">
        <v>1</v>
      </c>
      <c r="AE221" s="360">
        <v>1</v>
      </c>
      <c r="AF221" s="361">
        <v>1</v>
      </c>
      <c r="AG221" s="359">
        <v>0</v>
      </c>
      <c r="AH221" s="360">
        <v>0</v>
      </c>
      <c r="AI221" s="360">
        <v>0</v>
      </c>
      <c r="AJ221" s="360">
        <v>0</v>
      </c>
      <c r="AK221" s="360">
        <v>0</v>
      </c>
      <c r="AL221" s="360">
        <v>0</v>
      </c>
      <c r="AM221" s="360">
        <v>0</v>
      </c>
      <c r="AN221" s="364">
        <f>IF(Main_Parameters!$C$46="Disable",0,1)</f>
        <v>0</v>
      </c>
      <c r="AO221" s="359">
        <v>0</v>
      </c>
      <c r="AP221" s="360">
        <v>0</v>
      </c>
      <c r="AQ221" s="360">
        <v>0</v>
      </c>
      <c r="AR221" s="360">
        <v>0</v>
      </c>
      <c r="AS221" s="360">
        <v>0</v>
      </c>
      <c r="AT221" s="360">
        <v>0</v>
      </c>
      <c r="AU221" s="364">
        <f>Main_Parameters!$BA$42</f>
        <v>0</v>
      </c>
      <c r="AV221" s="364">
        <f>IF(Main_Parameters!$C$41="TX0/1 Enable",0,1)</f>
        <v>0</v>
      </c>
      <c r="AW221" s="359">
        <v>0</v>
      </c>
      <c r="AX221" s="360">
        <v>0</v>
      </c>
      <c r="AY221" s="360">
        <v>0</v>
      </c>
      <c r="AZ221" s="360">
        <v>0</v>
      </c>
      <c r="BA221" s="360">
        <v>0</v>
      </c>
      <c r="BB221" s="360">
        <v>0</v>
      </c>
      <c r="BC221" s="360">
        <v>0</v>
      </c>
      <c r="BD221" s="361">
        <v>0</v>
      </c>
    </row>
    <row r="222" spans="2:56">
      <c r="B222" s="16" t="s">
        <v>319</v>
      </c>
      <c r="C222" s="5" t="s">
        <v>320</v>
      </c>
      <c r="D222" s="285" t="str">
        <f>IF(Main_Parameters!$C$41="TX0/1 Enable","407C","207C")</f>
        <v>407C</v>
      </c>
      <c r="E222" s="100" t="str">
        <f>DEC2HEX(Y222*2^31+Z222*2^30+AA222*2^29+AB222*2^28+AC222*2^27+AD222*2^26+AE222*2^25+AF222*2^24+AG222*2^23+AH222*2^22+AI222*2^21+AJ222*2^20+AK222*2^19+AL222*2^18+AM222*2^17+AN222*2^16+AO222*2^15+AP222*2^14+AQ222*2^13+AR222*2^12+AS222*2^11+AT222*2^10+AU222*2^9+AV222*2^8+AW222*2^7+AX222*2^6+AY222*2^5+AZ222*2^4+BA222*2^3+BB222*2^2+BC222*2^1+BD222*2^0,8)</f>
        <v>00000081</v>
      </c>
      <c r="F222" s="36"/>
      <c r="G222"/>
      <c r="H222" s="188" t="s">
        <v>383</v>
      </c>
      <c r="I222" s="267" t="str">
        <f>IF(Main_Parameters!$C$70="LP","Disable","Enable")</f>
        <v>Enable</v>
      </c>
      <c r="J222" s="192"/>
      <c r="K222" s="191"/>
      <c r="L222" s="191"/>
      <c r="M222" s="191"/>
      <c r="N222" s="191"/>
      <c r="O222" s="191"/>
      <c r="P222" s="191"/>
      <c r="Q222" s="191"/>
      <c r="R222" s="191"/>
      <c r="S222" s="189"/>
      <c r="T222" s="264" t="s">
        <v>384</v>
      </c>
      <c r="U222" s="194" t="s">
        <v>385</v>
      </c>
      <c r="V222" s="265" t="s">
        <v>378</v>
      </c>
      <c r="W222" s="267" t="str">
        <f>Main_Parameters!$C$42</f>
        <v>SyncEvent</v>
      </c>
      <c r="Y222" s="359">
        <v>0</v>
      </c>
      <c r="Z222" s="360">
        <v>0</v>
      </c>
      <c r="AA222" s="360">
        <v>0</v>
      </c>
      <c r="AB222" s="360">
        <v>0</v>
      </c>
      <c r="AC222" s="360">
        <v>0</v>
      </c>
      <c r="AD222" s="360">
        <v>0</v>
      </c>
      <c r="AE222" s="360">
        <v>0</v>
      </c>
      <c r="AF222" s="361">
        <v>0</v>
      </c>
      <c r="AG222" s="359">
        <v>0</v>
      </c>
      <c r="AH222" s="360">
        <v>0</v>
      </c>
      <c r="AI222" s="360">
        <v>0</v>
      </c>
      <c r="AJ222" s="360">
        <v>0</v>
      </c>
      <c r="AK222" s="360">
        <v>0</v>
      </c>
      <c r="AL222" s="360">
        <v>0</v>
      </c>
      <c r="AM222" s="360">
        <v>0</v>
      </c>
      <c r="AN222" s="361">
        <v>0</v>
      </c>
      <c r="AO222" s="359">
        <v>0</v>
      </c>
      <c r="AP222" s="360">
        <v>0</v>
      </c>
      <c r="AQ222" s="360">
        <v>0</v>
      </c>
      <c r="AR222" s="360">
        <v>0</v>
      </c>
      <c r="AS222" s="360">
        <v>0</v>
      </c>
      <c r="AT222" s="360">
        <v>0</v>
      </c>
      <c r="AU222" s="360">
        <v>0</v>
      </c>
      <c r="AV222" s="361">
        <v>0</v>
      </c>
      <c r="AW222" s="362">
        <f>IF(I222="Enable",1,0)</f>
        <v>1</v>
      </c>
      <c r="AX222" s="360">
        <v>0</v>
      </c>
      <c r="AY222" s="360">
        <v>0</v>
      </c>
      <c r="AZ222" s="360">
        <v>0</v>
      </c>
      <c r="BA222" s="360">
        <v>0</v>
      </c>
      <c r="BB222" s="360">
        <v>0</v>
      </c>
      <c r="BC222" s="363">
        <f>IF(U222="VSYNC",0,IF(U222="HSYNC Count",1,2))</f>
        <v>0</v>
      </c>
      <c r="BD222" s="364">
        <f>IF(W222="SyncEvent",1,0)</f>
        <v>1</v>
      </c>
    </row>
    <row r="223" spans="2:56">
      <c r="B223" s="16" t="s">
        <v>290</v>
      </c>
      <c r="C223" s="5" t="s">
        <v>1303</v>
      </c>
      <c r="D223" s="285" t="str">
        <f>IF(Main_Parameters!$C$41="TX0/1 Enable","4050","2050")</f>
        <v>4050</v>
      </c>
      <c r="E223" s="14" t="s">
        <v>634</v>
      </c>
      <c r="F223" s="36" t="s">
        <v>1332</v>
      </c>
      <c r="G223"/>
      <c r="H223"/>
      <c r="I223"/>
      <c r="J223"/>
      <c r="K223"/>
      <c r="L223"/>
      <c r="M223"/>
      <c r="N223"/>
      <c r="O223"/>
      <c r="P223"/>
      <c r="Q223"/>
      <c r="R223"/>
      <c r="S223"/>
      <c r="T223"/>
      <c r="U223"/>
      <c r="V223"/>
      <c r="W223"/>
      <c r="Y223" s="410"/>
      <c r="Z223" s="410"/>
      <c r="AA223" s="410"/>
      <c r="AB223" s="410"/>
      <c r="AC223" s="410"/>
      <c r="AD223" s="410"/>
      <c r="AE223" s="410"/>
      <c r="AF223" s="410"/>
      <c r="AG223" s="410"/>
      <c r="AH223" s="410"/>
      <c r="AI223" s="410"/>
      <c r="AJ223" s="410"/>
      <c r="AK223" s="410"/>
      <c r="AL223" s="410"/>
      <c r="AM223" s="410"/>
      <c r="AN223" s="410"/>
      <c r="AO223" s="410"/>
      <c r="AP223" s="410"/>
      <c r="AQ223" s="410"/>
      <c r="AR223" s="410"/>
      <c r="AS223" s="410"/>
      <c r="AT223" s="410"/>
      <c r="AU223" s="410"/>
      <c r="AV223" s="410"/>
      <c r="AW223" s="429"/>
      <c r="AX223" s="429"/>
      <c r="AY223" s="429"/>
      <c r="AZ223" s="429"/>
      <c r="BA223" s="429"/>
      <c r="BB223" s="429"/>
      <c r="BC223" s="429"/>
      <c r="BD223" s="429"/>
    </row>
    <row r="224" spans="2:56">
      <c r="B224" s="16" t="s">
        <v>319</v>
      </c>
      <c r="C224" s="5" t="s">
        <v>321</v>
      </c>
      <c r="D224" s="285" t="str">
        <f>IF(Main_Parameters!$C$41="TX0/1 Enable","401C","201C")</f>
        <v>401C</v>
      </c>
      <c r="E224" s="14" t="s">
        <v>322</v>
      </c>
      <c r="F224" s="36"/>
      <c r="G224"/>
      <c r="H224"/>
      <c r="I224" s="2"/>
    </row>
    <row r="225" spans="2:56">
      <c r="B225" s="16" t="s">
        <v>425</v>
      </c>
      <c r="C225" s="5"/>
      <c r="D225" s="13">
        <v>100</v>
      </c>
      <c r="E225" s="14"/>
      <c r="F225" s="36" t="s">
        <v>426</v>
      </c>
      <c r="G225"/>
      <c r="H225"/>
      <c r="I225" s="2"/>
    </row>
    <row r="226" spans="2:56">
      <c r="B226" s="16" t="s">
        <v>423</v>
      </c>
      <c r="C226" s="5" t="s">
        <v>424</v>
      </c>
      <c r="D226" s="285" t="str">
        <f>IF(Main_Parameters!$C$41="TX0/1 Enable","4060","2060")</f>
        <v>4060</v>
      </c>
      <c r="E226" s="283" t="s">
        <v>427</v>
      </c>
      <c r="F226" s="36"/>
      <c r="G226"/>
      <c r="H226"/>
      <c r="I226" s="2"/>
    </row>
    <row r="227" spans="2:56">
      <c r="B227" s="234" t="s">
        <v>419</v>
      </c>
      <c r="C227" s="235" t="s">
        <v>428</v>
      </c>
      <c r="D227" s="236"/>
      <c r="E227" s="237"/>
      <c r="F227" s="235" t="s">
        <v>429</v>
      </c>
      <c r="G227"/>
      <c r="H227"/>
      <c r="I227" s="2"/>
    </row>
    <row r="228" spans="2:56" ht="15">
      <c r="B228" s="280" t="s">
        <v>14</v>
      </c>
      <c r="C228" s="281" t="s">
        <v>967</v>
      </c>
      <c r="D228" s="282"/>
      <c r="E228" s="278"/>
      <c r="F228" s="279"/>
      <c r="G228"/>
      <c r="H228"/>
      <c r="I228"/>
      <c r="J228"/>
      <c r="K228"/>
      <c r="L228"/>
      <c r="M228"/>
      <c r="N228"/>
      <c r="O228"/>
      <c r="P228"/>
      <c r="Q228"/>
      <c r="R228"/>
      <c r="S228"/>
      <c r="T228"/>
      <c r="U228"/>
      <c r="V228"/>
      <c r="W228"/>
    </row>
    <row r="229" spans="2:56">
      <c r="B229" s="306" t="s">
        <v>1304</v>
      </c>
      <c r="C229" s="307" t="s">
        <v>1305</v>
      </c>
      <c r="D229" s="308" t="s">
        <v>1306</v>
      </c>
      <c r="E229" s="308" t="s">
        <v>1334</v>
      </c>
      <c r="F229" s="309" t="s">
        <v>1307</v>
      </c>
      <c r="G229"/>
      <c r="H229"/>
      <c r="I229"/>
      <c r="J229"/>
      <c r="K229"/>
      <c r="L229"/>
      <c r="M229"/>
      <c r="N229"/>
      <c r="O229"/>
      <c r="P229"/>
      <c r="Q229"/>
      <c r="R229"/>
      <c r="S229"/>
      <c r="T229"/>
      <c r="U229"/>
      <c r="V229"/>
      <c r="W229"/>
    </row>
    <row r="230" spans="2:56">
      <c r="B230" s="306" t="s">
        <v>1304</v>
      </c>
      <c r="C230" s="307" t="s">
        <v>1308</v>
      </c>
      <c r="D230" s="308" t="s">
        <v>1309</v>
      </c>
      <c r="E230" s="308" t="s">
        <v>1336</v>
      </c>
      <c r="F230" s="309" t="s">
        <v>1337</v>
      </c>
      <c r="G230"/>
      <c r="H230"/>
      <c r="I230"/>
      <c r="J230"/>
      <c r="K230"/>
      <c r="L230"/>
      <c r="M230"/>
      <c r="N230"/>
      <c r="O230"/>
      <c r="P230"/>
      <c r="Q230"/>
      <c r="R230"/>
      <c r="S230"/>
      <c r="T230"/>
      <c r="U230"/>
      <c r="V230"/>
      <c r="W230"/>
    </row>
    <row r="231" spans="2:56">
      <c r="B231" s="306" t="s">
        <v>1304</v>
      </c>
      <c r="C231" s="307" t="s">
        <v>1310</v>
      </c>
      <c r="D231" s="308" t="s">
        <v>1311</v>
      </c>
      <c r="E231" s="308" t="s">
        <v>1336</v>
      </c>
      <c r="F231" s="309" t="s">
        <v>1312</v>
      </c>
      <c r="G231"/>
      <c r="H231"/>
      <c r="I231"/>
      <c r="J231"/>
      <c r="K231"/>
      <c r="L231"/>
      <c r="M231"/>
      <c r="N231"/>
      <c r="O231"/>
      <c r="P231"/>
      <c r="Q231"/>
      <c r="R231"/>
      <c r="S231"/>
      <c r="T231"/>
      <c r="U231"/>
      <c r="V231"/>
      <c r="W231"/>
    </row>
    <row r="232" spans="2:56">
      <c r="B232" s="306" t="s">
        <v>1304</v>
      </c>
      <c r="C232" s="307" t="s">
        <v>1310</v>
      </c>
      <c r="D232" s="308" t="s">
        <v>1311</v>
      </c>
      <c r="E232" s="308" t="s">
        <v>1313</v>
      </c>
      <c r="F232" s="309" t="s">
        <v>1314</v>
      </c>
      <c r="G232"/>
      <c r="H232"/>
      <c r="I232"/>
      <c r="J232"/>
      <c r="K232"/>
      <c r="L232"/>
      <c r="M232"/>
      <c r="N232"/>
      <c r="O232"/>
      <c r="P232"/>
      <c r="Q232"/>
      <c r="R232"/>
      <c r="S232"/>
      <c r="T232"/>
      <c r="U232"/>
      <c r="V232"/>
      <c r="W232"/>
    </row>
    <row r="233" spans="2:56">
      <c r="B233" s="306" t="s">
        <v>1304</v>
      </c>
      <c r="C233" s="307" t="s">
        <v>1310</v>
      </c>
      <c r="D233" s="308" t="s">
        <v>1311</v>
      </c>
      <c r="E233" s="308" t="s">
        <v>1335</v>
      </c>
      <c r="F233" s="309" t="s">
        <v>1312</v>
      </c>
      <c r="G233"/>
      <c r="H233"/>
      <c r="I233"/>
      <c r="J233"/>
      <c r="K233"/>
      <c r="L233"/>
      <c r="M233"/>
      <c r="N233"/>
      <c r="O233"/>
      <c r="P233"/>
      <c r="Q233"/>
      <c r="R233"/>
      <c r="S233"/>
      <c r="T233"/>
      <c r="U233"/>
      <c r="V233"/>
      <c r="W233"/>
    </row>
    <row r="234" spans="2:56">
      <c r="B234" s="306" t="s">
        <v>1315</v>
      </c>
      <c r="C234" s="307"/>
      <c r="D234" s="310">
        <v>50000</v>
      </c>
      <c r="E234" s="310"/>
      <c r="F234" s="309" t="s">
        <v>1316</v>
      </c>
      <c r="G234"/>
      <c r="H234"/>
      <c r="I234"/>
      <c r="J234"/>
      <c r="K234"/>
      <c r="L234"/>
      <c r="M234"/>
      <c r="N234"/>
      <c r="O234"/>
      <c r="P234"/>
      <c r="Q234"/>
      <c r="R234"/>
      <c r="S234"/>
      <c r="T234"/>
      <c r="U234"/>
      <c r="V234"/>
      <c r="W234"/>
    </row>
    <row r="235" spans="2:56">
      <c r="B235" s="306"/>
      <c r="C235" s="307"/>
      <c r="D235" s="310"/>
      <c r="E235" s="310"/>
      <c r="F235" s="309"/>
      <c r="G235"/>
      <c r="H235"/>
      <c r="I235"/>
      <c r="J235"/>
      <c r="K235"/>
      <c r="L235"/>
      <c r="M235"/>
      <c r="N235"/>
      <c r="O235"/>
      <c r="P235"/>
      <c r="Q235"/>
      <c r="R235"/>
      <c r="S235"/>
      <c r="T235"/>
      <c r="U235"/>
      <c r="V235"/>
      <c r="W235"/>
    </row>
    <row r="236" spans="2:56">
      <c r="B236" s="306"/>
      <c r="C236" s="307"/>
      <c r="D236" s="310"/>
      <c r="E236" s="310"/>
      <c r="F236" s="309"/>
      <c r="G236"/>
      <c r="H236"/>
      <c r="I236"/>
      <c r="J236"/>
      <c r="K236"/>
      <c r="L236"/>
      <c r="M236"/>
      <c r="N236"/>
      <c r="O236"/>
      <c r="P236"/>
      <c r="Q236"/>
      <c r="R236"/>
      <c r="S236"/>
      <c r="T236"/>
      <c r="U236"/>
      <c r="V236"/>
      <c r="W236"/>
    </row>
    <row r="237" spans="2:56">
      <c r="B237" s="306"/>
      <c r="C237" s="307"/>
      <c r="D237" s="310"/>
      <c r="E237" s="310"/>
      <c r="F237" s="309"/>
      <c r="G237"/>
      <c r="H237"/>
      <c r="I237"/>
      <c r="J237"/>
      <c r="K237"/>
      <c r="L237"/>
      <c r="M237"/>
      <c r="N237"/>
      <c r="O237"/>
      <c r="P237"/>
      <c r="Q237"/>
      <c r="R237"/>
      <c r="S237"/>
      <c r="T237"/>
      <c r="U237"/>
      <c r="V237"/>
      <c r="W237"/>
    </row>
    <row r="238" spans="2:56">
      <c r="B238" s="306"/>
      <c r="C238" s="307"/>
      <c r="D238" s="310"/>
      <c r="E238" s="310"/>
      <c r="F238" s="309"/>
      <c r="G238"/>
      <c r="H238"/>
      <c r="I238"/>
      <c r="J238"/>
      <c r="K238"/>
      <c r="L238"/>
      <c r="M238"/>
      <c r="N238"/>
      <c r="O238"/>
      <c r="P238"/>
      <c r="Q238"/>
      <c r="R238"/>
      <c r="S238"/>
      <c r="T238"/>
      <c r="U238"/>
      <c r="V238"/>
      <c r="W238"/>
    </row>
    <row r="239" spans="2:56">
      <c r="B239" s="80" t="s">
        <v>14</v>
      </c>
      <c r="C239" s="82" t="s">
        <v>1322</v>
      </c>
      <c r="D239" s="80"/>
      <c r="E239" s="101"/>
      <c r="F239" s="92"/>
      <c r="G239"/>
      <c r="H239"/>
      <c r="I239"/>
      <c r="J239"/>
      <c r="K239"/>
      <c r="L239"/>
      <c r="M239"/>
      <c r="N239"/>
      <c r="O239"/>
      <c r="P239"/>
      <c r="Q239"/>
      <c r="R239"/>
      <c r="S239"/>
      <c r="T239"/>
      <c r="U239"/>
      <c r="V239"/>
      <c r="W239"/>
      <c r="X239" s="222"/>
    </row>
    <row r="240" spans="2:56">
      <c r="B240" s="89" t="str">
        <f>IF(Main_Parameters!$C$47="Continuous","WR32","REMnd")</f>
        <v>WR32</v>
      </c>
      <c r="C240" s="5" t="s">
        <v>1303</v>
      </c>
      <c r="D240" s="285" t="str">
        <f>IF(Main_Parameters!$C$41="TX0/1 Enable","4050","2050")</f>
        <v>4050</v>
      </c>
      <c r="E240" s="100" t="str">
        <f>Main_Parameters!$C$322</f>
        <v>00000020</v>
      </c>
      <c r="F240" s="36"/>
      <c r="G240"/>
      <c r="H240"/>
      <c r="I240" s="2"/>
      <c r="Y240" s="410"/>
      <c r="Z240" s="410"/>
      <c r="AA240" s="410"/>
      <c r="AB240" s="410"/>
      <c r="AC240" s="410"/>
      <c r="AD240" s="410"/>
      <c r="AE240" s="410"/>
      <c r="AF240" s="410"/>
      <c r="AG240" s="410"/>
      <c r="AH240" s="410"/>
      <c r="AI240" s="410"/>
      <c r="AJ240" s="410"/>
      <c r="AK240" s="410"/>
      <c r="AL240" s="410"/>
      <c r="AM240" s="410"/>
      <c r="AN240" s="410"/>
      <c r="AO240" s="410"/>
      <c r="AP240" s="410"/>
      <c r="AQ240" s="410"/>
      <c r="AR240" s="410"/>
      <c r="AS240" s="410"/>
      <c r="AT240" s="410"/>
      <c r="AU240" s="410"/>
      <c r="AV240" s="410"/>
      <c r="AW240" s="429"/>
      <c r="AX240" s="429"/>
      <c r="AY240" s="429"/>
      <c r="AZ240" s="429"/>
      <c r="BA240" s="429"/>
      <c r="BB240" s="429"/>
      <c r="BC240" s="429"/>
      <c r="BD240" s="429"/>
    </row>
    <row r="241" spans="2:56">
      <c r="B241" s="89" t="str">
        <f>IF(Main_Parameters!$C$47="Continuous","delay","REMnd")</f>
        <v>delay</v>
      </c>
      <c r="C241" s="5"/>
      <c r="D241" s="285">
        <v>100000</v>
      </c>
      <c r="E241" s="100"/>
      <c r="F241" s="36" t="s">
        <v>1317</v>
      </c>
      <c r="G241"/>
      <c r="H241"/>
      <c r="I241" s="2"/>
      <c r="Y241" s="410"/>
      <c r="Z241" s="410"/>
      <c r="AA241" s="410"/>
      <c r="AB241" s="410"/>
      <c r="AC241" s="410"/>
      <c r="AD241" s="410"/>
      <c r="AE241" s="410"/>
      <c r="AF241" s="410"/>
      <c r="AG241" s="410"/>
      <c r="AH241" s="410"/>
      <c r="AI241" s="410"/>
      <c r="AJ241" s="410"/>
      <c r="AK241" s="410"/>
      <c r="AL241" s="410"/>
      <c r="AM241" s="410"/>
      <c r="AN241" s="410"/>
      <c r="AO241" s="410"/>
      <c r="AP241" s="410"/>
      <c r="AQ241" s="410"/>
      <c r="AR241" s="410"/>
      <c r="AS241" s="410"/>
      <c r="AT241" s="410"/>
      <c r="AU241" s="410"/>
      <c r="AV241" s="410"/>
      <c r="AW241" s="429"/>
      <c r="AX241" s="429"/>
      <c r="AY241" s="429"/>
      <c r="AZ241" s="429"/>
      <c r="BA241" s="429"/>
      <c r="BB241" s="429"/>
      <c r="BC241" s="429"/>
      <c r="BD241" s="429"/>
    </row>
    <row r="242" spans="2:56" ht="15">
      <c r="B242" s="280" t="s">
        <v>14</v>
      </c>
      <c r="C242" s="281" t="s">
        <v>450</v>
      </c>
      <c r="D242" s="282"/>
      <c r="E242" s="278"/>
      <c r="F242" s="279"/>
      <c r="G242"/>
      <c r="H242"/>
      <c r="I242"/>
      <c r="J242"/>
      <c r="K242"/>
      <c r="L242"/>
      <c r="M242"/>
      <c r="N242"/>
      <c r="O242"/>
      <c r="P242"/>
      <c r="Q242"/>
      <c r="R242"/>
      <c r="S242"/>
      <c r="T242"/>
      <c r="U242"/>
      <c r="V242"/>
      <c r="W242"/>
    </row>
    <row r="243" spans="2:56" outlineLevel="1">
      <c r="B243" s="167" t="s">
        <v>1338</v>
      </c>
      <c r="C243" s="168" t="s">
        <v>1339</v>
      </c>
      <c r="D243" s="169"/>
      <c r="E243" s="170"/>
      <c r="F243" s="171"/>
      <c r="G243"/>
      <c r="H243"/>
      <c r="I243"/>
      <c r="J243"/>
      <c r="K243"/>
      <c r="L243"/>
      <c r="M243"/>
      <c r="N243"/>
      <c r="O243"/>
      <c r="P243"/>
      <c r="Q243"/>
      <c r="R243"/>
      <c r="S243"/>
      <c r="T243"/>
      <c r="U243"/>
      <c r="V243"/>
      <c r="W243"/>
    </row>
    <row r="244" spans="2:56" outlineLevel="1">
      <c r="B244" s="167"/>
      <c r="C244" s="168"/>
      <c r="D244" s="169"/>
      <c r="E244" s="170"/>
      <c r="F244" s="171"/>
      <c r="G244"/>
      <c r="H244"/>
      <c r="I244"/>
      <c r="J244"/>
      <c r="K244"/>
      <c r="L244"/>
      <c r="M244"/>
      <c r="N244"/>
      <c r="O244"/>
      <c r="P244"/>
      <c r="Q244"/>
      <c r="R244"/>
      <c r="S244"/>
      <c r="T244"/>
      <c r="U244"/>
      <c r="V244"/>
      <c r="W244"/>
    </row>
    <row r="245" spans="2:56" outlineLevel="1">
      <c r="B245" s="167"/>
      <c r="C245" s="168"/>
      <c r="D245" s="311"/>
      <c r="E245" s="170"/>
      <c r="F245" s="171"/>
      <c r="G245"/>
      <c r="H245"/>
      <c r="I245"/>
      <c r="J245"/>
      <c r="K245"/>
      <c r="L245"/>
      <c r="M245"/>
      <c r="N245"/>
      <c r="O245"/>
      <c r="P245"/>
      <c r="Q245"/>
      <c r="R245"/>
      <c r="S245"/>
      <c r="T245"/>
      <c r="U245"/>
      <c r="V245"/>
      <c r="W245"/>
    </row>
    <row r="246" spans="2:56" outlineLevel="1">
      <c r="B246" s="167"/>
      <c r="C246" s="168"/>
      <c r="D246" s="170"/>
      <c r="E246" s="170"/>
      <c r="F246" s="171"/>
      <c r="G246"/>
      <c r="H246"/>
      <c r="I246"/>
      <c r="J246"/>
      <c r="K246"/>
      <c r="L246"/>
      <c r="M246"/>
      <c r="N246"/>
      <c r="O246"/>
      <c r="P246"/>
      <c r="Q246"/>
      <c r="R246"/>
      <c r="S246"/>
      <c r="T246"/>
      <c r="U246"/>
      <c r="V246"/>
      <c r="W246"/>
    </row>
    <row r="247" spans="2:56" outlineLevel="1">
      <c r="B247" s="167"/>
      <c r="C247" s="168"/>
      <c r="D247" s="311"/>
      <c r="E247" s="286"/>
      <c r="F247" s="171"/>
      <c r="G247"/>
      <c r="H247"/>
      <c r="I247"/>
      <c r="J247"/>
      <c r="K247"/>
      <c r="L247"/>
      <c r="M247"/>
      <c r="N247"/>
      <c r="O247"/>
      <c r="P247"/>
      <c r="Q247"/>
      <c r="R247"/>
      <c r="S247"/>
      <c r="T247"/>
      <c r="U247"/>
      <c r="V247"/>
      <c r="W247"/>
    </row>
    <row r="248" spans="2:56" outlineLevel="1">
      <c r="B248" s="268"/>
      <c r="C248" s="269"/>
      <c r="D248" s="270"/>
      <c r="E248" s="271"/>
      <c r="F248" s="269"/>
      <c r="G248"/>
      <c r="H248"/>
      <c r="I248"/>
      <c r="J248"/>
      <c r="K248"/>
      <c r="L248"/>
      <c r="M248"/>
      <c r="N248"/>
      <c r="O248"/>
      <c r="P248"/>
      <c r="Q248"/>
      <c r="R248"/>
      <c r="S248"/>
      <c r="T248"/>
      <c r="U248"/>
      <c r="V248"/>
      <c r="W248"/>
    </row>
    <row r="249" spans="2:56" outlineLevel="1">
      <c r="B249" s="167"/>
      <c r="C249" s="168"/>
      <c r="D249" s="169"/>
      <c r="E249" s="170"/>
      <c r="F249" s="171"/>
      <c r="G249"/>
      <c r="H249"/>
      <c r="I249"/>
      <c r="J249"/>
      <c r="K249"/>
      <c r="L249"/>
      <c r="M249"/>
      <c r="N249"/>
      <c r="O249"/>
      <c r="P249"/>
      <c r="Q249"/>
      <c r="R249"/>
      <c r="S249"/>
      <c r="T249"/>
      <c r="U249"/>
      <c r="V249"/>
      <c r="W249"/>
    </row>
    <row r="250" spans="2:56" outlineLevel="1">
      <c r="B250" s="167"/>
      <c r="C250" s="168"/>
      <c r="D250" s="311"/>
      <c r="E250" s="170"/>
      <c r="F250" s="171"/>
      <c r="G250"/>
      <c r="H250"/>
      <c r="I250"/>
      <c r="J250"/>
      <c r="K250"/>
      <c r="L250"/>
      <c r="M250"/>
      <c r="N250"/>
      <c r="O250"/>
      <c r="P250"/>
      <c r="Q250"/>
      <c r="R250"/>
      <c r="S250"/>
      <c r="T250"/>
      <c r="U250"/>
      <c r="V250"/>
      <c r="W250"/>
    </row>
    <row r="251" spans="2:56" outlineLevel="1">
      <c r="B251" s="167"/>
      <c r="C251" s="168"/>
      <c r="D251" s="170"/>
      <c r="E251" s="170"/>
      <c r="F251" s="171"/>
      <c r="G251"/>
      <c r="H251"/>
      <c r="I251"/>
      <c r="J251"/>
      <c r="K251"/>
      <c r="L251"/>
      <c r="M251"/>
      <c r="N251"/>
      <c r="O251"/>
      <c r="P251"/>
      <c r="Q251"/>
      <c r="R251"/>
      <c r="S251"/>
      <c r="T251"/>
      <c r="U251"/>
      <c r="V251"/>
      <c r="W251"/>
    </row>
    <row r="252" spans="2:56" outlineLevel="1">
      <c r="B252" s="167"/>
      <c r="C252" s="168"/>
      <c r="D252" s="311"/>
      <c r="E252" s="286"/>
      <c r="F252" s="171"/>
      <c r="G252"/>
      <c r="H252"/>
      <c r="I252"/>
      <c r="J252"/>
      <c r="K252"/>
      <c r="L252"/>
      <c r="M252"/>
      <c r="N252"/>
      <c r="O252"/>
      <c r="P252"/>
      <c r="Q252"/>
      <c r="R252"/>
      <c r="S252"/>
      <c r="T252"/>
      <c r="U252"/>
      <c r="V252"/>
      <c r="W252"/>
    </row>
    <row r="253" spans="2:56" outlineLevel="1">
      <c r="B253" s="268"/>
      <c r="C253" s="269"/>
      <c r="D253" s="270"/>
      <c r="E253" s="271"/>
      <c r="F253" s="269"/>
      <c r="G253"/>
      <c r="H253"/>
      <c r="I253"/>
      <c r="J253"/>
      <c r="K253"/>
      <c r="L253"/>
      <c r="M253"/>
      <c r="N253"/>
      <c r="O253"/>
      <c r="P253"/>
      <c r="Q253"/>
      <c r="R253"/>
      <c r="S253"/>
      <c r="T253"/>
      <c r="U253"/>
      <c r="V253"/>
      <c r="W253"/>
    </row>
    <row r="254" spans="2:56" outlineLevel="1">
      <c r="B254" s="167"/>
      <c r="C254" s="168"/>
      <c r="D254" s="169"/>
      <c r="E254" s="170"/>
      <c r="F254" s="171"/>
      <c r="G254"/>
      <c r="H254"/>
      <c r="I254"/>
      <c r="J254"/>
      <c r="K254"/>
      <c r="L254"/>
      <c r="M254"/>
      <c r="N254"/>
      <c r="O254"/>
      <c r="P254"/>
      <c r="Q254"/>
      <c r="R254"/>
      <c r="S254"/>
      <c r="T254"/>
      <c r="U254"/>
      <c r="V254"/>
      <c r="W254"/>
    </row>
    <row r="255" spans="2:56" outlineLevel="1">
      <c r="B255" s="167"/>
      <c r="C255" s="168"/>
      <c r="D255" s="311"/>
      <c r="E255" s="170"/>
      <c r="F255" s="171"/>
      <c r="G255"/>
      <c r="H255"/>
      <c r="I255"/>
      <c r="J255"/>
      <c r="K255"/>
      <c r="L255"/>
      <c r="M255"/>
      <c r="N255"/>
      <c r="O255"/>
      <c r="P255"/>
      <c r="Q255"/>
      <c r="R255"/>
      <c r="S255"/>
      <c r="T255"/>
      <c r="U255"/>
      <c r="V255"/>
      <c r="W255"/>
    </row>
    <row r="256" spans="2:56" outlineLevel="1">
      <c r="B256" s="167"/>
      <c r="C256" s="168"/>
      <c r="D256" s="311"/>
      <c r="E256" s="170"/>
      <c r="F256" s="171"/>
      <c r="G256"/>
      <c r="H256"/>
      <c r="I256"/>
      <c r="J256"/>
      <c r="K256"/>
      <c r="L256"/>
      <c r="M256"/>
      <c r="N256"/>
      <c r="O256"/>
      <c r="P256"/>
      <c r="Q256"/>
      <c r="R256"/>
      <c r="S256"/>
      <c r="T256"/>
      <c r="U256"/>
      <c r="V256"/>
      <c r="W256"/>
    </row>
    <row r="257" spans="2:23" outlineLevel="1">
      <c r="B257" s="167"/>
      <c r="C257" s="168"/>
      <c r="D257" s="311"/>
      <c r="E257" s="170"/>
      <c r="F257" s="171"/>
      <c r="G257"/>
      <c r="H257"/>
      <c r="I257"/>
      <c r="J257"/>
      <c r="K257"/>
      <c r="L257"/>
      <c r="M257"/>
      <c r="N257"/>
      <c r="O257"/>
      <c r="P257"/>
      <c r="Q257"/>
      <c r="R257"/>
      <c r="S257"/>
      <c r="T257"/>
      <c r="U257"/>
      <c r="V257"/>
      <c r="W257"/>
    </row>
    <row r="258" spans="2:23" outlineLevel="1">
      <c r="B258" s="167"/>
      <c r="C258" s="168"/>
      <c r="D258" s="170"/>
      <c r="E258" s="170"/>
      <c r="F258" s="171"/>
      <c r="G258"/>
      <c r="H258"/>
      <c r="I258"/>
      <c r="J258"/>
      <c r="K258"/>
      <c r="L258"/>
      <c r="M258"/>
      <c r="N258"/>
      <c r="O258"/>
      <c r="P258"/>
      <c r="Q258"/>
      <c r="R258"/>
      <c r="S258"/>
      <c r="T258"/>
      <c r="U258"/>
      <c r="V258"/>
      <c r="W258"/>
    </row>
    <row r="259" spans="2:23" outlineLevel="1">
      <c r="B259" s="167"/>
      <c r="C259" s="168"/>
      <c r="D259" s="311"/>
      <c r="E259" s="286"/>
      <c r="F259" s="171"/>
      <c r="G259"/>
      <c r="H259"/>
      <c r="I259"/>
      <c r="J259"/>
      <c r="K259"/>
      <c r="L259"/>
      <c r="M259"/>
      <c r="N259"/>
      <c r="O259"/>
      <c r="P259"/>
      <c r="Q259"/>
      <c r="R259"/>
      <c r="S259"/>
      <c r="T259"/>
      <c r="U259"/>
      <c r="V259"/>
      <c r="W259"/>
    </row>
    <row r="260" spans="2:23" outlineLevel="1">
      <c r="B260" s="268"/>
      <c r="C260" s="269"/>
      <c r="D260" s="270"/>
      <c r="E260" s="271"/>
      <c r="F260" s="269"/>
      <c r="G260"/>
      <c r="H260"/>
      <c r="I260"/>
      <c r="J260"/>
      <c r="K260"/>
      <c r="L260"/>
      <c r="M260"/>
      <c r="N260"/>
      <c r="O260"/>
      <c r="P260"/>
      <c r="Q260"/>
      <c r="R260"/>
      <c r="S260"/>
      <c r="T260"/>
      <c r="U260"/>
      <c r="V260"/>
      <c r="W260"/>
    </row>
    <row r="261" spans="2:23" outlineLevel="1">
      <c r="B261" s="167"/>
      <c r="C261" s="168"/>
      <c r="D261" s="169"/>
      <c r="E261" s="170"/>
      <c r="F261" s="171"/>
      <c r="G261"/>
      <c r="H261"/>
      <c r="I261"/>
      <c r="J261"/>
      <c r="K261"/>
      <c r="L261"/>
      <c r="M261"/>
      <c r="N261"/>
      <c r="O261"/>
      <c r="P261"/>
      <c r="Q261"/>
      <c r="R261"/>
      <c r="S261"/>
      <c r="T261"/>
      <c r="U261"/>
      <c r="V261"/>
      <c r="W261"/>
    </row>
    <row r="262" spans="2:23" outlineLevel="1">
      <c r="B262" s="167"/>
      <c r="C262" s="168"/>
      <c r="D262" s="311"/>
      <c r="E262" s="170"/>
      <c r="F262" s="171"/>
      <c r="G262"/>
      <c r="H262"/>
      <c r="I262"/>
      <c r="J262"/>
      <c r="K262"/>
      <c r="L262"/>
      <c r="M262"/>
      <c r="N262"/>
      <c r="O262"/>
      <c r="P262"/>
      <c r="Q262"/>
      <c r="R262"/>
      <c r="S262"/>
      <c r="T262"/>
      <c r="U262"/>
      <c r="V262"/>
      <c r="W262"/>
    </row>
    <row r="263" spans="2:23" outlineLevel="1">
      <c r="B263" s="167"/>
      <c r="C263" s="168"/>
      <c r="D263" s="311"/>
      <c r="E263" s="170"/>
      <c r="F263" s="171"/>
      <c r="G263"/>
      <c r="H263"/>
      <c r="I263"/>
      <c r="J263"/>
      <c r="K263"/>
      <c r="S263"/>
      <c r="T263"/>
      <c r="U263"/>
      <c r="V263"/>
      <c r="W263" s="266"/>
    </row>
    <row r="264" spans="2:23" outlineLevel="1">
      <c r="B264" s="167"/>
      <c r="C264" s="168"/>
      <c r="D264" s="311"/>
      <c r="E264" s="170"/>
      <c r="F264" s="171"/>
      <c r="G264"/>
      <c r="H264"/>
      <c r="I264"/>
      <c r="J264"/>
      <c r="K264"/>
      <c r="L264"/>
      <c r="M264"/>
      <c r="N264"/>
      <c r="O264"/>
      <c r="P264"/>
      <c r="Q264"/>
      <c r="S264"/>
      <c r="T264"/>
      <c r="U264"/>
      <c r="V264"/>
      <c r="W264"/>
    </row>
    <row r="265" spans="2:23" outlineLevel="1">
      <c r="B265" s="167"/>
      <c r="C265" s="168"/>
      <c r="D265" s="170"/>
      <c r="E265" s="170"/>
      <c r="F265" s="171"/>
      <c r="G265"/>
      <c r="H265"/>
      <c r="I265"/>
      <c r="J265"/>
      <c r="K265"/>
      <c r="L265"/>
      <c r="M265"/>
      <c r="N265"/>
      <c r="O265"/>
      <c r="P265"/>
      <c r="Q265"/>
      <c r="R265"/>
      <c r="S265"/>
      <c r="T265"/>
      <c r="U265"/>
      <c r="V265"/>
      <c r="W265"/>
    </row>
    <row r="266" spans="2:23" outlineLevel="1">
      <c r="B266" s="167"/>
      <c r="C266" s="168"/>
      <c r="D266" s="311"/>
      <c r="E266" s="286"/>
      <c r="F266" s="171"/>
      <c r="G266"/>
      <c r="H266"/>
      <c r="I266"/>
      <c r="J266"/>
      <c r="K266"/>
      <c r="L266"/>
      <c r="M266"/>
      <c r="N266"/>
      <c r="O266"/>
      <c r="P266"/>
      <c r="Q266"/>
      <c r="R266"/>
      <c r="S266"/>
      <c r="T266"/>
      <c r="U266"/>
      <c r="V266"/>
      <c r="W266"/>
    </row>
    <row r="267" spans="2:23" outlineLevel="1">
      <c r="B267" s="268"/>
      <c r="C267" s="269"/>
      <c r="D267" s="270"/>
      <c r="E267" s="271"/>
      <c r="F267" s="269"/>
      <c r="G267"/>
      <c r="H267"/>
      <c r="I267"/>
      <c r="J267"/>
      <c r="K267"/>
      <c r="L267"/>
      <c r="M267"/>
      <c r="N267"/>
      <c r="O267"/>
      <c r="P267"/>
      <c r="Q267"/>
      <c r="R267"/>
      <c r="S267"/>
      <c r="T267"/>
      <c r="U267"/>
      <c r="V267"/>
      <c r="W267"/>
    </row>
    <row r="268" spans="2:23" outlineLevel="1">
      <c r="B268" s="167"/>
      <c r="C268" s="168"/>
      <c r="D268" s="169"/>
      <c r="E268" s="170"/>
      <c r="F268" s="171"/>
      <c r="G268"/>
      <c r="H268"/>
      <c r="I268"/>
      <c r="J268"/>
      <c r="K268"/>
      <c r="L268"/>
      <c r="M268"/>
      <c r="N268"/>
      <c r="O268"/>
      <c r="P268"/>
      <c r="Q268"/>
      <c r="R268"/>
      <c r="S268"/>
      <c r="T268"/>
      <c r="U268"/>
      <c r="V268"/>
      <c r="W268"/>
    </row>
    <row r="269" spans="2:23" outlineLevel="1">
      <c r="B269" s="167"/>
      <c r="C269" s="168"/>
      <c r="D269" s="311"/>
      <c r="E269" s="170"/>
      <c r="F269" s="171"/>
      <c r="G269"/>
      <c r="H269"/>
      <c r="I269"/>
      <c r="J269"/>
      <c r="K269"/>
      <c r="L269"/>
      <c r="M269"/>
      <c r="N269"/>
      <c r="O269"/>
      <c r="P269"/>
      <c r="Q269"/>
      <c r="R269"/>
      <c r="S269"/>
      <c r="T269"/>
      <c r="U269"/>
      <c r="V269"/>
      <c r="W269"/>
    </row>
    <row r="270" spans="2:23" outlineLevel="1">
      <c r="B270" s="167"/>
      <c r="C270" s="168"/>
      <c r="D270" s="170"/>
      <c r="E270" s="170"/>
      <c r="F270" s="171"/>
      <c r="G270"/>
      <c r="H270"/>
      <c r="I270"/>
      <c r="J270"/>
      <c r="K270"/>
      <c r="L270"/>
      <c r="M270"/>
      <c r="N270"/>
      <c r="O270"/>
      <c r="P270"/>
      <c r="Q270"/>
      <c r="R270"/>
      <c r="S270"/>
      <c r="T270"/>
      <c r="U270"/>
      <c r="V270"/>
      <c r="W270"/>
    </row>
    <row r="271" spans="2:23" outlineLevel="1">
      <c r="B271" s="167"/>
      <c r="C271" s="168"/>
      <c r="D271" s="311"/>
      <c r="E271" s="286"/>
      <c r="F271" s="171"/>
      <c r="G271"/>
      <c r="H271"/>
      <c r="I271"/>
      <c r="J271"/>
      <c r="K271"/>
      <c r="L271"/>
      <c r="M271"/>
      <c r="N271"/>
      <c r="O271"/>
      <c r="P271"/>
      <c r="Q271"/>
      <c r="R271"/>
      <c r="S271"/>
      <c r="T271"/>
      <c r="U271"/>
      <c r="V271"/>
      <c r="W271"/>
    </row>
    <row r="272" spans="2:23" outlineLevel="1">
      <c r="B272" s="268"/>
      <c r="C272" s="269"/>
      <c r="D272" s="270"/>
      <c r="E272" s="271"/>
      <c r="F272" s="269"/>
      <c r="G272"/>
      <c r="H272"/>
      <c r="I272"/>
      <c r="J272"/>
      <c r="K272"/>
      <c r="L272"/>
      <c r="M272"/>
      <c r="N272"/>
      <c r="O272"/>
      <c r="P272"/>
      <c r="Q272"/>
      <c r="R272"/>
      <c r="S272"/>
      <c r="T272"/>
      <c r="U272"/>
      <c r="V272"/>
      <c r="W272"/>
    </row>
    <row r="273" spans="2:23" outlineLevel="1">
      <c r="B273" s="167"/>
      <c r="C273" s="168"/>
      <c r="D273" s="169"/>
      <c r="E273" s="170"/>
      <c r="F273" s="171"/>
      <c r="G273"/>
      <c r="H273"/>
      <c r="I273"/>
      <c r="J273"/>
      <c r="K273"/>
      <c r="L273"/>
      <c r="M273"/>
      <c r="N273"/>
      <c r="O273"/>
      <c r="P273"/>
      <c r="Q273"/>
      <c r="R273"/>
      <c r="S273"/>
      <c r="T273"/>
      <c r="U273"/>
      <c r="V273"/>
      <c r="W273"/>
    </row>
    <row r="274" spans="2:23" outlineLevel="1">
      <c r="B274" s="167"/>
      <c r="C274" s="168"/>
      <c r="D274" s="311"/>
      <c r="E274" s="170"/>
      <c r="F274" s="171"/>
      <c r="G274"/>
      <c r="H274"/>
      <c r="I274"/>
      <c r="J274"/>
      <c r="K274"/>
      <c r="L274"/>
      <c r="M274"/>
      <c r="N274"/>
      <c r="O274"/>
      <c r="P274"/>
      <c r="Q274"/>
      <c r="R274"/>
      <c r="S274"/>
      <c r="T274"/>
      <c r="U274"/>
      <c r="V274"/>
      <c r="W274"/>
    </row>
    <row r="275" spans="2:23" outlineLevel="1">
      <c r="B275" s="167"/>
      <c r="C275" s="168"/>
      <c r="D275" s="311"/>
      <c r="E275" s="170"/>
      <c r="F275" s="171"/>
      <c r="G275"/>
      <c r="H275"/>
      <c r="I275"/>
      <c r="J275"/>
      <c r="K275"/>
      <c r="L275"/>
      <c r="M275"/>
      <c r="N275"/>
      <c r="O275"/>
      <c r="P275"/>
      <c r="Q275"/>
      <c r="R275"/>
      <c r="S275"/>
      <c r="T275"/>
      <c r="U275"/>
      <c r="V275"/>
      <c r="W275"/>
    </row>
    <row r="276" spans="2:23" outlineLevel="1">
      <c r="B276" s="167"/>
      <c r="C276" s="168"/>
      <c r="D276" s="170"/>
      <c r="E276" s="170"/>
      <c r="F276" s="171"/>
      <c r="G276"/>
      <c r="H276"/>
      <c r="I276"/>
      <c r="J276"/>
      <c r="K276"/>
      <c r="L276"/>
      <c r="M276"/>
      <c r="N276"/>
      <c r="O276"/>
      <c r="P276"/>
      <c r="Q276"/>
      <c r="R276"/>
      <c r="S276"/>
      <c r="T276"/>
      <c r="U276"/>
      <c r="V276"/>
      <c r="W276"/>
    </row>
    <row r="277" spans="2:23" outlineLevel="1">
      <c r="B277" s="167"/>
      <c r="C277" s="168"/>
      <c r="D277" s="311"/>
      <c r="E277" s="286"/>
      <c r="F277" s="171"/>
      <c r="G277"/>
      <c r="H277"/>
      <c r="I277"/>
      <c r="J277"/>
      <c r="K277"/>
      <c r="L277"/>
      <c r="M277"/>
      <c r="N277"/>
      <c r="O277"/>
      <c r="P277"/>
      <c r="Q277"/>
      <c r="R277"/>
      <c r="S277"/>
      <c r="T277"/>
      <c r="U277"/>
      <c r="V277"/>
      <c r="W277"/>
    </row>
    <row r="278" spans="2:23" outlineLevel="1">
      <c r="B278" s="268"/>
      <c r="C278" s="269"/>
      <c r="D278" s="270"/>
      <c r="E278" s="271"/>
      <c r="F278" s="269"/>
      <c r="G278"/>
      <c r="H278"/>
      <c r="I278"/>
      <c r="J278"/>
      <c r="K278"/>
      <c r="L278"/>
      <c r="M278"/>
      <c r="N278"/>
      <c r="O278"/>
      <c r="P278"/>
      <c r="Q278"/>
      <c r="R278"/>
      <c r="S278"/>
      <c r="T278"/>
      <c r="U278"/>
      <c r="V278"/>
      <c r="W278"/>
    </row>
    <row r="279" spans="2:23" outlineLevel="1">
      <c r="B279" s="167"/>
      <c r="C279" s="168"/>
      <c r="D279" s="169"/>
      <c r="E279" s="170"/>
      <c r="F279" s="171"/>
      <c r="G279"/>
      <c r="H279"/>
      <c r="I279"/>
      <c r="J279"/>
      <c r="K279"/>
      <c r="L279"/>
      <c r="M279"/>
      <c r="N279"/>
      <c r="O279"/>
      <c r="P279"/>
      <c r="Q279"/>
      <c r="R279"/>
      <c r="S279"/>
      <c r="T279"/>
      <c r="U279"/>
      <c r="V279"/>
      <c r="W279"/>
    </row>
    <row r="280" spans="2:23" outlineLevel="1">
      <c r="B280" s="167"/>
      <c r="C280" s="168"/>
      <c r="D280" s="311"/>
      <c r="E280" s="170"/>
      <c r="F280" s="171"/>
      <c r="G280"/>
      <c r="H280"/>
      <c r="I280"/>
      <c r="J280"/>
      <c r="K280"/>
      <c r="L280"/>
      <c r="M280"/>
      <c r="N280"/>
      <c r="O280"/>
      <c r="P280"/>
      <c r="Q280"/>
      <c r="R280"/>
      <c r="S280"/>
      <c r="T280"/>
      <c r="U280"/>
      <c r="V280"/>
      <c r="W280"/>
    </row>
    <row r="281" spans="2:23" outlineLevel="1">
      <c r="B281" s="167"/>
      <c r="C281" s="168"/>
      <c r="D281" s="170"/>
      <c r="E281" s="170"/>
      <c r="F281" s="171"/>
      <c r="G281"/>
      <c r="H281"/>
      <c r="I281"/>
      <c r="J281"/>
      <c r="K281"/>
      <c r="L281"/>
      <c r="M281"/>
      <c r="N281"/>
      <c r="O281"/>
      <c r="P281"/>
      <c r="Q281"/>
      <c r="R281"/>
      <c r="S281"/>
      <c r="T281"/>
      <c r="U281"/>
      <c r="V281"/>
      <c r="W281"/>
    </row>
    <row r="282" spans="2:23" outlineLevel="1">
      <c r="B282" s="167"/>
      <c r="C282" s="168"/>
      <c r="D282" s="311"/>
      <c r="E282" s="286"/>
      <c r="F282" s="171"/>
      <c r="G282"/>
      <c r="H282"/>
      <c r="I282"/>
      <c r="J282"/>
      <c r="K282"/>
      <c r="L282"/>
      <c r="M282"/>
      <c r="N282"/>
      <c r="O282"/>
      <c r="P282"/>
      <c r="Q282"/>
      <c r="R282"/>
      <c r="S282"/>
      <c r="T282"/>
      <c r="U282"/>
      <c r="V282"/>
      <c r="W282"/>
    </row>
    <row r="283" spans="2:23" outlineLevel="1">
      <c r="B283" s="268"/>
      <c r="C283" s="269"/>
      <c r="D283" s="270"/>
      <c r="E283" s="271"/>
      <c r="F283" s="269"/>
      <c r="G283"/>
      <c r="H283"/>
      <c r="I283"/>
      <c r="J283"/>
      <c r="K283"/>
      <c r="L283"/>
      <c r="M283"/>
      <c r="N283"/>
      <c r="O283"/>
      <c r="P283"/>
      <c r="Q283"/>
      <c r="R283"/>
      <c r="S283"/>
      <c r="T283"/>
      <c r="U283"/>
      <c r="V283"/>
      <c r="W283"/>
    </row>
    <row r="284" spans="2:23" outlineLevel="1">
      <c r="B284" s="167"/>
      <c r="C284" s="168"/>
      <c r="D284" s="169"/>
      <c r="E284" s="170"/>
      <c r="F284" s="171"/>
      <c r="G284"/>
      <c r="H284"/>
      <c r="I284"/>
      <c r="J284"/>
      <c r="K284"/>
      <c r="L284"/>
      <c r="M284"/>
      <c r="N284"/>
      <c r="O284"/>
      <c r="P284"/>
      <c r="Q284"/>
      <c r="R284"/>
      <c r="S284"/>
      <c r="T284"/>
      <c r="U284"/>
      <c r="V284"/>
      <c r="W284"/>
    </row>
    <row r="285" spans="2:23" outlineLevel="1">
      <c r="B285" s="167"/>
      <c r="C285" s="168"/>
      <c r="D285" s="311"/>
      <c r="E285" s="170"/>
      <c r="F285" s="171"/>
      <c r="G285"/>
      <c r="H285"/>
      <c r="I285"/>
      <c r="J285"/>
      <c r="K285"/>
      <c r="L285"/>
      <c r="M285"/>
      <c r="N285"/>
      <c r="O285"/>
      <c r="P285"/>
      <c r="Q285"/>
      <c r="R285"/>
      <c r="S285"/>
      <c r="T285"/>
      <c r="U285"/>
      <c r="V285"/>
      <c r="W285"/>
    </row>
    <row r="286" spans="2:23" outlineLevel="1">
      <c r="B286" s="167"/>
      <c r="C286" s="168"/>
      <c r="D286" s="170"/>
      <c r="E286" s="170"/>
      <c r="F286" s="171"/>
      <c r="G286"/>
      <c r="H286"/>
      <c r="I286"/>
      <c r="J286"/>
      <c r="K286"/>
      <c r="L286"/>
      <c r="M286"/>
      <c r="N286"/>
      <c r="O286"/>
      <c r="P286"/>
      <c r="Q286"/>
      <c r="R286"/>
      <c r="S286"/>
      <c r="T286"/>
      <c r="U286"/>
      <c r="V286"/>
      <c r="W286"/>
    </row>
    <row r="287" spans="2:23" outlineLevel="1">
      <c r="B287" s="167"/>
      <c r="C287" s="168"/>
      <c r="D287" s="311"/>
      <c r="E287" s="286"/>
      <c r="F287" s="171"/>
      <c r="G287"/>
      <c r="H287"/>
      <c r="I287"/>
      <c r="J287"/>
      <c r="K287"/>
      <c r="L287"/>
      <c r="M287"/>
      <c r="N287"/>
      <c r="O287"/>
      <c r="P287"/>
      <c r="Q287"/>
      <c r="R287"/>
      <c r="S287"/>
      <c r="T287"/>
      <c r="U287"/>
      <c r="V287"/>
      <c r="W287"/>
    </row>
    <row r="288" spans="2:23" outlineLevel="1">
      <c r="B288" s="268"/>
      <c r="C288" s="269"/>
      <c r="D288" s="270"/>
      <c r="E288" s="271"/>
      <c r="F288" s="269"/>
      <c r="G288"/>
      <c r="H288"/>
      <c r="I288"/>
      <c r="J288"/>
      <c r="K288"/>
      <c r="L288"/>
      <c r="M288"/>
      <c r="N288"/>
      <c r="O288"/>
      <c r="P288"/>
      <c r="Q288"/>
      <c r="R288"/>
      <c r="S288"/>
      <c r="T288"/>
      <c r="U288"/>
      <c r="V288"/>
      <c r="W288"/>
    </row>
    <row r="289" spans="2:23" outlineLevel="1">
      <c r="B289" s="167"/>
      <c r="C289" s="168"/>
      <c r="D289" s="169"/>
      <c r="E289" s="170"/>
      <c r="F289" s="171"/>
      <c r="G289"/>
      <c r="H289"/>
      <c r="I289"/>
      <c r="J289"/>
      <c r="K289"/>
      <c r="L289"/>
      <c r="M289"/>
      <c r="N289"/>
      <c r="O289"/>
      <c r="P289"/>
      <c r="Q289"/>
      <c r="R289"/>
      <c r="S289"/>
      <c r="T289"/>
      <c r="U289"/>
      <c r="V289"/>
      <c r="W289"/>
    </row>
    <row r="290" spans="2:23" outlineLevel="1">
      <c r="B290" s="167"/>
      <c r="C290" s="168"/>
      <c r="D290" s="311"/>
      <c r="E290" s="170"/>
      <c r="F290" s="171"/>
      <c r="G290"/>
      <c r="H290"/>
      <c r="I290"/>
      <c r="J290"/>
      <c r="K290"/>
      <c r="L290"/>
      <c r="M290"/>
      <c r="N290"/>
      <c r="O290"/>
      <c r="P290"/>
      <c r="Q290"/>
      <c r="R290"/>
      <c r="S290"/>
      <c r="T290"/>
      <c r="U290"/>
      <c r="V290"/>
      <c r="W290"/>
    </row>
    <row r="291" spans="2:23" outlineLevel="1">
      <c r="B291" s="167"/>
      <c r="C291" s="168"/>
      <c r="D291" s="170"/>
      <c r="E291" s="170"/>
      <c r="F291" s="171"/>
      <c r="G291"/>
      <c r="H291"/>
      <c r="I291"/>
      <c r="J291"/>
      <c r="K291"/>
      <c r="L291"/>
      <c r="M291"/>
      <c r="N291"/>
      <c r="O291"/>
      <c r="P291"/>
      <c r="Q291"/>
      <c r="R291"/>
      <c r="S291"/>
      <c r="T291"/>
      <c r="U291"/>
      <c r="V291"/>
      <c r="W291"/>
    </row>
    <row r="292" spans="2:23" outlineLevel="1">
      <c r="B292" s="167"/>
      <c r="C292" s="168"/>
      <c r="D292" s="311"/>
      <c r="E292" s="286"/>
      <c r="F292" s="171"/>
      <c r="G292"/>
      <c r="H292"/>
      <c r="I292"/>
      <c r="J292"/>
      <c r="K292"/>
      <c r="L292"/>
      <c r="M292"/>
      <c r="N292"/>
      <c r="O292"/>
      <c r="P292"/>
      <c r="Q292"/>
      <c r="R292"/>
      <c r="S292"/>
      <c r="T292"/>
      <c r="U292"/>
      <c r="V292"/>
      <c r="W292"/>
    </row>
    <row r="293" spans="2:23" outlineLevel="1">
      <c r="B293" s="268"/>
      <c r="C293" s="269"/>
      <c r="D293" s="270"/>
      <c r="E293" s="271"/>
      <c r="F293" s="269"/>
      <c r="G293"/>
      <c r="H293"/>
      <c r="I293"/>
      <c r="J293"/>
      <c r="K293"/>
      <c r="L293"/>
      <c r="M293"/>
      <c r="N293"/>
      <c r="O293"/>
      <c r="P293"/>
      <c r="Q293"/>
      <c r="R293"/>
      <c r="S293"/>
      <c r="T293"/>
      <c r="U293"/>
      <c r="V293"/>
      <c r="W293"/>
    </row>
    <row r="294" spans="2:23" outlineLevel="1">
      <c r="B294" s="167"/>
      <c r="C294" s="168"/>
      <c r="D294" s="170"/>
      <c r="E294" s="170"/>
      <c r="F294" s="171"/>
      <c r="G294"/>
      <c r="H294"/>
      <c r="I294"/>
      <c r="J294"/>
      <c r="K294"/>
      <c r="L294"/>
      <c r="M294"/>
      <c r="N294"/>
      <c r="O294"/>
      <c r="P294"/>
      <c r="Q294"/>
      <c r="R294"/>
      <c r="S294"/>
      <c r="T294"/>
      <c r="U294"/>
      <c r="V294"/>
      <c r="W294"/>
    </row>
    <row r="295" spans="2:23" outlineLevel="1">
      <c r="B295" s="167"/>
      <c r="C295" s="168"/>
      <c r="D295" s="311"/>
      <c r="E295" s="170"/>
      <c r="F295" s="171"/>
      <c r="G295"/>
      <c r="H295"/>
      <c r="I295"/>
      <c r="J295"/>
      <c r="K295"/>
      <c r="L295"/>
      <c r="M295"/>
      <c r="N295"/>
      <c r="O295"/>
      <c r="P295"/>
      <c r="Q295"/>
      <c r="R295"/>
      <c r="S295"/>
      <c r="T295"/>
      <c r="U295"/>
      <c r="V295"/>
      <c r="W295"/>
    </row>
    <row r="296" spans="2:23" outlineLevel="1">
      <c r="B296" s="167"/>
      <c r="C296" s="168"/>
      <c r="D296" s="170"/>
      <c r="E296" s="170"/>
      <c r="F296" s="171"/>
      <c r="G296"/>
      <c r="H296"/>
      <c r="I296"/>
      <c r="J296"/>
      <c r="K296"/>
      <c r="L296"/>
      <c r="M296"/>
      <c r="N296"/>
      <c r="O296"/>
      <c r="P296"/>
      <c r="Q296"/>
      <c r="R296"/>
      <c r="S296"/>
      <c r="T296"/>
      <c r="U296"/>
      <c r="V296"/>
      <c r="W296"/>
    </row>
    <row r="297" spans="2:23" outlineLevel="1">
      <c r="B297" s="167"/>
      <c r="C297" s="168"/>
      <c r="D297" s="311"/>
      <c r="E297" s="286"/>
      <c r="F297" s="171"/>
      <c r="G297"/>
      <c r="H297"/>
      <c r="I297"/>
      <c r="J297"/>
      <c r="K297"/>
      <c r="L297"/>
      <c r="M297"/>
      <c r="N297"/>
      <c r="O297"/>
      <c r="P297"/>
      <c r="Q297"/>
      <c r="R297"/>
      <c r="S297"/>
      <c r="T297"/>
      <c r="U297"/>
      <c r="V297"/>
      <c r="W297"/>
    </row>
    <row r="298" spans="2:23" outlineLevel="1">
      <c r="B298" s="268"/>
      <c r="C298" s="269"/>
      <c r="D298" s="270"/>
      <c r="E298" s="271"/>
      <c r="F298" s="269"/>
      <c r="G298"/>
      <c r="H298"/>
      <c r="I298"/>
      <c r="J298"/>
      <c r="K298"/>
      <c r="L298"/>
      <c r="M298"/>
      <c r="N298"/>
      <c r="O298"/>
      <c r="P298"/>
      <c r="Q298"/>
      <c r="R298"/>
      <c r="S298"/>
      <c r="T298"/>
      <c r="U298"/>
      <c r="V298"/>
      <c r="W298"/>
    </row>
    <row r="299" spans="2:23" outlineLevel="1">
      <c r="B299" s="390"/>
      <c r="C299" s="391"/>
      <c r="D299" s="413"/>
      <c r="E299" s="271"/>
      <c r="F299" s="269"/>
      <c r="G299"/>
      <c r="H299"/>
      <c r="I299"/>
      <c r="J299"/>
      <c r="K299"/>
      <c r="L299"/>
      <c r="M299"/>
      <c r="N299"/>
      <c r="O299"/>
      <c r="P299"/>
      <c r="Q299"/>
      <c r="R299"/>
      <c r="S299"/>
      <c r="T299"/>
      <c r="U299"/>
      <c r="V299"/>
      <c r="W299"/>
    </row>
    <row r="300" spans="2:23" outlineLevel="1">
      <c r="B300" s="167"/>
      <c r="C300" s="168"/>
      <c r="D300" s="170"/>
      <c r="E300" s="170"/>
      <c r="F300" s="171"/>
      <c r="G300"/>
      <c r="H300"/>
      <c r="I300"/>
      <c r="J300"/>
      <c r="K300"/>
      <c r="L300"/>
      <c r="M300"/>
      <c r="N300"/>
      <c r="O300"/>
      <c r="P300"/>
      <c r="Q300"/>
      <c r="R300"/>
      <c r="S300"/>
      <c r="T300"/>
      <c r="U300"/>
      <c r="V300"/>
      <c r="W300"/>
    </row>
    <row r="301" spans="2:23" outlineLevel="1">
      <c r="B301" s="167"/>
      <c r="C301" s="168"/>
      <c r="D301" s="311"/>
      <c r="E301" s="170"/>
      <c r="F301" s="171"/>
      <c r="G301"/>
      <c r="H301"/>
      <c r="I301"/>
      <c r="J301"/>
      <c r="K301"/>
      <c r="L301"/>
      <c r="M301"/>
      <c r="N301"/>
      <c r="O301"/>
      <c r="P301"/>
      <c r="Q301"/>
      <c r="R301"/>
      <c r="S301"/>
      <c r="T301"/>
      <c r="U301"/>
      <c r="V301"/>
      <c r="W301"/>
    </row>
    <row r="302" spans="2:23" outlineLevel="1">
      <c r="B302" s="167"/>
      <c r="C302" s="168"/>
      <c r="D302" s="170"/>
      <c r="E302" s="170"/>
      <c r="F302" s="171"/>
      <c r="G302"/>
      <c r="H302"/>
      <c r="I302"/>
      <c r="J302"/>
      <c r="K302"/>
      <c r="L302"/>
      <c r="M302"/>
      <c r="N302"/>
      <c r="O302"/>
      <c r="P302"/>
      <c r="Q302"/>
      <c r="R302"/>
      <c r="S302"/>
      <c r="T302"/>
      <c r="U302"/>
      <c r="V302"/>
      <c r="W302"/>
    </row>
    <row r="303" spans="2:23" outlineLevel="1">
      <c r="B303" s="167"/>
      <c r="C303" s="168"/>
      <c r="D303" s="311"/>
      <c r="E303" s="286"/>
      <c r="F303" s="171"/>
      <c r="G303"/>
      <c r="H303"/>
      <c r="I303"/>
      <c r="J303"/>
      <c r="K303"/>
      <c r="L303"/>
      <c r="M303"/>
      <c r="N303"/>
      <c r="O303"/>
      <c r="P303"/>
      <c r="Q303"/>
      <c r="R303"/>
      <c r="S303"/>
      <c r="T303"/>
      <c r="U303"/>
      <c r="V303"/>
      <c r="W303"/>
    </row>
    <row r="304" spans="2:23" outlineLevel="1">
      <c r="B304" s="268"/>
      <c r="C304" s="269"/>
      <c r="D304" s="270"/>
      <c r="E304" s="271"/>
      <c r="F304" s="269"/>
      <c r="G304"/>
      <c r="H304"/>
      <c r="I304"/>
      <c r="J304"/>
      <c r="K304"/>
      <c r="L304"/>
      <c r="M304"/>
      <c r="N304"/>
      <c r="O304"/>
      <c r="P304"/>
      <c r="Q304"/>
      <c r="R304"/>
      <c r="S304"/>
      <c r="T304"/>
      <c r="U304"/>
      <c r="V304"/>
      <c r="W304"/>
    </row>
    <row r="305" spans="2:23" outlineLevel="1">
      <c r="B305" s="167"/>
      <c r="C305" s="168"/>
      <c r="D305" s="169"/>
      <c r="E305" s="170"/>
      <c r="F305" s="171"/>
      <c r="G305"/>
      <c r="H305"/>
      <c r="I305"/>
      <c r="J305"/>
      <c r="K305"/>
      <c r="L305"/>
      <c r="M305"/>
      <c r="N305"/>
      <c r="O305"/>
      <c r="P305"/>
      <c r="Q305"/>
      <c r="R305"/>
      <c r="S305"/>
      <c r="T305"/>
      <c r="U305"/>
      <c r="V305"/>
      <c r="W305"/>
    </row>
    <row r="306" spans="2:23" outlineLevel="1">
      <c r="B306" s="167"/>
      <c r="C306" s="168"/>
      <c r="D306" s="311"/>
      <c r="E306" s="170"/>
      <c r="F306" s="171"/>
      <c r="G306"/>
      <c r="H306"/>
      <c r="I306"/>
      <c r="J306"/>
      <c r="K306"/>
      <c r="L306"/>
      <c r="M306"/>
      <c r="N306"/>
      <c r="O306"/>
      <c r="P306"/>
      <c r="Q306"/>
      <c r="R306"/>
      <c r="S306"/>
      <c r="T306"/>
      <c r="U306"/>
      <c r="V306"/>
      <c r="W306"/>
    </row>
    <row r="307" spans="2:23" outlineLevel="1">
      <c r="B307" s="167"/>
      <c r="C307" s="168"/>
      <c r="D307" s="311"/>
      <c r="E307" s="170"/>
      <c r="F307" s="171"/>
      <c r="G307"/>
      <c r="H307"/>
      <c r="I307"/>
      <c r="J307"/>
      <c r="K307"/>
      <c r="L307"/>
      <c r="M307"/>
      <c r="N307"/>
      <c r="O307"/>
      <c r="P307"/>
      <c r="Q307"/>
      <c r="R307"/>
      <c r="S307"/>
      <c r="T307"/>
      <c r="U307"/>
      <c r="V307"/>
      <c r="W307"/>
    </row>
    <row r="308" spans="2:23" outlineLevel="1">
      <c r="B308" s="167"/>
      <c r="C308" s="168"/>
      <c r="D308" s="311"/>
      <c r="E308" s="170"/>
      <c r="F308" s="171"/>
      <c r="G308"/>
      <c r="H308"/>
      <c r="I308"/>
      <c r="J308"/>
      <c r="K308"/>
      <c r="L308"/>
      <c r="M308"/>
      <c r="N308"/>
      <c r="O308"/>
      <c r="P308"/>
      <c r="Q308"/>
      <c r="R308"/>
      <c r="S308"/>
      <c r="T308"/>
      <c r="U308"/>
      <c r="V308"/>
      <c r="W308"/>
    </row>
    <row r="309" spans="2:23" outlineLevel="1">
      <c r="B309" s="167"/>
      <c r="C309" s="168"/>
      <c r="D309" s="311"/>
      <c r="E309" s="170"/>
      <c r="F309" s="171"/>
      <c r="G309"/>
      <c r="H309"/>
      <c r="I309"/>
      <c r="J309"/>
      <c r="K309"/>
      <c r="L309"/>
      <c r="M309"/>
      <c r="N309"/>
      <c r="O309"/>
      <c r="P309"/>
      <c r="Q309"/>
      <c r="R309"/>
      <c r="S309"/>
      <c r="T309"/>
      <c r="U309"/>
      <c r="V309"/>
      <c r="W309"/>
    </row>
    <row r="310" spans="2:23" outlineLevel="1">
      <c r="B310" s="167"/>
      <c r="C310" s="168"/>
      <c r="D310" s="311"/>
      <c r="E310" s="170"/>
      <c r="F310" s="171"/>
      <c r="G310"/>
      <c r="H310"/>
      <c r="I310"/>
      <c r="J310"/>
      <c r="K310"/>
      <c r="L310"/>
      <c r="M310"/>
      <c r="N310"/>
      <c r="O310"/>
      <c r="P310"/>
      <c r="Q310"/>
      <c r="R310"/>
      <c r="S310"/>
      <c r="T310"/>
      <c r="U310"/>
      <c r="V310"/>
      <c r="W310"/>
    </row>
    <row r="311" spans="2:23" outlineLevel="1">
      <c r="B311" s="167"/>
      <c r="C311" s="168"/>
      <c r="D311" s="311"/>
      <c r="E311" s="170"/>
      <c r="F311" s="171"/>
      <c r="G311"/>
      <c r="H311"/>
      <c r="I311"/>
      <c r="J311"/>
      <c r="K311"/>
      <c r="L311"/>
      <c r="M311"/>
      <c r="N311"/>
      <c r="O311"/>
      <c r="P311"/>
      <c r="Q311"/>
      <c r="R311"/>
      <c r="S311"/>
      <c r="T311"/>
      <c r="U311"/>
      <c r="V311"/>
      <c r="W311"/>
    </row>
    <row r="312" spans="2:23" outlineLevel="1">
      <c r="B312" s="167"/>
      <c r="C312" s="168"/>
      <c r="D312" s="170"/>
      <c r="E312" s="170"/>
      <c r="F312" s="171"/>
      <c r="G312"/>
      <c r="H312"/>
      <c r="I312"/>
      <c r="J312"/>
      <c r="K312"/>
      <c r="L312"/>
      <c r="M312"/>
      <c r="N312"/>
      <c r="O312"/>
      <c r="P312"/>
      <c r="Q312"/>
      <c r="R312"/>
      <c r="S312"/>
      <c r="T312"/>
      <c r="U312"/>
      <c r="V312"/>
      <c r="W312"/>
    </row>
    <row r="313" spans="2:23" outlineLevel="1">
      <c r="B313" s="167"/>
      <c r="C313" s="168"/>
      <c r="D313" s="311"/>
      <c r="E313" s="286"/>
      <c r="F313" s="171"/>
      <c r="G313"/>
      <c r="H313"/>
      <c r="I313"/>
      <c r="J313"/>
      <c r="K313"/>
      <c r="L313"/>
      <c r="M313"/>
      <c r="N313"/>
      <c r="O313"/>
      <c r="P313"/>
      <c r="Q313"/>
      <c r="R313"/>
      <c r="S313"/>
      <c r="T313"/>
      <c r="U313"/>
      <c r="V313"/>
      <c r="W313"/>
    </row>
    <row r="314" spans="2:23" outlineLevel="1">
      <c r="B314" s="268"/>
      <c r="C314" s="269"/>
      <c r="D314" s="270"/>
      <c r="E314" s="271"/>
      <c r="F314" s="269"/>
      <c r="G314"/>
      <c r="H314"/>
      <c r="I314"/>
      <c r="J314"/>
      <c r="K314"/>
      <c r="L314"/>
      <c r="M314"/>
      <c r="N314"/>
      <c r="O314"/>
      <c r="P314"/>
      <c r="Q314"/>
      <c r="R314"/>
      <c r="S314"/>
      <c r="T314"/>
      <c r="U314"/>
      <c r="V314"/>
      <c r="W314"/>
    </row>
    <row r="315" spans="2:23" outlineLevel="1">
      <c r="B315" s="270"/>
      <c r="C315" s="270"/>
      <c r="D315" s="270"/>
      <c r="E315" s="270"/>
      <c r="F315" s="270"/>
      <c r="G315"/>
      <c r="H315"/>
      <c r="I315"/>
      <c r="J315"/>
      <c r="K315"/>
      <c r="L315"/>
      <c r="M315"/>
      <c r="N315"/>
      <c r="O315"/>
      <c r="P315"/>
      <c r="Q315"/>
      <c r="R315"/>
      <c r="S315"/>
      <c r="T315"/>
      <c r="U315"/>
      <c r="V315"/>
      <c r="W315"/>
    </row>
    <row r="316" spans="2:23" outlineLevel="1">
      <c r="B316" s="167"/>
      <c r="C316" s="168"/>
      <c r="D316" s="169"/>
      <c r="E316" s="170"/>
      <c r="F316" s="171"/>
      <c r="G316"/>
      <c r="H316"/>
      <c r="I316"/>
      <c r="J316"/>
      <c r="K316"/>
      <c r="L316"/>
      <c r="M316"/>
      <c r="N316"/>
      <c r="O316"/>
      <c r="P316"/>
      <c r="Q316"/>
      <c r="R316"/>
      <c r="S316"/>
      <c r="T316"/>
      <c r="U316"/>
      <c r="V316"/>
      <c r="W316"/>
    </row>
    <row r="317" spans="2:23" outlineLevel="1">
      <c r="B317" s="167"/>
      <c r="C317" s="168"/>
      <c r="D317" s="169"/>
      <c r="E317" s="170"/>
      <c r="F317" s="171"/>
      <c r="G317"/>
      <c r="H317"/>
      <c r="I317"/>
      <c r="J317"/>
      <c r="K317"/>
      <c r="L317"/>
      <c r="M317"/>
      <c r="N317"/>
      <c r="O317"/>
      <c r="P317"/>
      <c r="Q317"/>
      <c r="R317"/>
      <c r="S317"/>
      <c r="T317"/>
      <c r="U317"/>
      <c r="V317"/>
      <c r="W317"/>
    </row>
    <row r="318" spans="2:23" outlineLevel="1">
      <c r="B318" s="167"/>
      <c r="C318" s="168"/>
      <c r="D318" s="169"/>
      <c r="E318" s="170"/>
      <c r="F318" s="171"/>
      <c r="G318"/>
      <c r="H318"/>
      <c r="I318"/>
      <c r="J318"/>
      <c r="K318"/>
      <c r="L318"/>
      <c r="M318"/>
      <c r="N318"/>
      <c r="O318"/>
      <c r="P318"/>
      <c r="Q318"/>
      <c r="R318"/>
      <c r="S318"/>
      <c r="T318"/>
      <c r="U318"/>
      <c r="V318"/>
      <c r="W318"/>
    </row>
    <row r="319" spans="2:23" outlineLevel="1">
      <c r="B319" s="167"/>
      <c r="C319" s="168"/>
      <c r="D319" s="169"/>
      <c r="E319" s="170"/>
      <c r="F319" s="171"/>
      <c r="G319"/>
      <c r="H319"/>
      <c r="I319"/>
      <c r="J319"/>
      <c r="K319"/>
      <c r="L319"/>
      <c r="M319"/>
      <c r="N319"/>
      <c r="O319"/>
      <c r="P319"/>
      <c r="Q319"/>
      <c r="R319"/>
      <c r="S319"/>
      <c r="T319"/>
      <c r="U319"/>
      <c r="V319"/>
      <c r="W319"/>
    </row>
    <row r="320" spans="2:23" outlineLevel="1">
      <c r="B320" s="167"/>
      <c r="C320" s="168"/>
      <c r="D320" s="169"/>
      <c r="E320" s="170"/>
      <c r="F320" s="171"/>
      <c r="G320"/>
      <c r="H320"/>
      <c r="I320"/>
      <c r="J320"/>
      <c r="K320"/>
      <c r="L320"/>
      <c r="M320"/>
      <c r="N320"/>
      <c r="O320"/>
      <c r="P320"/>
      <c r="Q320"/>
      <c r="R320"/>
      <c r="S320"/>
      <c r="T320"/>
      <c r="U320"/>
      <c r="V320"/>
      <c r="W320"/>
    </row>
    <row r="321" spans="2:23" outlineLevel="1">
      <c r="B321" s="167"/>
      <c r="C321" s="168"/>
      <c r="D321" s="170"/>
      <c r="E321" s="170"/>
      <c r="F321" s="171"/>
      <c r="G321"/>
      <c r="H321"/>
      <c r="I321"/>
      <c r="J321"/>
      <c r="K321"/>
      <c r="L321"/>
      <c r="M321"/>
      <c r="N321"/>
      <c r="O321"/>
      <c r="P321"/>
      <c r="Q321"/>
      <c r="R321"/>
      <c r="S321"/>
      <c r="T321"/>
      <c r="U321"/>
      <c r="V321"/>
      <c r="W321"/>
    </row>
    <row r="322" spans="2:23" outlineLevel="1">
      <c r="B322" s="167"/>
      <c r="C322" s="168"/>
      <c r="D322" s="169"/>
      <c r="E322" s="170"/>
      <c r="F322" s="171"/>
      <c r="G322"/>
      <c r="H322"/>
      <c r="I322"/>
      <c r="J322"/>
      <c r="K322"/>
      <c r="L322"/>
      <c r="M322"/>
      <c r="N322"/>
      <c r="O322"/>
      <c r="P322"/>
      <c r="Q322"/>
      <c r="R322"/>
      <c r="S322"/>
      <c r="T322"/>
      <c r="U322"/>
      <c r="V322"/>
      <c r="W322"/>
    </row>
    <row r="323" spans="2:23" outlineLevel="1">
      <c r="B323" s="167"/>
      <c r="C323" s="168"/>
      <c r="D323" s="169"/>
      <c r="E323" s="170"/>
      <c r="F323" s="171"/>
      <c r="G323"/>
      <c r="H323"/>
      <c r="I323"/>
      <c r="J323"/>
      <c r="K323"/>
      <c r="L323"/>
      <c r="M323"/>
      <c r="N323"/>
      <c r="O323"/>
      <c r="P323"/>
      <c r="Q323"/>
      <c r="R323"/>
      <c r="S323"/>
      <c r="T323"/>
      <c r="U323"/>
      <c r="V323"/>
      <c r="W323"/>
    </row>
    <row r="324" spans="2:23" outlineLevel="1">
      <c r="B324" s="167"/>
      <c r="C324" s="168"/>
      <c r="D324" s="169"/>
      <c r="E324" s="170"/>
      <c r="F324" s="171"/>
      <c r="G324"/>
      <c r="H324"/>
      <c r="I324"/>
      <c r="J324"/>
      <c r="K324"/>
      <c r="L324"/>
      <c r="M324"/>
      <c r="N324"/>
      <c r="O324"/>
      <c r="P324"/>
      <c r="Q324"/>
      <c r="R324"/>
      <c r="S324"/>
      <c r="T324"/>
      <c r="U324"/>
      <c r="V324"/>
      <c r="W324"/>
    </row>
    <row r="325" spans="2:23" outlineLevel="1">
      <c r="B325" s="167"/>
      <c r="C325" s="168"/>
      <c r="D325" s="169"/>
      <c r="E325" s="170"/>
      <c r="F325" s="171"/>
      <c r="G325"/>
      <c r="H325"/>
      <c r="I325"/>
      <c r="J325"/>
      <c r="K325"/>
      <c r="L325"/>
      <c r="M325"/>
      <c r="N325"/>
      <c r="O325"/>
      <c r="P325"/>
      <c r="Q325"/>
      <c r="R325"/>
      <c r="S325"/>
      <c r="T325"/>
      <c r="U325"/>
      <c r="V325"/>
      <c r="W325"/>
    </row>
    <row r="326" spans="2:23" outlineLevel="1">
      <c r="B326" s="167"/>
      <c r="C326" s="168"/>
      <c r="D326" s="169"/>
      <c r="E326" s="170"/>
      <c r="F326" s="171"/>
      <c r="G326"/>
      <c r="H326"/>
      <c r="I326"/>
      <c r="J326"/>
      <c r="K326"/>
      <c r="L326"/>
      <c r="M326"/>
      <c r="N326"/>
      <c r="O326"/>
      <c r="P326"/>
      <c r="Q326"/>
      <c r="R326"/>
      <c r="S326"/>
      <c r="T326"/>
      <c r="U326"/>
      <c r="V326"/>
      <c r="W326"/>
    </row>
    <row r="327" spans="2:23" outlineLevel="1">
      <c r="B327" s="167"/>
      <c r="C327" s="168"/>
      <c r="D327" s="169"/>
      <c r="E327" s="170"/>
      <c r="F327" s="171"/>
      <c r="G327"/>
      <c r="H327"/>
      <c r="I327"/>
      <c r="J327"/>
      <c r="K327"/>
      <c r="L327"/>
      <c r="M327"/>
      <c r="N327"/>
      <c r="O327"/>
      <c r="P327"/>
      <c r="Q327"/>
      <c r="R327"/>
      <c r="S327"/>
      <c r="T327"/>
      <c r="U327"/>
      <c r="V327"/>
      <c r="W327"/>
    </row>
    <row r="328" spans="2:23" outlineLevel="1">
      <c r="B328" s="167"/>
      <c r="C328" s="168"/>
      <c r="D328" s="169"/>
      <c r="E328" s="170"/>
      <c r="F328" s="171"/>
      <c r="G328"/>
      <c r="H328"/>
      <c r="I328"/>
      <c r="J328"/>
      <c r="K328"/>
      <c r="L328"/>
      <c r="M328"/>
      <c r="N328"/>
      <c r="O328"/>
      <c r="P328"/>
      <c r="Q328"/>
      <c r="R328"/>
      <c r="S328"/>
      <c r="T328"/>
      <c r="U328"/>
      <c r="V328"/>
      <c r="W328"/>
    </row>
    <row r="329" spans="2:23" outlineLevel="1">
      <c r="B329" s="167"/>
      <c r="C329" s="168"/>
      <c r="D329" s="169"/>
      <c r="E329" s="170"/>
      <c r="F329" s="171"/>
      <c r="G329"/>
      <c r="H329"/>
      <c r="I329"/>
      <c r="J329"/>
      <c r="K329"/>
      <c r="L329"/>
      <c r="M329"/>
      <c r="N329"/>
      <c r="O329"/>
      <c r="P329"/>
      <c r="Q329"/>
      <c r="R329"/>
      <c r="S329"/>
      <c r="T329"/>
      <c r="U329"/>
      <c r="V329"/>
      <c r="W329"/>
    </row>
    <row r="330" spans="2:23" outlineLevel="1">
      <c r="B330" s="167"/>
      <c r="C330" s="168"/>
      <c r="D330" s="169"/>
      <c r="E330" s="170"/>
      <c r="F330" s="171"/>
      <c r="G330"/>
      <c r="H330"/>
      <c r="I330"/>
      <c r="J330"/>
      <c r="K330"/>
      <c r="L330"/>
      <c r="M330"/>
      <c r="N330"/>
      <c r="O330"/>
      <c r="P330"/>
      <c r="Q330"/>
      <c r="R330"/>
      <c r="S330"/>
      <c r="T330"/>
      <c r="U330"/>
      <c r="V330"/>
      <c r="W330"/>
    </row>
    <row r="331" spans="2:23" outlineLevel="1">
      <c r="B331" s="167"/>
      <c r="C331" s="168"/>
      <c r="D331" s="169"/>
      <c r="E331" s="170"/>
      <c r="F331" s="171"/>
      <c r="G331"/>
      <c r="H331"/>
      <c r="I331"/>
      <c r="J331"/>
      <c r="K331"/>
      <c r="L331"/>
      <c r="M331"/>
      <c r="N331"/>
      <c r="O331"/>
      <c r="P331"/>
      <c r="Q331"/>
      <c r="R331"/>
      <c r="S331"/>
      <c r="T331"/>
      <c r="U331"/>
      <c r="V331"/>
      <c r="W331"/>
    </row>
    <row r="332" spans="2:23" outlineLevel="1">
      <c r="B332" s="167"/>
      <c r="C332" s="168"/>
      <c r="D332" s="169"/>
      <c r="E332" s="170"/>
      <c r="F332" s="171"/>
      <c r="G332"/>
      <c r="H332"/>
      <c r="I332"/>
      <c r="J332"/>
      <c r="K332"/>
      <c r="L332"/>
      <c r="M332"/>
      <c r="N332"/>
      <c r="O332"/>
      <c r="P332"/>
      <c r="Q332"/>
      <c r="R332"/>
      <c r="S332"/>
      <c r="T332"/>
      <c r="U332"/>
      <c r="V332"/>
      <c r="W332"/>
    </row>
    <row r="333" spans="2:23" outlineLevel="1">
      <c r="B333" s="167"/>
      <c r="C333" s="168"/>
      <c r="D333" s="169"/>
      <c r="E333" s="170"/>
      <c r="F333" s="171"/>
      <c r="G333"/>
      <c r="H333"/>
      <c r="I333"/>
      <c r="J333"/>
      <c r="K333"/>
      <c r="L333"/>
      <c r="M333"/>
      <c r="N333"/>
      <c r="O333"/>
      <c r="P333"/>
      <c r="Q333"/>
      <c r="R333"/>
      <c r="S333"/>
      <c r="T333"/>
      <c r="U333"/>
      <c r="V333"/>
      <c r="W333"/>
    </row>
    <row r="334" spans="2:23" outlineLevel="1">
      <c r="B334" s="167"/>
      <c r="C334" s="168"/>
      <c r="D334" s="169"/>
      <c r="E334" s="170"/>
      <c r="F334" s="171"/>
      <c r="G334"/>
      <c r="H334"/>
      <c r="I334"/>
      <c r="J334"/>
      <c r="K334"/>
      <c r="L334"/>
      <c r="M334"/>
      <c r="N334"/>
      <c r="O334"/>
      <c r="P334"/>
      <c r="Q334"/>
      <c r="R334"/>
      <c r="S334"/>
      <c r="T334"/>
      <c r="U334"/>
      <c r="V334"/>
      <c r="W334"/>
    </row>
    <row r="335" spans="2:23" outlineLevel="1">
      <c r="B335" s="172"/>
      <c r="C335" s="173"/>
      <c r="D335" s="174"/>
      <c r="E335" s="175"/>
      <c r="F335" s="171"/>
      <c r="G335"/>
      <c r="H335"/>
      <c r="I335"/>
      <c r="J335"/>
      <c r="K335"/>
      <c r="L335"/>
      <c r="M335"/>
      <c r="N335"/>
      <c r="O335"/>
      <c r="P335"/>
      <c r="Q335"/>
      <c r="R335"/>
      <c r="S335"/>
      <c r="T335"/>
      <c r="U335"/>
      <c r="V335"/>
      <c r="W335"/>
    </row>
    <row r="336" spans="2:23" outlineLevel="1">
      <c r="B336" s="167"/>
      <c r="C336" s="168"/>
      <c r="D336" s="169"/>
      <c r="E336" s="170"/>
      <c r="F336" s="171"/>
      <c r="G336"/>
      <c r="H336"/>
      <c r="I336"/>
      <c r="J336"/>
      <c r="K336"/>
      <c r="L336"/>
      <c r="M336"/>
      <c r="N336"/>
      <c r="O336"/>
      <c r="P336"/>
      <c r="Q336"/>
      <c r="R336"/>
      <c r="S336"/>
      <c r="T336"/>
      <c r="U336"/>
      <c r="V336"/>
      <c r="W336"/>
    </row>
    <row r="337" spans="2:23" outlineLevel="1">
      <c r="B337" s="172"/>
      <c r="C337" s="173"/>
      <c r="D337" s="174"/>
      <c r="E337" s="175"/>
      <c r="F337" s="171"/>
      <c r="G337"/>
      <c r="H337"/>
      <c r="I337"/>
      <c r="J337"/>
      <c r="K337"/>
      <c r="L337"/>
      <c r="M337"/>
      <c r="N337"/>
      <c r="O337"/>
      <c r="P337"/>
      <c r="Q337"/>
      <c r="R337"/>
      <c r="S337"/>
      <c r="T337"/>
      <c r="U337"/>
      <c r="V337"/>
      <c r="W337"/>
    </row>
    <row r="338" spans="2:23" outlineLevel="1">
      <c r="B338" s="167"/>
      <c r="C338" s="168"/>
      <c r="D338" s="169"/>
      <c r="E338" s="170"/>
      <c r="F338" s="171"/>
      <c r="G338"/>
      <c r="H338"/>
      <c r="I338"/>
      <c r="J338"/>
      <c r="K338"/>
      <c r="L338"/>
      <c r="M338"/>
      <c r="N338"/>
      <c r="O338"/>
      <c r="P338"/>
      <c r="Q338"/>
      <c r="R338"/>
      <c r="S338"/>
      <c r="T338"/>
      <c r="U338"/>
      <c r="V338"/>
      <c r="W338"/>
    </row>
    <row r="339" spans="2:23" outlineLevel="1">
      <c r="B339" s="172"/>
      <c r="C339" s="173"/>
      <c r="D339" s="174"/>
      <c r="E339" s="175"/>
      <c r="F339" s="171"/>
      <c r="G339"/>
      <c r="H339"/>
      <c r="I339"/>
      <c r="J339"/>
      <c r="K339"/>
      <c r="L339"/>
      <c r="M339"/>
      <c r="N339"/>
      <c r="O339"/>
      <c r="P339"/>
      <c r="Q339"/>
      <c r="R339"/>
      <c r="S339"/>
      <c r="T339"/>
      <c r="U339"/>
      <c r="V339"/>
      <c r="W339"/>
    </row>
    <row r="340" spans="2:23" outlineLevel="1">
      <c r="B340" s="167"/>
      <c r="C340" s="168"/>
      <c r="D340" s="169"/>
      <c r="E340" s="170"/>
      <c r="F340" s="171"/>
      <c r="G340"/>
      <c r="H340"/>
      <c r="I340"/>
      <c r="J340"/>
      <c r="K340"/>
      <c r="L340"/>
      <c r="M340"/>
      <c r="N340"/>
      <c r="O340"/>
      <c r="P340"/>
      <c r="Q340"/>
      <c r="R340"/>
      <c r="S340"/>
      <c r="T340"/>
      <c r="U340"/>
      <c r="V340"/>
      <c r="W340"/>
    </row>
    <row r="341" spans="2:23" outlineLevel="1">
      <c r="B341" s="172"/>
      <c r="C341" s="173"/>
      <c r="D341" s="174"/>
      <c r="E341" s="175"/>
      <c r="F341" s="171"/>
      <c r="G341"/>
      <c r="H341"/>
      <c r="I341"/>
      <c r="J341"/>
      <c r="K341"/>
      <c r="L341"/>
      <c r="M341"/>
      <c r="N341"/>
      <c r="O341"/>
      <c r="P341"/>
      <c r="Q341"/>
      <c r="R341"/>
      <c r="S341"/>
      <c r="T341"/>
      <c r="U341"/>
      <c r="V341"/>
      <c r="W341"/>
    </row>
    <row r="342" spans="2:23" outlineLevel="1">
      <c r="B342" s="167"/>
      <c r="C342" s="168"/>
      <c r="D342" s="169"/>
      <c r="E342" s="170"/>
      <c r="F342" s="171"/>
      <c r="G342"/>
      <c r="H342"/>
      <c r="I342"/>
      <c r="J342"/>
      <c r="K342"/>
      <c r="L342"/>
      <c r="M342"/>
      <c r="N342"/>
      <c r="O342"/>
      <c r="P342"/>
      <c r="Q342"/>
      <c r="R342"/>
      <c r="S342"/>
      <c r="T342"/>
      <c r="U342"/>
      <c r="V342"/>
      <c r="W342"/>
    </row>
    <row r="343" spans="2:23" outlineLevel="1">
      <c r="B343" s="172"/>
      <c r="C343" s="173"/>
      <c r="D343" s="174"/>
      <c r="E343" s="175"/>
      <c r="F343" s="171"/>
      <c r="G343"/>
      <c r="H343"/>
      <c r="I343"/>
      <c r="J343"/>
      <c r="K343"/>
      <c r="L343"/>
      <c r="M343"/>
      <c r="N343"/>
      <c r="O343"/>
      <c r="P343"/>
      <c r="Q343"/>
      <c r="R343"/>
      <c r="S343"/>
      <c r="T343"/>
      <c r="U343"/>
      <c r="V343"/>
      <c r="W343"/>
    </row>
    <row r="344" spans="2:23" outlineLevel="1">
      <c r="B344" s="167"/>
      <c r="C344" s="168"/>
      <c r="D344" s="169"/>
      <c r="E344" s="170"/>
      <c r="F344" s="171"/>
      <c r="G344"/>
      <c r="H344"/>
      <c r="I344"/>
      <c r="J344"/>
      <c r="K344"/>
      <c r="L344"/>
      <c r="M344"/>
      <c r="N344"/>
      <c r="O344"/>
      <c r="P344"/>
      <c r="Q344"/>
      <c r="R344"/>
      <c r="S344"/>
      <c r="T344"/>
      <c r="U344"/>
      <c r="V344"/>
      <c r="W344"/>
    </row>
    <row r="345" spans="2:23" outlineLevel="1">
      <c r="B345" s="172"/>
      <c r="C345" s="173"/>
      <c r="D345" s="174"/>
      <c r="E345" s="175"/>
      <c r="F345" s="171"/>
      <c r="G345"/>
      <c r="H345"/>
      <c r="I345"/>
      <c r="J345"/>
      <c r="K345"/>
      <c r="L345"/>
      <c r="M345"/>
      <c r="N345"/>
      <c r="O345"/>
      <c r="P345"/>
      <c r="Q345"/>
      <c r="R345"/>
      <c r="S345"/>
      <c r="T345"/>
      <c r="U345"/>
      <c r="V345"/>
      <c r="W345"/>
    </row>
    <row r="346" spans="2:23" outlineLevel="1">
      <c r="B346" s="167"/>
      <c r="C346" s="168"/>
      <c r="D346" s="169"/>
      <c r="E346" s="170"/>
      <c r="F346" s="171"/>
      <c r="G346"/>
      <c r="H346"/>
      <c r="I346"/>
      <c r="J346"/>
      <c r="K346"/>
      <c r="L346"/>
      <c r="M346"/>
      <c r="N346"/>
      <c r="O346"/>
      <c r="P346"/>
      <c r="Q346"/>
      <c r="R346"/>
      <c r="S346"/>
      <c r="T346"/>
      <c r="U346"/>
      <c r="V346"/>
      <c r="W346"/>
    </row>
    <row r="347" spans="2:23" outlineLevel="1">
      <c r="B347" s="172"/>
      <c r="C347" s="173"/>
      <c r="D347" s="174"/>
      <c r="E347" s="175"/>
      <c r="F347" s="171"/>
      <c r="G347"/>
      <c r="H347"/>
      <c r="I347"/>
      <c r="J347"/>
      <c r="K347"/>
      <c r="L347"/>
      <c r="M347"/>
      <c r="N347"/>
      <c r="O347"/>
      <c r="P347"/>
      <c r="Q347"/>
      <c r="R347"/>
      <c r="S347"/>
      <c r="T347"/>
      <c r="U347"/>
      <c r="V347"/>
      <c r="W347"/>
    </row>
    <row r="348" spans="2:23" outlineLevel="1">
      <c r="B348" s="167"/>
      <c r="C348" s="168"/>
      <c r="D348" s="169"/>
      <c r="E348" s="170"/>
      <c r="F348" s="171"/>
      <c r="G348"/>
      <c r="H348"/>
      <c r="I348"/>
      <c r="J348"/>
      <c r="K348"/>
      <c r="L348"/>
      <c r="M348"/>
      <c r="N348"/>
      <c r="O348"/>
      <c r="P348"/>
      <c r="Q348"/>
      <c r="R348"/>
      <c r="S348"/>
      <c r="T348"/>
      <c r="U348"/>
      <c r="V348"/>
      <c r="W348"/>
    </row>
    <row r="349" spans="2:23" outlineLevel="1">
      <c r="B349" s="172"/>
      <c r="C349" s="173"/>
      <c r="D349" s="174"/>
      <c r="E349" s="175"/>
      <c r="F349" s="171"/>
      <c r="G349"/>
      <c r="H349"/>
      <c r="I349"/>
      <c r="J349"/>
      <c r="K349"/>
      <c r="L349"/>
      <c r="M349"/>
      <c r="N349"/>
      <c r="O349"/>
      <c r="P349"/>
      <c r="Q349"/>
      <c r="R349"/>
      <c r="S349"/>
      <c r="T349"/>
      <c r="U349"/>
      <c r="V349"/>
      <c r="W349"/>
    </row>
    <row r="350" spans="2:23" outlineLevel="1">
      <c r="B350" s="167"/>
      <c r="C350" s="168"/>
      <c r="D350" s="169"/>
      <c r="E350" s="170"/>
      <c r="F350" s="171"/>
      <c r="G350"/>
      <c r="H350"/>
      <c r="I350"/>
      <c r="J350"/>
      <c r="K350"/>
      <c r="L350"/>
      <c r="M350"/>
      <c r="N350"/>
      <c r="O350"/>
      <c r="P350"/>
      <c r="Q350"/>
      <c r="R350"/>
      <c r="S350"/>
      <c r="T350"/>
      <c r="U350"/>
      <c r="V350"/>
      <c r="W350"/>
    </row>
    <row r="351" spans="2:23" outlineLevel="1">
      <c r="B351" s="172"/>
      <c r="C351" s="173"/>
      <c r="D351" s="174"/>
      <c r="E351" s="175"/>
      <c r="F351" s="171"/>
      <c r="G351"/>
      <c r="H351"/>
      <c r="I351"/>
      <c r="J351"/>
      <c r="K351"/>
      <c r="L351"/>
      <c r="M351"/>
      <c r="N351"/>
      <c r="O351"/>
      <c r="P351"/>
      <c r="Q351"/>
      <c r="R351"/>
      <c r="S351"/>
      <c r="T351"/>
      <c r="U351"/>
      <c r="V351"/>
      <c r="W351"/>
    </row>
    <row r="352" spans="2:23" outlineLevel="1">
      <c r="B352" s="167"/>
      <c r="C352" s="168"/>
      <c r="D352" s="169"/>
      <c r="E352" s="170"/>
      <c r="F352" s="171"/>
      <c r="G352"/>
      <c r="H352"/>
      <c r="I352"/>
      <c r="J352"/>
      <c r="K352"/>
      <c r="L352"/>
      <c r="M352"/>
      <c r="N352"/>
      <c r="O352"/>
      <c r="P352"/>
      <c r="Q352"/>
      <c r="R352"/>
      <c r="S352"/>
      <c r="T352"/>
      <c r="U352"/>
      <c r="V352"/>
      <c r="W352"/>
    </row>
    <row r="353" spans="2:23" outlineLevel="1">
      <c r="B353" s="172"/>
      <c r="C353" s="173"/>
      <c r="D353" s="174"/>
      <c r="E353" s="175"/>
      <c r="F353" s="171"/>
      <c r="G353"/>
      <c r="H353"/>
      <c r="I353"/>
      <c r="J353"/>
      <c r="K353"/>
      <c r="L353"/>
      <c r="M353"/>
      <c r="N353"/>
      <c r="O353"/>
      <c r="P353"/>
      <c r="Q353"/>
      <c r="R353"/>
      <c r="S353"/>
      <c r="T353"/>
      <c r="U353"/>
      <c r="V353"/>
      <c r="W353"/>
    </row>
    <row r="354" spans="2:23" outlineLevel="1">
      <c r="B354" s="167"/>
      <c r="C354" s="168"/>
      <c r="D354" s="169"/>
      <c r="E354" s="170"/>
      <c r="F354" s="171"/>
      <c r="G354"/>
      <c r="H354"/>
      <c r="I354"/>
      <c r="J354"/>
      <c r="K354"/>
      <c r="L354"/>
      <c r="M354"/>
      <c r="N354"/>
      <c r="O354"/>
      <c r="P354"/>
      <c r="Q354"/>
      <c r="R354"/>
      <c r="S354"/>
      <c r="T354"/>
      <c r="U354"/>
      <c r="V354"/>
      <c r="W354"/>
    </row>
    <row r="355" spans="2:23" outlineLevel="1">
      <c r="B355" s="172"/>
      <c r="C355" s="173"/>
      <c r="D355" s="174"/>
      <c r="E355" s="175"/>
      <c r="F355" s="171"/>
      <c r="G355"/>
      <c r="H355"/>
      <c r="I355"/>
      <c r="J355"/>
      <c r="K355"/>
      <c r="L355"/>
      <c r="M355"/>
      <c r="N355"/>
      <c r="O355"/>
      <c r="P355"/>
      <c r="Q355"/>
      <c r="R355"/>
      <c r="S355"/>
      <c r="T355"/>
      <c r="U355"/>
      <c r="V355"/>
      <c r="W355"/>
    </row>
    <row r="356" spans="2:23" outlineLevel="1">
      <c r="B356" s="167"/>
      <c r="C356" s="168"/>
      <c r="D356" s="169"/>
      <c r="E356" s="170"/>
      <c r="F356" s="171"/>
      <c r="G356"/>
      <c r="H356"/>
      <c r="I356"/>
      <c r="J356"/>
      <c r="K356"/>
      <c r="L356"/>
      <c r="M356"/>
      <c r="N356"/>
      <c r="O356"/>
      <c r="P356"/>
      <c r="Q356"/>
      <c r="R356"/>
      <c r="S356"/>
      <c r="T356"/>
      <c r="U356"/>
      <c r="V356"/>
      <c r="W356"/>
    </row>
    <row r="357" spans="2:23" outlineLevel="1">
      <c r="B357" s="172"/>
      <c r="C357" s="173"/>
      <c r="D357" s="174"/>
      <c r="E357" s="175"/>
      <c r="F357" s="171"/>
      <c r="G357"/>
      <c r="H357"/>
      <c r="I357"/>
      <c r="J357"/>
      <c r="K357"/>
      <c r="L357"/>
      <c r="M357"/>
      <c r="N357"/>
      <c r="O357"/>
      <c r="P357"/>
      <c r="Q357"/>
      <c r="R357"/>
      <c r="S357"/>
      <c r="T357"/>
      <c r="U357"/>
      <c r="V357"/>
      <c r="W357"/>
    </row>
    <row r="358" spans="2:23" outlineLevel="1">
      <c r="B358" s="167"/>
      <c r="C358" s="168"/>
      <c r="D358" s="169"/>
      <c r="E358" s="170"/>
      <c r="F358" s="171"/>
      <c r="G358"/>
      <c r="H358"/>
      <c r="I358"/>
      <c r="J358"/>
      <c r="K358"/>
      <c r="L358"/>
      <c r="M358"/>
      <c r="N358"/>
      <c r="O358"/>
      <c r="P358"/>
      <c r="Q358"/>
      <c r="R358"/>
      <c r="S358"/>
      <c r="T358"/>
      <c r="U358"/>
      <c r="V358"/>
      <c r="W358"/>
    </row>
    <row r="359" spans="2:23" outlineLevel="1">
      <c r="B359" s="172"/>
      <c r="C359" s="173"/>
      <c r="D359" s="174"/>
      <c r="E359" s="175"/>
      <c r="F359" s="171"/>
      <c r="G359"/>
      <c r="H359"/>
      <c r="I359"/>
      <c r="J359"/>
      <c r="K359"/>
      <c r="L359"/>
      <c r="M359"/>
      <c r="N359"/>
      <c r="O359"/>
      <c r="P359"/>
      <c r="Q359"/>
      <c r="R359"/>
      <c r="S359"/>
      <c r="T359"/>
      <c r="U359"/>
      <c r="V359"/>
      <c r="W359"/>
    </row>
    <row r="360" spans="2:23" outlineLevel="1">
      <c r="B360" s="167"/>
      <c r="C360" s="168"/>
      <c r="D360" s="169"/>
      <c r="E360" s="170"/>
      <c r="F360" s="171"/>
      <c r="G360"/>
      <c r="H360"/>
      <c r="I360"/>
      <c r="J360"/>
      <c r="K360"/>
      <c r="L360"/>
      <c r="M360"/>
      <c r="N360"/>
      <c r="O360"/>
      <c r="P360"/>
      <c r="Q360"/>
      <c r="R360"/>
      <c r="S360"/>
      <c r="T360"/>
      <c r="U360"/>
      <c r="V360"/>
      <c r="W360"/>
    </row>
    <row r="361" spans="2:23" outlineLevel="1">
      <c r="B361" s="172"/>
      <c r="C361" s="173"/>
      <c r="D361" s="174"/>
      <c r="E361" s="175"/>
      <c r="F361" s="171"/>
      <c r="G361"/>
      <c r="H361"/>
      <c r="I361"/>
      <c r="J361"/>
      <c r="K361"/>
      <c r="L361"/>
      <c r="M361"/>
      <c r="N361"/>
      <c r="O361"/>
      <c r="P361"/>
      <c r="Q361"/>
      <c r="R361"/>
      <c r="S361"/>
      <c r="T361"/>
      <c r="U361"/>
      <c r="V361"/>
      <c r="W361"/>
    </row>
    <row r="362" spans="2:23" outlineLevel="1">
      <c r="B362" s="167"/>
      <c r="C362" s="168"/>
      <c r="D362" s="169"/>
      <c r="E362" s="170"/>
      <c r="F362" s="171"/>
      <c r="G362"/>
      <c r="H362"/>
      <c r="I362"/>
      <c r="J362"/>
      <c r="K362"/>
      <c r="L362"/>
      <c r="M362"/>
      <c r="N362"/>
      <c r="O362"/>
      <c r="P362"/>
      <c r="Q362"/>
      <c r="R362"/>
      <c r="S362"/>
      <c r="T362"/>
      <c r="U362"/>
      <c r="V362"/>
      <c r="W362"/>
    </row>
    <row r="363" spans="2:23" outlineLevel="1">
      <c r="B363" s="172"/>
      <c r="C363" s="173"/>
      <c r="D363" s="174"/>
      <c r="E363" s="175"/>
      <c r="F363" s="171"/>
      <c r="G363"/>
      <c r="H363"/>
      <c r="I363"/>
      <c r="J363"/>
      <c r="K363"/>
      <c r="L363"/>
      <c r="M363"/>
      <c r="N363"/>
      <c r="O363"/>
      <c r="P363"/>
      <c r="Q363"/>
      <c r="R363"/>
      <c r="S363"/>
      <c r="T363"/>
      <c r="U363"/>
      <c r="V363"/>
      <c r="W363"/>
    </row>
    <row r="364" spans="2:23" outlineLevel="1">
      <c r="B364" s="167"/>
      <c r="C364" s="168"/>
      <c r="D364" s="169"/>
      <c r="E364" s="170"/>
      <c r="F364" s="171"/>
      <c r="G364"/>
      <c r="H364"/>
      <c r="I364"/>
      <c r="J364"/>
      <c r="K364"/>
      <c r="L364"/>
      <c r="M364"/>
      <c r="N364"/>
      <c r="O364"/>
      <c r="P364"/>
      <c r="Q364"/>
      <c r="R364"/>
      <c r="S364"/>
      <c r="T364"/>
      <c r="U364"/>
      <c r="V364"/>
      <c r="W364"/>
    </row>
    <row r="365" spans="2:23" outlineLevel="1">
      <c r="B365" s="172"/>
      <c r="C365" s="173"/>
      <c r="D365" s="174"/>
      <c r="E365" s="175"/>
      <c r="F365" s="171"/>
      <c r="G365"/>
      <c r="H365"/>
      <c r="I365"/>
      <c r="J365"/>
      <c r="K365"/>
      <c r="L365"/>
      <c r="M365"/>
      <c r="N365"/>
      <c r="O365"/>
      <c r="P365"/>
      <c r="Q365"/>
      <c r="R365"/>
      <c r="S365"/>
      <c r="T365"/>
      <c r="U365"/>
      <c r="V365"/>
      <c r="W365"/>
    </row>
    <row r="366" spans="2:23" outlineLevel="1">
      <c r="B366" s="167"/>
      <c r="C366" s="168"/>
      <c r="D366" s="169"/>
      <c r="E366" s="170"/>
      <c r="F366" s="171"/>
      <c r="G366"/>
      <c r="H366"/>
      <c r="I366"/>
      <c r="J366"/>
      <c r="K366"/>
      <c r="L366"/>
      <c r="M366"/>
      <c r="N366"/>
      <c r="O366"/>
      <c r="P366"/>
      <c r="Q366"/>
      <c r="R366"/>
      <c r="S366"/>
      <c r="T366"/>
      <c r="U366"/>
      <c r="V366"/>
      <c r="W366"/>
    </row>
    <row r="367" spans="2:23" outlineLevel="1">
      <c r="B367" s="172"/>
      <c r="C367" s="173"/>
      <c r="D367" s="174"/>
      <c r="E367" s="175"/>
      <c r="F367" s="171"/>
      <c r="G367"/>
      <c r="H367"/>
      <c r="I367"/>
      <c r="J367"/>
      <c r="K367"/>
      <c r="L367"/>
      <c r="M367"/>
      <c r="N367"/>
      <c r="O367"/>
      <c r="P367"/>
      <c r="Q367"/>
      <c r="R367"/>
      <c r="S367"/>
      <c r="T367"/>
      <c r="U367"/>
      <c r="V367"/>
      <c r="W367"/>
    </row>
    <row r="368" spans="2:23" outlineLevel="1">
      <c r="B368" s="167"/>
      <c r="C368" s="168"/>
      <c r="D368" s="169"/>
      <c r="E368" s="170"/>
      <c r="F368" s="171"/>
      <c r="G368"/>
      <c r="H368"/>
      <c r="I368"/>
      <c r="J368"/>
      <c r="K368"/>
      <c r="L368"/>
      <c r="M368"/>
      <c r="N368"/>
      <c r="O368"/>
      <c r="P368"/>
      <c r="Q368"/>
      <c r="R368"/>
      <c r="S368"/>
      <c r="T368"/>
      <c r="U368"/>
      <c r="V368"/>
      <c r="W368"/>
    </row>
    <row r="369" spans="2:23" outlineLevel="1">
      <c r="B369" s="172"/>
      <c r="C369" s="173"/>
      <c r="D369" s="174"/>
      <c r="E369" s="175"/>
      <c r="F369" s="171"/>
      <c r="G369"/>
      <c r="H369"/>
      <c r="I369"/>
      <c r="J369"/>
      <c r="K369"/>
      <c r="L369"/>
      <c r="M369"/>
      <c r="N369"/>
      <c r="O369"/>
      <c r="P369"/>
      <c r="Q369"/>
      <c r="R369"/>
      <c r="S369"/>
      <c r="T369"/>
      <c r="U369"/>
      <c r="V369"/>
      <c r="W369"/>
    </row>
    <row r="370" spans="2:23" outlineLevel="1">
      <c r="B370" s="167"/>
      <c r="C370" s="168"/>
      <c r="D370" s="169"/>
      <c r="E370" s="170"/>
      <c r="F370" s="171"/>
      <c r="G370"/>
      <c r="H370"/>
      <c r="I370"/>
      <c r="J370"/>
      <c r="K370"/>
      <c r="L370"/>
      <c r="M370"/>
      <c r="N370"/>
      <c r="O370"/>
      <c r="P370"/>
      <c r="Q370"/>
      <c r="R370"/>
      <c r="S370"/>
      <c r="T370"/>
      <c r="U370"/>
      <c r="V370"/>
      <c r="W370"/>
    </row>
    <row r="371" spans="2:23" outlineLevel="1">
      <c r="B371" s="172"/>
      <c r="C371" s="173"/>
      <c r="D371" s="174"/>
      <c r="E371" s="175"/>
      <c r="F371" s="171"/>
      <c r="G371"/>
      <c r="H371"/>
      <c r="I371"/>
      <c r="J371"/>
      <c r="K371"/>
      <c r="L371"/>
      <c r="M371"/>
      <c r="N371"/>
      <c r="O371"/>
      <c r="P371"/>
      <c r="Q371"/>
      <c r="R371"/>
      <c r="S371"/>
      <c r="T371"/>
      <c r="U371"/>
      <c r="V371"/>
      <c r="W371"/>
    </row>
    <row r="372" spans="2:23" outlineLevel="1">
      <c r="B372" s="167"/>
      <c r="C372" s="168"/>
      <c r="D372" s="169"/>
      <c r="E372" s="170"/>
      <c r="F372" s="171"/>
      <c r="G372"/>
      <c r="H372"/>
      <c r="I372"/>
      <c r="J372"/>
      <c r="K372"/>
      <c r="L372"/>
      <c r="M372"/>
      <c r="N372"/>
      <c r="O372"/>
      <c r="P372"/>
      <c r="Q372"/>
      <c r="R372"/>
      <c r="S372"/>
      <c r="T372"/>
      <c r="U372"/>
      <c r="V372"/>
      <c r="W372"/>
    </row>
    <row r="373" spans="2:23" outlineLevel="1">
      <c r="B373" s="172"/>
      <c r="C373" s="173"/>
      <c r="D373" s="174"/>
      <c r="E373" s="175"/>
      <c r="F373" s="171"/>
      <c r="G373"/>
      <c r="H373"/>
      <c r="I373"/>
      <c r="J373"/>
      <c r="K373"/>
      <c r="L373"/>
      <c r="M373"/>
      <c r="N373"/>
      <c r="O373"/>
      <c r="P373"/>
      <c r="Q373"/>
      <c r="R373"/>
      <c r="S373"/>
      <c r="T373"/>
      <c r="U373"/>
      <c r="V373"/>
      <c r="W373"/>
    </row>
    <row r="374" spans="2:23" outlineLevel="1">
      <c r="B374" s="167"/>
      <c r="C374" s="168"/>
      <c r="D374" s="169"/>
      <c r="E374" s="170"/>
      <c r="F374" s="171"/>
      <c r="G374"/>
      <c r="H374"/>
      <c r="I374"/>
      <c r="J374"/>
      <c r="K374"/>
      <c r="L374"/>
      <c r="M374"/>
      <c r="N374"/>
      <c r="O374"/>
      <c r="P374"/>
      <c r="Q374"/>
      <c r="R374"/>
      <c r="S374"/>
      <c r="T374"/>
      <c r="U374"/>
      <c r="V374"/>
      <c r="W374"/>
    </row>
    <row r="375" spans="2:23" outlineLevel="1">
      <c r="B375" s="172"/>
      <c r="C375" s="173"/>
      <c r="D375" s="174"/>
      <c r="E375" s="175"/>
      <c r="F375" s="171"/>
      <c r="G375"/>
      <c r="H375"/>
      <c r="I375"/>
      <c r="J375"/>
      <c r="K375"/>
      <c r="L375"/>
      <c r="M375"/>
      <c r="N375"/>
      <c r="O375"/>
      <c r="P375"/>
      <c r="Q375"/>
      <c r="R375"/>
      <c r="S375"/>
      <c r="T375"/>
      <c r="U375"/>
      <c r="V375"/>
      <c r="W375"/>
    </row>
    <row r="376" spans="2:23" outlineLevel="1">
      <c r="B376" s="167"/>
      <c r="C376" s="168"/>
      <c r="D376" s="169"/>
      <c r="E376" s="170"/>
      <c r="F376" s="171"/>
      <c r="G376"/>
      <c r="H376"/>
      <c r="I376"/>
      <c r="J376"/>
      <c r="K376"/>
      <c r="L376"/>
      <c r="M376"/>
      <c r="N376"/>
      <c r="O376"/>
      <c r="P376"/>
      <c r="Q376"/>
      <c r="R376"/>
      <c r="S376"/>
      <c r="T376"/>
      <c r="U376"/>
      <c r="V376"/>
      <c r="W376"/>
    </row>
    <row r="377" spans="2:23" outlineLevel="1">
      <c r="B377" s="172"/>
      <c r="C377" s="173"/>
      <c r="D377" s="174"/>
      <c r="E377" s="175"/>
      <c r="F377" s="171"/>
      <c r="G377"/>
      <c r="H377"/>
      <c r="I377"/>
      <c r="J377"/>
      <c r="K377"/>
      <c r="L377"/>
      <c r="M377"/>
      <c r="N377"/>
      <c r="O377"/>
      <c r="P377"/>
      <c r="Q377"/>
      <c r="R377"/>
      <c r="S377"/>
      <c r="T377"/>
      <c r="U377"/>
      <c r="V377"/>
      <c r="W377"/>
    </row>
    <row r="378" spans="2:23" outlineLevel="1">
      <c r="B378" s="167"/>
      <c r="C378" s="168"/>
      <c r="D378" s="169"/>
      <c r="E378" s="170"/>
      <c r="F378" s="171"/>
      <c r="G378"/>
      <c r="H378"/>
      <c r="I378"/>
      <c r="J378"/>
      <c r="K378"/>
      <c r="L378"/>
      <c r="M378"/>
      <c r="N378"/>
      <c r="O378"/>
      <c r="P378"/>
      <c r="Q378"/>
      <c r="R378"/>
      <c r="S378"/>
      <c r="T378"/>
      <c r="U378"/>
      <c r="V378"/>
      <c r="W378"/>
    </row>
    <row r="379" spans="2:23" outlineLevel="1">
      <c r="B379" s="172"/>
      <c r="C379" s="173"/>
      <c r="D379" s="174"/>
      <c r="E379" s="175"/>
      <c r="F379" s="171"/>
      <c r="G379"/>
      <c r="H379"/>
      <c r="I379"/>
      <c r="J379"/>
      <c r="K379"/>
      <c r="L379"/>
      <c r="M379"/>
      <c r="N379"/>
      <c r="O379"/>
      <c r="P379"/>
      <c r="Q379"/>
      <c r="R379"/>
      <c r="S379"/>
      <c r="T379"/>
      <c r="U379"/>
      <c r="V379"/>
      <c r="W379"/>
    </row>
    <row r="380" spans="2:23" outlineLevel="1">
      <c r="B380" s="167"/>
      <c r="C380" s="168"/>
      <c r="D380" s="169"/>
      <c r="E380" s="170"/>
      <c r="F380" s="171"/>
      <c r="G380"/>
      <c r="H380"/>
      <c r="I380"/>
      <c r="J380"/>
      <c r="K380"/>
      <c r="L380"/>
      <c r="M380"/>
      <c r="N380"/>
      <c r="O380"/>
      <c r="P380"/>
      <c r="Q380"/>
      <c r="R380"/>
      <c r="S380"/>
      <c r="T380"/>
      <c r="U380"/>
      <c r="V380"/>
      <c r="W380"/>
    </row>
    <row r="381" spans="2:23" outlineLevel="1">
      <c r="B381" s="172"/>
      <c r="C381" s="173"/>
      <c r="D381" s="174"/>
      <c r="E381" s="175"/>
      <c r="F381" s="171"/>
      <c r="G381"/>
      <c r="H381"/>
      <c r="I381"/>
      <c r="J381"/>
      <c r="K381"/>
      <c r="L381"/>
      <c r="M381"/>
      <c r="N381"/>
      <c r="O381"/>
      <c r="P381"/>
      <c r="Q381"/>
      <c r="R381"/>
      <c r="S381"/>
      <c r="T381"/>
      <c r="U381"/>
      <c r="V381"/>
      <c r="W381"/>
    </row>
    <row r="382" spans="2:23" outlineLevel="1">
      <c r="B382" s="167"/>
      <c r="C382" s="168"/>
      <c r="D382" s="169"/>
      <c r="E382" s="170"/>
      <c r="F382" s="171"/>
      <c r="G382"/>
      <c r="H382"/>
      <c r="I382"/>
      <c r="J382"/>
      <c r="K382"/>
      <c r="L382"/>
      <c r="M382"/>
      <c r="N382"/>
      <c r="O382"/>
      <c r="P382"/>
      <c r="Q382"/>
      <c r="R382"/>
      <c r="S382"/>
      <c r="T382"/>
      <c r="U382"/>
      <c r="V382"/>
      <c r="W382"/>
    </row>
    <row r="383" spans="2:23" outlineLevel="1">
      <c r="B383" s="172"/>
      <c r="C383" s="173"/>
      <c r="D383" s="174"/>
      <c r="E383" s="175"/>
      <c r="F383" s="171"/>
      <c r="G383"/>
      <c r="H383"/>
      <c r="I383"/>
      <c r="J383"/>
      <c r="K383"/>
      <c r="L383"/>
      <c r="M383"/>
      <c r="N383"/>
      <c r="O383"/>
      <c r="P383"/>
      <c r="Q383"/>
      <c r="R383"/>
      <c r="S383"/>
      <c r="T383"/>
      <c r="U383"/>
      <c r="V383"/>
      <c r="W383"/>
    </row>
    <row r="384" spans="2:23" outlineLevel="1">
      <c r="B384" s="167"/>
      <c r="C384" s="168"/>
      <c r="D384" s="169"/>
      <c r="E384" s="170"/>
      <c r="F384" s="171"/>
      <c r="G384"/>
      <c r="H384"/>
      <c r="I384"/>
      <c r="J384"/>
      <c r="K384"/>
      <c r="L384"/>
      <c r="M384"/>
      <c r="N384"/>
      <c r="O384"/>
      <c r="P384"/>
      <c r="Q384"/>
      <c r="R384"/>
      <c r="S384"/>
      <c r="T384"/>
      <c r="U384"/>
      <c r="V384"/>
      <c r="W384"/>
    </row>
    <row r="385" spans="2:23" outlineLevel="1">
      <c r="B385" s="172"/>
      <c r="C385" s="173"/>
      <c r="D385" s="174"/>
      <c r="E385" s="175"/>
      <c r="F385" s="171"/>
      <c r="G385"/>
      <c r="H385"/>
      <c r="I385"/>
      <c r="J385"/>
      <c r="K385"/>
      <c r="L385"/>
      <c r="M385"/>
      <c r="N385"/>
      <c r="O385"/>
      <c r="P385"/>
      <c r="Q385"/>
      <c r="R385"/>
      <c r="S385"/>
      <c r="T385"/>
      <c r="U385"/>
      <c r="V385"/>
      <c r="W385"/>
    </row>
    <row r="386" spans="2:23" outlineLevel="1">
      <c r="B386" s="167"/>
      <c r="C386" s="168"/>
      <c r="D386" s="169"/>
      <c r="E386" s="170"/>
      <c r="F386" s="171"/>
      <c r="G386"/>
      <c r="H386"/>
      <c r="I386"/>
      <c r="J386"/>
      <c r="K386"/>
      <c r="L386"/>
      <c r="M386"/>
      <c r="N386"/>
      <c r="O386"/>
      <c r="P386"/>
      <c r="Q386"/>
      <c r="R386"/>
      <c r="S386"/>
      <c r="T386"/>
      <c r="U386"/>
      <c r="V386"/>
      <c r="W386"/>
    </row>
    <row r="387" spans="2:23" outlineLevel="1">
      <c r="B387" s="172"/>
      <c r="C387" s="173"/>
      <c r="D387" s="174"/>
      <c r="E387" s="175"/>
      <c r="F387" s="171"/>
      <c r="G387"/>
      <c r="H387"/>
      <c r="I387"/>
      <c r="J387"/>
      <c r="K387"/>
      <c r="L387"/>
      <c r="M387"/>
      <c r="N387"/>
      <c r="O387"/>
      <c r="P387"/>
      <c r="Q387"/>
      <c r="R387"/>
      <c r="S387"/>
      <c r="T387"/>
      <c r="U387"/>
      <c r="V387"/>
      <c r="W387"/>
    </row>
    <row r="388" spans="2:23" outlineLevel="1">
      <c r="B388" s="167"/>
      <c r="C388" s="168"/>
      <c r="D388" s="169"/>
      <c r="E388" s="170"/>
      <c r="F388" s="171"/>
      <c r="G388"/>
      <c r="H388"/>
      <c r="I388"/>
      <c r="J388"/>
      <c r="K388"/>
      <c r="L388"/>
      <c r="M388"/>
      <c r="N388"/>
      <c r="O388"/>
      <c r="P388"/>
      <c r="Q388"/>
      <c r="R388"/>
      <c r="S388"/>
      <c r="T388"/>
      <c r="U388"/>
      <c r="V388"/>
      <c r="W388"/>
    </row>
    <row r="389" spans="2:23" outlineLevel="1">
      <c r="B389" s="172"/>
      <c r="C389" s="173"/>
      <c r="D389" s="174"/>
      <c r="E389" s="175"/>
      <c r="F389" s="171"/>
      <c r="G389"/>
      <c r="H389"/>
      <c r="I389"/>
      <c r="J389"/>
      <c r="K389"/>
      <c r="L389"/>
      <c r="M389"/>
      <c r="N389"/>
      <c r="O389"/>
      <c r="P389"/>
      <c r="Q389"/>
      <c r="R389"/>
      <c r="S389"/>
      <c r="T389"/>
      <c r="U389"/>
      <c r="V389"/>
      <c r="W389"/>
    </row>
    <row r="390" spans="2:23" outlineLevel="1">
      <c r="B390" s="167"/>
      <c r="C390" s="168"/>
      <c r="D390" s="169"/>
      <c r="E390" s="170"/>
      <c r="F390" s="171"/>
      <c r="G390"/>
      <c r="H390"/>
      <c r="I390"/>
      <c r="J390"/>
      <c r="K390"/>
      <c r="L390"/>
      <c r="M390"/>
      <c r="N390"/>
      <c r="O390"/>
      <c r="P390"/>
      <c r="Q390"/>
      <c r="R390"/>
      <c r="S390"/>
      <c r="T390"/>
      <c r="U390"/>
      <c r="V390"/>
      <c r="W390"/>
    </row>
    <row r="391" spans="2:23" outlineLevel="1">
      <c r="B391" s="172"/>
      <c r="C391" s="173"/>
      <c r="D391" s="174"/>
      <c r="E391" s="175"/>
      <c r="F391" s="171"/>
      <c r="G391"/>
      <c r="H391"/>
      <c r="I391"/>
      <c r="J391"/>
      <c r="K391"/>
      <c r="L391"/>
      <c r="M391"/>
      <c r="N391"/>
      <c r="O391"/>
      <c r="P391"/>
      <c r="Q391"/>
      <c r="R391"/>
      <c r="S391"/>
      <c r="T391"/>
      <c r="U391"/>
      <c r="V391"/>
      <c r="W391"/>
    </row>
    <row r="392" spans="2:23" outlineLevel="1">
      <c r="B392" s="167"/>
      <c r="C392" s="168"/>
      <c r="D392" s="169"/>
      <c r="E392" s="170"/>
      <c r="F392" s="171"/>
      <c r="G392"/>
      <c r="H392"/>
      <c r="I392"/>
      <c r="J392"/>
      <c r="K392"/>
      <c r="L392"/>
      <c r="M392"/>
      <c r="N392"/>
      <c r="O392"/>
      <c r="P392"/>
      <c r="Q392"/>
      <c r="R392"/>
      <c r="S392"/>
      <c r="T392"/>
      <c r="U392"/>
      <c r="V392"/>
      <c r="W392"/>
    </row>
    <row r="393" spans="2:23" outlineLevel="1">
      <c r="B393" s="172"/>
      <c r="C393" s="173"/>
      <c r="D393" s="174"/>
      <c r="E393" s="175"/>
      <c r="F393" s="171"/>
      <c r="G393"/>
      <c r="H393"/>
      <c r="I393"/>
      <c r="J393"/>
      <c r="K393"/>
      <c r="L393"/>
      <c r="M393"/>
      <c r="N393"/>
      <c r="O393"/>
      <c r="P393"/>
      <c r="Q393"/>
      <c r="R393"/>
      <c r="S393"/>
      <c r="T393"/>
      <c r="U393"/>
      <c r="V393"/>
      <c r="W393"/>
    </row>
    <row r="394" spans="2:23" outlineLevel="1">
      <c r="B394" s="167"/>
      <c r="C394" s="168"/>
      <c r="D394" s="169"/>
      <c r="E394" s="170"/>
      <c r="F394" s="171"/>
      <c r="G394"/>
      <c r="H394"/>
      <c r="I394"/>
      <c r="J394"/>
      <c r="K394"/>
      <c r="L394"/>
      <c r="M394"/>
      <c r="N394"/>
      <c r="O394"/>
      <c r="P394"/>
      <c r="Q394"/>
      <c r="R394"/>
      <c r="S394"/>
      <c r="T394"/>
      <c r="U394"/>
      <c r="V394"/>
      <c r="W394"/>
    </row>
    <row r="395" spans="2:23" outlineLevel="1">
      <c r="B395" s="172"/>
      <c r="C395" s="173"/>
      <c r="D395" s="174"/>
      <c r="E395" s="175"/>
      <c r="F395" s="171"/>
      <c r="G395"/>
      <c r="H395"/>
      <c r="I395"/>
      <c r="J395"/>
      <c r="K395"/>
      <c r="L395"/>
      <c r="M395"/>
      <c r="N395"/>
      <c r="O395"/>
      <c r="P395"/>
      <c r="Q395"/>
      <c r="R395"/>
      <c r="S395"/>
      <c r="T395"/>
      <c r="U395"/>
      <c r="V395"/>
      <c r="W395"/>
    </row>
    <row r="396" spans="2:23" outlineLevel="1">
      <c r="B396" s="167"/>
      <c r="C396" s="168"/>
      <c r="D396" s="169"/>
      <c r="E396" s="170"/>
      <c r="F396" s="171"/>
      <c r="G396"/>
      <c r="H396"/>
      <c r="I396"/>
      <c r="J396"/>
      <c r="K396"/>
      <c r="L396"/>
      <c r="M396"/>
      <c r="N396"/>
      <c r="O396"/>
      <c r="P396"/>
      <c r="Q396"/>
      <c r="R396"/>
      <c r="S396"/>
      <c r="T396"/>
      <c r="U396"/>
      <c r="V396"/>
      <c r="W396"/>
    </row>
    <row r="397" spans="2:23" outlineLevel="1">
      <c r="B397" s="172"/>
      <c r="C397" s="173"/>
      <c r="D397" s="174"/>
      <c r="E397" s="175"/>
      <c r="F397" s="171"/>
      <c r="G397"/>
      <c r="H397"/>
      <c r="I397"/>
      <c r="J397"/>
      <c r="K397"/>
      <c r="L397"/>
      <c r="M397"/>
      <c r="N397"/>
      <c r="O397"/>
      <c r="P397"/>
      <c r="Q397"/>
      <c r="R397"/>
      <c r="S397"/>
      <c r="T397"/>
      <c r="U397"/>
      <c r="V397"/>
      <c r="W397"/>
    </row>
    <row r="398" spans="2:23" outlineLevel="1">
      <c r="B398" s="167"/>
      <c r="C398" s="168"/>
      <c r="D398" s="169"/>
      <c r="E398" s="170"/>
      <c r="F398" s="171"/>
      <c r="G398"/>
      <c r="H398"/>
      <c r="I398"/>
      <c r="J398"/>
      <c r="K398"/>
      <c r="L398"/>
      <c r="M398"/>
      <c r="N398"/>
      <c r="O398"/>
      <c r="P398"/>
      <c r="Q398"/>
      <c r="R398"/>
      <c r="S398"/>
      <c r="T398"/>
      <c r="U398"/>
      <c r="V398"/>
      <c r="W398"/>
    </row>
    <row r="399" spans="2:23" outlineLevel="1">
      <c r="B399" s="172"/>
      <c r="C399" s="173"/>
      <c r="D399" s="174"/>
      <c r="E399" s="175"/>
      <c r="F399" s="171"/>
      <c r="G399"/>
      <c r="H399"/>
      <c r="I399"/>
      <c r="J399"/>
      <c r="K399"/>
      <c r="L399"/>
      <c r="M399"/>
      <c r="N399"/>
      <c r="O399"/>
      <c r="P399"/>
      <c r="Q399"/>
      <c r="R399"/>
      <c r="S399"/>
      <c r="T399"/>
      <c r="U399"/>
      <c r="V399"/>
      <c r="W399"/>
    </row>
    <row r="400" spans="2:23" outlineLevel="1">
      <c r="B400" s="167"/>
      <c r="C400" s="168"/>
      <c r="D400" s="169"/>
      <c r="E400" s="170"/>
      <c r="F400" s="171"/>
      <c r="G400"/>
      <c r="H400"/>
      <c r="I400"/>
      <c r="J400"/>
      <c r="K400"/>
      <c r="L400"/>
      <c r="M400"/>
      <c r="N400"/>
      <c r="O400"/>
      <c r="P400"/>
      <c r="Q400"/>
      <c r="R400"/>
      <c r="S400"/>
      <c r="T400"/>
      <c r="U400"/>
      <c r="V400"/>
      <c r="W400"/>
    </row>
    <row r="401" spans="2:23" outlineLevel="1">
      <c r="B401" s="172"/>
      <c r="C401" s="173"/>
      <c r="D401" s="174"/>
      <c r="E401" s="175"/>
      <c r="F401" s="171"/>
      <c r="G401"/>
      <c r="H401"/>
      <c r="I401"/>
      <c r="J401"/>
      <c r="K401"/>
      <c r="L401"/>
      <c r="M401"/>
      <c r="N401"/>
      <c r="O401"/>
      <c r="P401"/>
      <c r="Q401"/>
      <c r="R401"/>
      <c r="S401"/>
      <c r="T401"/>
      <c r="U401"/>
      <c r="V401"/>
      <c r="W401"/>
    </row>
    <row r="402" spans="2:23" outlineLevel="1">
      <c r="B402" s="167"/>
      <c r="C402" s="168"/>
      <c r="D402" s="169"/>
      <c r="E402" s="170"/>
      <c r="F402" s="171"/>
      <c r="G402"/>
      <c r="H402"/>
      <c r="I402"/>
      <c r="J402"/>
      <c r="K402"/>
      <c r="L402"/>
      <c r="M402"/>
      <c r="N402"/>
      <c r="O402"/>
      <c r="P402"/>
      <c r="Q402"/>
      <c r="R402"/>
      <c r="S402"/>
      <c r="T402"/>
      <c r="U402"/>
      <c r="V402"/>
      <c r="W402"/>
    </row>
    <row r="403" spans="2:23" outlineLevel="1">
      <c r="B403" s="172"/>
      <c r="C403" s="173"/>
      <c r="D403" s="174"/>
      <c r="E403" s="175"/>
      <c r="F403" s="171"/>
      <c r="G403"/>
      <c r="H403"/>
      <c r="I403"/>
      <c r="J403"/>
      <c r="K403"/>
      <c r="L403"/>
      <c r="M403"/>
      <c r="N403"/>
      <c r="O403"/>
      <c r="P403"/>
      <c r="Q403"/>
      <c r="R403"/>
      <c r="S403"/>
      <c r="T403"/>
      <c r="U403"/>
      <c r="V403"/>
      <c r="W403"/>
    </row>
    <row r="404" spans="2:23" outlineLevel="1">
      <c r="B404" s="167"/>
      <c r="C404" s="168"/>
      <c r="D404" s="169"/>
      <c r="E404" s="170"/>
      <c r="F404" s="171"/>
      <c r="G404"/>
      <c r="H404"/>
      <c r="I404"/>
      <c r="J404"/>
      <c r="K404"/>
      <c r="L404"/>
      <c r="M404"/>
      <c r="N404"/>
      <c r="O404"/>
      <c r="P404"/>
      <c r="Q404"/>
      <c r="R404"/>
      <c r="S404"/>
      <c r="T404"/>
      <c r="U404"/>
      <c r="V404"/>
      <c r="W404"/>
    </row>
    <row r="405" spans="2:23" outlineLevel="1">
      <c r="B405" s="172"/>
      <c r="C405" s="173"/>
      <c r="D405" s="174"/>
      <c r="E405" s="175"/>
      <c r="F405" s="171"/>
      <c r="G405"/>
      <c r="H405"/>
      <c r="I405"/>
      <c r="J405"/>
      <c r="K405"/>
      <c r="L405"/>
      <c r="M405"/>
      <c r="N405"/>
      <c r="O405"/>
      <c r="P405"/>
      <c r="Q405"/>
      <c r="R405"/>
      <c r="S405"/>
      <c r="T405"/>
      <c r="U405"/>
      <c r="V405"/>
      <c r="W405"/>
    </row>
    <row r="406" spans="2:23" outlineLevel="1">
      <c r="B406" s="167"/>
      <c r="C406" s="168"/>
      <c r="D406" s="169"/>
      <c r="E406" s="170"/>
      <c r="F406" s="171"/>
      <c r="G406"/>
      <c r="H406"/>
      <c r="I406"/>
      <c r="J406"/>
      <c r="K406"/>
      <c r="L406"/>
      <c r="M406"/>
      <c r="N406"/>
      <c r="O406"/>
      <c r="P406"/>
      <c r="Q406"/>
      <c r="R406"/>
      <c r="S406"/>
      <c r="T406"/>
      <c r="U406"/>
      <c r="V406"/>
      <c r="W406"/>
    </row>
    <row r="407" spans="2:23" outlineLevel="1">
      <c r="B407" s="172"/>
      <c r="C407" s="173"/>
      <c r="D407" s="174"/>
      <c r="E407" s="175"/>
      <c r="F407" s="171"/>
      <c r="G407"/>
      <c r="H407"/>
      <c r="I407"/>
      <c r="J407"/>
      <c r="K407"/>
      <c r="L407"/>
      <c r="M407"/>
      <c r="N407"/>
      <c r="O407"/>
      <c r="P407"/>
      <c r="Q407"/>
      <c r="R407"/>
      <c r="S407"/>
      <c r="T407"/>
      <c r="U407"/>
      <c r="V407"/>
      <c r="W407"/>
    </row>
    <row r="408" spans="2:23" outlineLevel="1">
      <c r="B408" s="167"/>
      <c r="C408" s="168"/>
      <c r="D408" s="169"/>
      <c r="E408" s="170"/>
      <c r="F408" s="171"/>
      <c r="G408"/>
      <c r="H408"/>
      <c r="I408"/>
      <c r="J408"/>
      <c r="K408"/>
      <c r="L408"/>
      <c r="M408"/>
      <c r="N408"/>
      <c r="O408"/>
      <c r="P408"/>
      <c r="Q408"/>
      <c r="R408"/>
      <c r="S408"/>
      <c r="T408"/>
      <c r="U408"/>
      <c r="V408"/>
      <c r="W408"/>
    </row>
    <row r="409" spans="2:23" outlineLevel="1">
      <c r="B409" s="172"/>
      <c r="C409" s="173"/>
      <c r="D409" s="174"/>
      <c r="E409" s="175"/>
      <c r="F409" s="171"/>
      <c r="G409"/>
      <c r="H409"/>
      <c r="I409"/>
      <c r="J409"/>
      <c r="K409"/>
      <c r="L409"/>
      <c r="M409"/>
      <c r="N409"/>
      <c r="O409"/>
      <c r="P409"/>
      <c r="Q409"/>
      <c r="R409"/>
      <c r="S409"/>
      <c r="T409"/>
      <c r="U409"/>
      <c r="V409"/>
      <c r="W409"/>
    </row>
    <row r="410" spans="2:23" outlineLevel="1">
      <c r="B410" s="167"/>
      <c r="C410" s="168"/>
      <c r="D410" s="169"/>
      <c r="E410" s="170"/>
      <c r="F410" s="171"/>
      <c r="G410"/>
      <c r="H410"/>
      <c r="I410"/>
      <c r="J410"/>
      <c r="K410"/>
      <c r="L410"/>
      <c r="M410"/>
      <c r="N410"/>
      <c r="O410"/>
      <c r="P410"/>
      <c r="Q410"/>
      <c r="R410"/>
      <c r="S410"/>
      <c r="T410"/>
      <c r="U410"/>
      <c r="V410"/>
      <c r="W410"/>
    </row>
    <row r="411" spans="2:23" outlineLevel="1">
      <c r="B411" s="172"/>
      <c r="C411" s="173"/>
      <c r="D411" s="174"/>
      <c r="E411" s="175"/>
      <c r="F411" s="171"/>
      <c r="G411"/>
      <c r="H411"/>
      <c r="I411"/>
      <c r="J411"/>
      <c r="K411"/>
      <c r="L411"/>
      <c r="M411"/>
      <c r="N411"/>
      <c r="O411"/>
      <c r="P411"/>
      <c r="Q411"/>
      <c r="R411"/>
      <c r="S411"/>
      <c r="T411"/>
      <c r="U411"/>
      <c r="V411"/>
      <c r="W411"/>
    </row>
    <row r="412" spans="2:23" outlineLevel="1">
      <c r="B412" s="167"/>
      <c r="C412" s="168"/>
      <c r="D412" s="169"/>
      <c r="E412" s="170"/>
      <c r="F412" s="171"/>
      <c r="G412"/>
      <c r="H412"/>
      <c r="I412"/>
      <c r="J412"/>
      <c r="K412"/>
      <c r="L412"/>
      <c r="M412"/>
      <c r="N412"/>
      <c r="O412"/>
      <c r="P412"/>
      <c r="Q412"/>
      <c r="R412"/>
      <c r="S412"/>
      <c r="T412"/>
      <c r="U412"/>
      <c r="V412"/>
      <c r="W412"/>
    </row>
    <row r="413" spans="2:23" outlineLevel="1">
      <c r="B413" s="172"/>
      <c r="C413" s="173"/>
      <c r="D413" s="174"/>
      <c r="E413" s="175"/>
      <c r="F413" s="171"/>
      <c r="G413"/>
      <c r="H413"/>
      <c r="I413"/>
      <c r="J413"/>
      <c r="K413"/>
      <c r="L413"/>
      <c r="M413"/>
      <c r="N413"/>
      <c r="O413"/>
      <c r="P413"/>
      <c r="Q413"/>
      <c r="R413"/>
      <c r="S413"/>
      <c r="T413"/>
      <c r="U413"/>
      <c r="V413"/>
      <c r="W413"/>
    </row>
    <row r="414" spans="2:23" outlineLevel="1">
      <c r="B414" s="167"/>
      <c r="C414" s="168"/>
      <c r="D414" s="169"/>
      <c r="E414" s="170"/>
      <c r="F414" s="171"/>
      <c r="G414"/>
      <c r="H414"/>
      <c r="I414"/>
      <c r="J414"/>
      <c r="K414"/>
      <c r="L414"/>
      <c r="M414"/>
      <c r="N414"/>
      <c r="O414"/>
      <c r="P414"/>
      <c r="Q414"/>
      <c r="R414"/>
      <c r="S414"/>
      <c r="T414"/>
      <c r="U414"/>
      <c r="V414"/>
      <c r="W414"/>
    </row>
    <row r="415" spans="2:23" outlineLevel="1">
      <c r="B415" s="172"/>
      <c r="C415" s="173"/>
      <c r="D415" s="174"/>
      <c r="E415" s="175"/>
      <c r="F415" s="171"/>
      <c r="G415"/>
      <c r="H415"/>
      <c r="I415"/>
      <c r="J415"/>
      <c r="K415"/>
      <c r="L415"/>
      <c r="M415"/>
      <c r="N415"/>
      <c r="O415"/>
      <c r="P415"/>
      <c r="Q415"/>
      <c r="R415"/>
      <c r="S415"/>
      <c r="T415"/>
      <c r="U415"/>
      <c r="V415"/>
      <c r="W415"/>
    </row>
    <row r="416" spans="2:23" outlineLevel="1">
      <c r="B416" s="167"/>
      <c r="C416" s="168"/>
      <c r="D416" s="169"/>
      <c r="E416" s="170"/>
      <c r="F416" s="171"/>
      <c r="G416"/>
      <c r="H416"/>
      <c r="I416"/>
      <c r="J416"/>
      <c r="K416"/>
      <c r="L416"/>
      <c r="M416"/>
      <c r="N416"/>
      <c r="O416"/>
      <c r="P416"/>
      <c r="Q416"/>
      <c r="R416"/>
      <c r="S416"/>
      <c r="T416"/>
      <c r="U416"/>
      <c r="V416"/>
      <c r="W416"/>
    </row>
    <row r="417" spans="2:23" outlineLevel="1">
      <c r="B417" s="172"/>
      <c r="C417" s="173"/>
      <c r="D417" s="174"/>
      <c r="E417" s="175"/>
      <c r="F417" s="171"/>
      <c r="G417"/>
      <c r="H417"/>
      <c r="I417"/>
      <c r="J417"/>
      <c r="K417"/>
      <c r="L417"/>
      <c r="M417"/>
      <c r="N417"/>
      <c r="O417"/>
      <c r="P417"/>
      <c r="Q417"/>
      <c r="R417"/>
      <c r="S417"/>
      <c r="T417"/>
      <c r="U417"/>
      <c r="V417"/>
      <c r="W417"/>
    </row>
    <row r="418" spans="2:23" outlineLevel="1">
      <c r="B418" s="167"/>
      <c r="C418" s="168"/>
      <c r="D418" s="169"/>
      <c r="E418" s="170"/>
      <c r="F418" s="171"/>
      <c r="G418"/>
      <c r="H418"/>
      <c r="I418"/>
      <c r="J418"/>
      <c r="K418"/>
      <c r="L418"/>
      <c r="M418"/>
      <c r="N418"/>
      <c r="O418"/>
      <c r="P418"/>
      <c r="Q418"/>
      <c r="R418"/>
      <c r="S418"/>
      <c r="T418"/>
      <c r="U418"/>
      <c r="V418"/>
      <c r="W418"/>
    </row>
    <row r="419" spans="2:23" outlineLevel="1">
      <c r="B419" s="172"/>
      <c r="C419" s="173"/>
      <c r="D419" s="174"/>
      <c r="E419" s="175"/>
      <c r="F419" s="171"/>
      <c r="G419"/>
      <c r="H419"/>
      <c r="I419"/>
      <c r="J419"/>
      <c r="K419"/>
      <c r="L419"/>
      <c r="M419"/>
      <c r="N419"/>
      <c r="O419"/>
      <c r="P419"/>
      <c r="Q419"/>
      <c r="R419"/>
      <c r="S419"/>
      <c r="T419"/>
      <c r="U419"/>
      <c r="V419"/>
      <c r="W419"/>
    </row>
    <row r="420" spans="2:23" outlineLevel="1">
      <c r="B420" s="167"/>
      <c r="C420" s="168"/>
      <c r="D420" s="169"/>
      <c r="E420" s="170"/>
      <c r="F420" s="171"/>
      <c r="G420"/>
      <c r="H420"/>
      <c r="I420"/>
      <c r="J420"/>
      <c r="K420"/>
      <c r="L420"/>
      <c r="M420"/>
      <c r="N420"/>
      <c r="O420"/>
      <c r="P420"/>
      <c r="Q420"/>
      <c r="R420"/>
      <c r="S420"/>
      <c r="T420"/>
      <c r="U420"/>
      <c r="V420"/>
      <c r="W420"/>
    </row>
    <row r="421" spans="2:23" outlineLevel="1">
      <c r="B421" s="172"/>
      <c r="C421" s="173"/>
      <c r="D421" s="174"/>
      <c r="E421" s="175"/>
      <c r="F421" s="171"/>
      <c r="G421"/>
      <c r="H421"/>
      <c r="I421"/>
      <c r="J421"/>
      <c r="K421"/>
      <c r="L421"/>
      <c r="M421"/>
      <c r="N421"/>
      <c r="O421"/>
      <c r="P421"/>
      <c r="Q421"/>
      <c r="R421"/>
      <c r="S421"/>
      <c r="T421"/>
      <c r="U421"/>
      <c r="V421"/>
      <c r="W421"/>
    </row>
    <row r="422" spans="2:23" outlineLevel="1">
      <c r="B422" s="167"/>
      <c r="C422" s="168"/>
      <c r="D422" s="169"/>
      <c r="E422" s="170"/>
      <c r="F422" s="171"/>
      <c r="G422"/>
      <c r="H422"/>
      <c r="I422"/>
      <c r="J422"/>
      <c r="K422"/>
      <c r="L422"/>
      <c r="M422"/>
      <c r="N422"/>
      <c r="O422"/>
      <c r="P422"/>
      <c r="Q422"/>
      <c r="R422"/>
      <c r="S422"/>
      <c r="T422"/>
      <c r="U422"/>
      <c r="V422"/>
      <c r="W422"/>
    </row>
    <row r="423" spans="2:23" outlineLevel="1">
      <c r="B423" s="172"/>
      <c r="C423" s="173"/>
      <c r="D423" s="174"/>
      <c r="E423" s="175"/>
      <c r="F423" s="171"/>
      <c r="G423"/>
      <c r="H423"/>
      <c r="I423"/>
      <c r="J423"/>
      <c r="K423"/>
      <c r="L423"/>
      <c r="M423"/>
      <c r="N423"/>
      <c r="O423"/>
      <c r="P423"/>
      <c r="Q423"/>
      <c r="R423"/>
      <c r="S423"/>
      <c r="T423"/>
      <c r="U423"/>
      <c r="V423"/>
      <c r="W423"/>
    </row>
    <row r="424" spans="2:23" outlineLevel="1">
      <c r="B424" s="167"/>
      <c r="C424" s="168"/>
      <c r="D424" s="169"/>
      <c r="E424" s="170"/>
      <c r="F424" s="171"/>
      <c r="G424"/>
      <c r="H424"/>
      <c r="I424"/>
      <c r="J424"/>
      <c r="K424"/>
      <c r="L424"/>
      <c r="M424"/>
      <c r="N424"/>
      <c r="O424"/>
      <c r="P424"/>
      <c r="Q424"/>
      <c r="R424"/>
      <c r="S424"/>
      <c r="T424"/>
      <c r="U424"/>
      <c r="V424"/>
      <c r="W424"/>
    </row>
    <row r="425" spans="2:23" outlineLevel="1">
      <c r="B425" s="172"/>
      <c r="C425" s="173"/>
      <c r="D425" s="174"/>
      <c r="E425" s="175"/>
      <c r="F425" s="171"/>
      <c r="G425"/>
      <c r="H425"/>
      <c r="I425"/>
      <c r="J425"/>
      <c r="K425"/>
      <c r="L425"/>
      <c r="M425"/>
      <c r="N425"/>
      <c r="O425"/>
      <c r="P425"/>
      <c r="Q425"/>
      <c r="R425"/>
      <c r="S425"/>
      <c r="T425"/>
      <c r="U425"/>
      <c r="V425"/>
      <c r="W425"/>
    </row>
    <row r="426" spans="2:23" outlineLevel="1">
      <c r="B426" s="167"/>
      <c r="C426" s="168"/>
      <c r="D426" s="169"/>
      <c r="E426" s="170"/>
      <c r="F426" s="171"/>
      <c r="G426"/>
      <c r="H426"/>
      <c r="I426"/>
      <c r="J426"/>
      <c r="K426"/>
      <c r="L426"/>
      <c r="M426"/>
      <c r="N426"/>
      <c r="O426"/>
      <c r="P426"/>
      <c r="Q426"/>
      <c r="R426"/>
      <c r="S426"/>
      <c r="T426"/>
      <c r="U426"/>
      <c r="V426"/>
      <c r="W426"/>
    </row>
    <row r="427" spans="2:23" outlineLevel="1">
      <c r="B427" s="172"/>
      <c r="C427" s="173"/>
      <c r="D427" s="174"/>
      <c r="E427" s="175"/>
      <c r="F427" s="171"/>
      <c r="G427"/>
      <c r="H427"/>
      <c r="I427"/>
      <c r="J427"/>
      <c r="K427"/>
      <c r="L427"/>
      <c r="M427"/>
      <c r="N427"/>
      <c r="O427"/>
      <c r="P427"/>
      <c r="Q427"/>
      <c r="R427"/>
      <c r="S427"/>
      <c r="T427"/>
      <c r="U427"/>
      <c r="V427"/>
      <c r="W427"/>
    </row>
    <row r="428" spans="2:23" outlineLevel="1">
      <c r="B428" s="167"/>
      <c r="C428" s="168"/>
      <c r="D428" s="169"/>
      <c r="E428" s="170"/>
      <c r="F428" s="171"/>
      <c r="G428"/>
      <c r="H428"/>
      <c r="I428"/>
      <c r="J428"/>
      <c r="K428"/>
      <c r="L428"/>
      <c r="M428"/>
      <c r="N428"/>
      <c r="O428"/>
      <c r="P428"/>
      <c r="Q428"/>
      <c r="R428"/>
      <c r="S428"/>
      <c r="T428"/>
      <c r="U428"/>
      <c r="V428"/>
      <c r="W428"/>
    </row>
    <row r="429" spans="2:23" outlineLevel="1">
      <c r="B429" s="172"/>
      <c r="C429" s="173"/>
      <c r="D429" s="174"/>
      <c r="E429" s="175"/>
      <c r="F429" s="171"/>
      <c r="G429"/>
      <c r="H429"/>
      <c r="I429"/>
      <c r="J429"/>
      <c r="K429"/>
      <c r="L429"/>
      <c r="M429"/>
      <c r="N429"/>
      <c r="O429"/>
      <c r="P429"/>
      <c r="Q429"/>
      <c r="R429"/>
      <c r="S429"/>
      <c r="T429"/>
      <c r="U429"/>
      <c r="V429"/>
      <c r="W429"/>
    </row>
    <row r="430" spans="2:23" outlineLevel="1">
      <c r="B430" s="167"/>
      <c r="C430" s="168"/>
      <c r="D430" s="169"/>
      <c r="E430" s="170"/>
      <c r="F430" s="171"/>
      <c r="G430"/>
      <c r="H430"/>
      <c r="I430"/>
      <c r="J430"/>
      <c r="K430"/>
      <c r="L430"/>
      <c r="M430"/>
      <c r="N430"/>
      <c r="O430"/>
      <c r="P430"/>
      <c r="Q430"/>
      <c r="R430"/>
      <c r="S430"/>
      <c r="T430"/>
      <c r="U430"/>
      <c r="V430"/>
      <c r="W430"/>
    </row>
    <row r="431" spans="2:23" outlineLevel="1">
      <c r="B431" s="172"/>
      <c r="C431" s="173"/>
      <c r="D431" s="174"/>
      <c r="E431" s="175"/>
      <c r="F431" s="171"/>
      <c r="G431"/>
      <c r="H431"/>
      <c r="I431"/>
      <c r="J431"/>
      <c r="K431"/>
      <c r="L431"/>
      <c r="M431"/>
      <c r="N431"/>
      <c r="O431"/>
      <c r="P431"/>
      <c r="Q431"/>
      <c r="R431"/>
      <c r="S431"/>
      <c r="T431"/>
      <c r="U431"/>
      <c r="V431"/>
      <c r="W431"/>
    </row>
    <row r="432" spans="2:23" outlineLevel="1">
      <c r="B432" s="167"/>
      <c r="C432" s="168"/>
      <c r="D432" s="169"/>
      <c r="E432" s="170"/>
      <c r="F432" s="171"/>
      <c r="G432"/>
      <c r="H432"/>
      <c r="I432"/>
      <c r="J432"/>
      <c r="K432"/>
      <c r="L432"/>
      <c r="M432"/>
      <c r="N432"/>
      <c r="O432"/>
      <c r="P432"/>
      <c r="Q432"/>
      <c r="R432"/>
      <c r="S432"/>
      <c r="T432"/>
      <c r="U432"/>
      <c r="V432"/>
      <c r="W432"/>
    </row>
    <row r="433" spans="2:23" outlineLevel="1">
      <c r="B433" s="172"/>
      <c r="C433" s="173"/>
      <c r="D433" s="174"/>
      <c r="E433" s="175"/>
      <c r="F433" s="171"/>
      <c r="G433"/>
      <c r="H433"/>
      <c r="I433"/>
      <c r="J433"/>
      <c r="K433"/>
      <c r="L433"/>
      <c r="M433"/>
      <c r="N433"/>
      <c r="O433"/>
      <c r="P433"/>
      <c r="Q433"/>
      <c r="R433"/>
      <c r="S433"/>
      <c r="T433"/>
      <c r="U433"/>
      <c r="V433"/>
      <c r="W433"/>
    </row>
    <row r="434" spans="2:23" outlineLevel="1">
      <c r="B434" s="167"/>
      <c r="C434" s="168"/>
      <c r="D434" s="169"/>
      <c r="E434" s="170"/>
      <c r="F434" s="171"/>
      <c r="G434"/>
      <c r="H434"/>
      <c r="I434"/>
      <c r="J434"/>
      <c r="K434"/>
      <c r="L434"/>
      <c r="M434"/>
      <c r="N434"/>
      <c r="O434"/>
      <c r="P434"/>
      <c r="Q434"/>
      <c r="R434"/>
      <c r="S434"/>
      <c r="T434"/>
      <c r="U434"/>
      <c r="V434"/>
      <c r="W434"/>
    </row>
    <row r="435" spans="2:23" outlineLevel="1">
      <c r="B435" s="172"/>
      <c r="C435" s="173"/>
      <c r="D435" s="174"/>
      <c r="E435" s="175"/>
      <c r="F435" s="171"/>
      <c r="G435"/>
      <c r="H435"/>
      <c r="I435"/>
      <c r="J435"/>
      <c r="K435"/>
      <c r="L435"/>
      <c r="M435"/>
      <c r="N435"/>
      <c r="O435"/>
      <c r="P435"/>
      <c r="Q435"/>
      <c r="R435"/>
      <c r="S435"/>
      <c r="T435"/>
      <c r="U435"/>
      <c r="V435"/>
      <c r="W435"/>
    </row>
    <row r="436" spans="2:23" outlineLevel="1">
      <c r="B436" s="167"/>
      <c r="C436" s="168"/>
      <c r="D436" s="169"/>
      <c r="E436" s="170"/>
      <c r="F436" s="171"/>
      <c r="G436"/>
      <c r="H436"/>
      <c r="I436"/>
      <c r="J436"/>
      <c r="K436"/>
      <c r="L436"/>
      <c r="M436"/>
      <c r="N436"/>
      <c r="O436"/>
      <c r="P436"/>
      <c r="Q436"/>
      <c r="R436"/>
      <c r="S436"/>
      <c r="T436"/>
      <c r="U436"/>
      <c r="V436"/>
      <c r="W436"/>
    </row>
    <row r="437" spans="2:23" outlineLevel="1">
      <c r="B437" s="172"/>
      <c r="C437" s="173"/>
      <c r="D437" s="174"/>
      <c r="E437" s="175"/>
      <c r="F437" s="171"/>
      <c r="G437"/>
      <c r="H437"/>
      <c r="I437"/>
      <c r="J437"/>
      <c r="K437"/>
      <c r="L437"/>
      <c r="M437"/>
      <c r="N437"/>
      <c r="O437"/>
      <c r="P437"/>
      <c r="Q437"/>
      <c r="R437"/>
      <c r="S437"/>
      <c r="T437"/>
      <c r="U437"/>
      <c r="V437"/>
      <c r="W437"/>
    </row>
    <row r="438" spans="2:23" outlineLevel="1">
      <c r="B438" s="167"/>
      <c r="C438" s="168"/>
      <c r="D438" s="169"/>
      <c r="E438" s="170"/>
      <c r="F438" s="171"/>
      <c r="G438"/>
      <c r="H438"/>
      <c r="I438"/>
      <c r="J438"/>
      <c r="K438"/>
      <c r="L438"/>
      <c r="M438"/>
      <c r="N438"/>
      <c r="O438"/>
      <c r="P438"/>
      <c r="Q438"/>
      <c r="R438"/>
      <c r="S438"/>
      <c r="T438"/>
      <c r="U438"/>
      <c r="V438"/>
      <c r="W438"/>
    </row>
    <row r="439" spans="2:23" outlineLevel="1">
      <c r="B439" s="172"/>
      <c r="C439" s="173"/>
      <c r="D439" s="174"/>
      <c r="E439" s="175"/>
      <c r="F439" s="171"/>
      <c r="G439"/>
      <c r="H439"/>
      <c r="I439"/>
      <c r="J439"/>
      <c r="K439"/>
      <c r="L439"/>
      <c r="M439"/>
      <c r="N439"/>
      <c r="O439"/>
      <c r="P439"/>
      <c r="Q439"/>
      <c r="R439"/>
      <c r="S439"/>
      <c r="T439"/>
      <c r="U439"/>
      <c r="V439"/>
      <c r="W439"/>
    </row>
    <row r="440" spans="2:23" outlineLevel="1">
      <c r="B440" s="167"/>
      <c r="C440" s="168"/>
      <c r="D440" s="169"/>
      <c r="E440" s="170"/>
      <c r="F440" s="171"/>
      <c r="G440"/>
      <c r="H440"/>
      <c r="I440"/>
      <c r="J440"/>
      <c r="K440"/>
      <c r="L440"/>
      <c r="M440"/>
      <c r="N440"/>
      <c r="O440"/>
      <c r="P440"/>
      <c r="Q440"/>
      <c r="R440"/>
      <c r="S440"/>
      <c r="T440"/>
      <c r="U440"/>
      <c r="V440"/>
      <c r="W440"/>
    </row>
    <row r="441" spans="2:23" outlineLevel="1">
      <c r="B441" s="172"/>
      <c r="C441" s="173"/>
      <c r="D441" s="174"/>
      <c r="E441" s="175"/>
      <c r="F441" s="171"/>
      <c r="G441"/>
      <c r="H441"/>
      <c r="I441"/>
      <c r="J441"/>
      <c r="K441"/>
      <c r="L441"/>
      <c r="M441"/>
      <c r="N441"/>
      <c r="O441"/>
      <c r="P441"/>
      <c r="Q441"/>
      <c r="R441"/>
      <c r="S441"/>
      <c r="T441"/>
      <c r="U441"/>
      <c r="V441"/>
      <c r="W441"/>
    </row>
    <row r="442" spans="2:23" outlineLevel="1">
      <c r="B442" s="167"/>
      <c r="C442" s="168"/>
      <c r="D442" s="169"/>
      <c r="E442" s="170"/>
      <c r="F442" s="171"/>
      <c r="G442"/>
      <c r="H442"/>
      <c r="I442"/>
      <c r="J442"/>
      <c r="K442"/>
      <c r="L442"/>
      <c r="M442"/>
      <c r="N442"/>
      <c r="O442"/>
      <c r="P442"/>
      <c r="Q442"/>
      <c r="R442"/>
      <c r="S442"/>
      <c r="T442"/>
      <c r="U442"/>
      <c r="V442"/>
      <c r="W442"/>
    </row>
    <row r="443" spans="2:23" outlineLevel="1">
      <c r="B443" s="172"/>
      <c r="C443" s="173"/>
      <c r="D443" s="174"/>
      <c r="E443" s="175"/>
      <c r="F443" s="171"/>
      <c r="G443"/>
      <c r="H443"/>
      <c r="I443"/>
      <c r="J443"/>
      <c r="K443"/>
      <c r="L443"/>
      <c r="M443"/>
      <c r="N443"/>
      <c r="O443"/>
      <c r="P443"/>
      <c r="Q443"/>
      <c r="R443"/>
      <c r="S443"/>
      <c r="T443"/>
      <c r="U443"/>
      <c r="V443"/>
      <c r="W443"/>
    </row>
    <row r="444" spans="2:23" outlineLevel="1">
      <c r="B444" s="167"/>
      <c r="C444" s="168"/>
      <c r="D444" s="169"/>
      <c r="E444" s="170"/>
      <c r="F444" s="171"/>
      <c r="G444"/>
      <c r="H444"/>
      <c r="I444"/>
      <c r="J444"/>
      <c r="K444"/>
      <c r="L444"/>
      <c r="M444"/>
      <c r="N444"/>
      <c r="O444"/>
      <c r="P444"/>
      <c r="Q444"/>
      <c r="R444"/>
      <c r="S444"/>
      <c r="T444"/>
      <c r="U444"/>
      <c r="V444"/>
      <c r="W444"/>
    </row>
    <row r="445" spans="2:23" outlineLevel="1">
      <c r="B445" s="172"/>
      <c r="C445" s="173"/>
      <c r="D445" s="174"/>
      <c r="E445" s="175"/>
      <c r="F445" s="171"/>
      <c r="G445"/>
      <c r="H445"/>
      <c r="I445"/>
      <c r="J445"/>
      <c r="K445"/>
      <c r="L445"/>
      <c r="M445"/>
      <c r="N445"/>
      <c r="O445"/>
      <c r="P445"/>
      <c r="Q445"/>
      <c r="R445"/>
      <c r="S445"/>
      <c r="T445"/>
      <c r="U445"/>
      <c r="V445"/>
      <c r="W445"/>
    </row>
    <row r="446" spans="2:23" outlineLevel="1">
      <c r="B446" s="167"/>
      <c r="C446" s="168"/>
      <c r="D446" s="169"/>
      <c r="E446" s="170"/>
      <c r="F446" s="171"/>
      <c r="G446"/>
      <c r="H446"/>
      <c r="I446"/>
      <c r="J446"/>
      <c r="K446"/>
      <c r="L446"/>
      <c r="M446"/>
      <c r="N446"/>
      <c r="O446"/>
      <c r="P446"/>
      <c r="Q446"/>
      <c r="R446"/>
      <c r="S446"/>
      <c r="T446"/>
      <c r="U446"/>
      <c r="V446"/>
      <c r="W446"/>
    </row>
    <row r="447" spans="2:23" outlineLevel="1">
      <c r="B447" s="172"/>
      <c r="C447" s="173"/>
      <c r="D447" s="174"/>
      <c r="E447" s="175"/>
      <c r="F447" s="171"/>
      <c r="G447"/>
      <c r="H447"/>
      <c r="I447"/>
      <c r="J447"/>
      <c r="K447"/>
      <c r="L447"/>
      <c r="M447"/>
      <c r="N447"/>
      <c r="O447"/>
      <c r="P447"/>
      <c r="Q447"/>
      <c r="R447"/>
      <c r="S447"/>
      <c r="T447"/>
      <c r="U447"/>
      <c r="V447"/>
      <c r="W447"/>
    </row>
    <row r="448" spans="2:23" outlineLevel="1">
      <c r="B448" s="167"/>
      <c r="C448" s="168"/>
      <c r="D448" s="169"/>
      <c r="E448" s="170"/>
      <c r="F448" s="171"/>
      <c r="G448"/>
      <c r="H448"/>
      <c r="I448"/>
      <c r="J448"/>
      <c r="K448"/>
      <c r="L448"/>
      <c r="M448"/>
      <c r="N448"/>
      <c r="O448"/>
      <c r="P448"/>
      <c r="Q448"/>
      <c r="R448"/>
      <c r="S448"/>
      <c r="T448"/>
      <c r="U448"/>
      <c r="V448"/>
      <c r="W448"/>
    </row>
    <row r="449" spans="2:23" outlineLevel="1">
      <c r="B449" s="172"/>
      <c r="C449" s="173"/>
      <c r="D449" s="174"/>
      <c r="E449" s="175"/>
      <c r="F449" s="171"/>
      <c r="G449"/>
      <c r="H449"/>
      <c r="I449"/>
      <c r="J449"/>
      <c r="K449"/>
      <c r="L449"/>
      <c r="M449"/>
      <c r="N449"/>
      <c r="O449"/>
      <c r="P449"/>
      <c r="Q449"/>
      <c r="R449"/>
      <c r="S449"/>
      <c r="T449"/>
      <c r="U449"/>
      <c r="V449"/>
      <c r="W449"/>
    </row>
    <row r="450" spans="2:23" outlineLevel="1">
      <c r="B450" s="167"/>
      <c r="C450" s="168"/>
      <c r="D450" s="169"/>
      <c r="E450" s="170"/>
      <c r="F450" s="171"/>
      <c r="G450"/>
      <c r="H450"/>
      <c r="I450"/>
      <c r="J450"/>
      <c r="K450"/>
      <c r="L450"/>
      <c r="M450"/>
      <c r="N450"/>
      <c r="O450"/>
      <c r="P450"/>
      <c r="Q450"/>
      <c r="R450"/>
      <c r="S450"/>
      <c r="T450"/>
      <c r="U450"/>
      <c r="V450"/>
      <c r="W450"/>
    </row>
    <row r="451" spans="2:23" outlineLevel="1">
      <c r="B451" s="172"/>
      <c r="C451" s="173"/>
      <c r="D451" s="174"/>
      <c r="E451" s="175"/>
      <c r="F451" s="171"/>
      <c r="G451"/>
      <c r="H451"/>
      <c r="I451"/>
      <c r="J451"/>
      <c r="K451"/>
      <c r="L451"/>
      <c r="M451"/>
      <c r="N451"/>
      <c r="O451"/>
      <c r="P451"/>
      <c r="Q451"/>
      <c r="R451"/>
      <c r="S451"/>
      <c r="T451"/>
      <c r="U451"/>
      <c r="V451"/>
      <c r="W451"/>
    </row>
    <row r="452" spans="2:23" outlineLevel="1">
      <c r="B452" s="167"/>
      <c r="C452" s="168"/>
      <c r="D452" s="169"/>
      <c r="E452" s="170"/>
      <c r="F452" s="171"/>
      <c r="G452"/>
      <c r="H452"/>
      <c r="I452"/>
      <c r="J452"/>
      <c r="K452"/>
      <c r="L452"/>
      <c r="M452"/>
      <c r="N452"/>
      <c r="O452"/>
      <c r="P452"/>
      <c r="Q452"/>
      <c r="R452"/>
      <c r="S452"/>
      <c r="T452"/>
      <c r="U452"/>
      <c r="V452"/>
      <c r="W452"/>
    </row>
    <row r="453" spans="2:23" outlineLevel="1">
      <c r="B453" s="172"/>
      <c r="C453" s="173"/>
      <c r="D453" s="174"/>
      <c r="E453" s="175"/>
      <c r="F453" s="171"/>
      <c r="G453"/>
      <c r="H453"/>
      <c r="I453"/>
      <c r="J453"/>
      <c r="K453"/>
      <c r="L453"/>
      <c r="M453"/>
      <c r="N453"/>
      <c r="O453"/>
      <c r="P453"/>
      <c r="Q453"/>
      <c r="R453"/>
      <c r="S453"/>
      <c r="T453"/>
      <c r="U453"/>
      <c r="V453"/>
      <c r="W453"/>
    </row>
    <row r="454" spans="2:23" outlineLevel="1">
      <c r="B454" s="167"/>
      <c r="C454" s="168"/>
      <c r="D454" s="169"/>
      <c r="E454" s="170"/>
      <c r="F454" s="171"/>
      <c r="G454"/>
      <c r="H454"/>
      <c r="I454"/>
      <c r="J454"/>
      <c r="K454"/>
      <c r="L454"/>
      <c r="M454"/>
      <c r="N454"/>
      <c r="O454"/>
      <c r="P454"/>
      <c r="Q454"/>
      <c r="R454"/>
      <c r="S454"/>
      <c r="T454"/>
      <c r="U454"/>
      <c r="V454"/>
      <c r="W454"/>
    </row>
    <row r="455" spans="2:23" outlineLevel="1">
      <c r="B455" s="172"/>
      <c r="C455" s="173"/>
      <c r="D455" s="174"/>
      <c r="E455" s="175"/>
      <c r="F455" s="171"/>
      <c r="G455"/>
      <c r="H455"/>
      <c r="I455"/>
      <c r="J455"/>
      <c r="K455"/>
      <c r="L455"/>
      <c r="M455"/>
      <c r="N455"/>
      <c r="O455"/>
      <c r="P455"/>
      <c r="Q455"/>
      <c r="R455"/>
      <c r="S455"/>
      <c r="T455"/>
      <c r="U455"/>
      <c r="V455"/>
      <c r="W455"/>
    </row>
    <row r="456" spans="2:23" outlineLevel="1">
      <c r="B456" s="167"/>
      <c r="C456" s="168"/>
      <c r="D456" s="169"/>
      <c r="E456" s="170"/>
      <c r="F456" s="171"/>
      <c r="G456"/>
      <c r="H456"/>
      <c r="I456"/>
      <c r="J456"/>
      <c r="K456"/>
      <c r="L456"/>
      <c r="M456"/>
      <c r="N456"/>
      <c r="O456"/>
      <c r="P456"/>
      <c r="Q456"/>
      <c r="R456"/>
      <c r="S456"/>
      <c r="T456"/>
      <c r="U456"/>
      <c r="V456"/>
      <c r="W456"/>
    </row>
    <row r="457" spans="2:23" outlineLevel="1">
      <c r="B457" s="172"/>
      <c r="C457" s="173"/>
      <c r="D457" s="174"/>
      <c r="E457" s="175"/>
      <c r="F457" s="171"/>
      <c r="G457"/>
      <c r="H457"/>
      <c r="I457"/>
      <c r="J457"/>
      <c r="K457"/>
      <c r="L457"/>
      <c r="M457"/>
      <c r="N457"/>
      <c r="O457"/>
      <c r="P457"/>
      <c r="Q457"/>
      <c r="R457"/>
      <c r="S457"/>
      <c r="T457"/>
      <c r="U457"/>
      <c r="V457"/>
      <c r="W457"/>
    </row>
    <row r="458" spans="2:23" outlineLevel="1">
      <c r="B458" s="167"/>
      <c r="C458" s="168"/>
      <c r="D458" s="169"/>
      <c r="E458" s="170"/>
      <c r="F458" s="171"/>
      <c r="G458"/>
      <c r="H458"/>
      <c r="I458"/>
      <c r="J458"/>
      <c r="K458"/>
      <c r="L458"/>
      <c r="M458"/>
      <c r="N458"/>
      <c r="O458"/>
      <c r="P458"/>
      <c r="Q458"/>
      <c r="R458"/>
      <c r="S458"/>
      <c r="T458"/>
      <c r="U458"/>
      <c r="V458"/>
      <c r="W458"/>
    </row>
    <row r="459" spans="2:23" outlineLevel="1">
      <c r="B459" s="172"/>
      <c r="C459" s="173"/>
      <c r="D459" s="174"/>
      <c r="E459" s="175"/>
      <c r="F459" s="171"/>
      <c r="G459"/>
      <c r="H459"/>
      <c r="I459"/>
      <c r="J459"/>
      <c r="K459"/>
      <c r="L459"/>
      <c r="M459"/>
      <c r="N459"/>
      <c r="O459"/>
      <c r="P459"/>
      <c r="Q459"/>
      <c r="R459"/>
      <c r="S459"/>
      <c r="T459"/>
      <c r="U459"/>
      <c r="V459"/>
      <c r="W459"/>
    </row>
    <row r="460" spans="2:23" outlineLevel="1">
      <c r="B460" s="167"/>
      <c r="C460" s="168"/>
      <c r="D460" s="169"/>
      <c r="E460" s="170"/>
      <c r="F460" s="171"/>
      <c r="G460"/>
      <c r="H460"/>
      <c r="I460"/>
      <c r="J460"/>
      <c r="K460"/>
      <c r="L460"/>
      <c r="M460"/>
      <c r="N460"/>
      <c r="O460"/>
      <c r="P460"/>
      <c r="Q460"/>
      <c r="R460"/>
      <c r="S460"/>
      <c r="T460"/>
      <c r="U460"/>
      <c r="V460"/>
      <c r="W460"/>
    </row>
    <row r="461" spans="2:23" outlineLevel="1">
      <c r="B461" s="172"/>
      <c r="C461" s="173"/>
      <c r="D461" s="174"/>
      <c r="E461" s="175"/>
      <c r="F461" s="171"/>
      <c r="G461"/>
      <c r="H461"/>
      <c r="I461"/>
      <c r="J461"/>
      <c r="K461"/>
      <c r="L461"/>
      <c r="M461"/>
      <c r="N461"/>
      <c r="O461"/>
      <c r="P461"/>
      <c r="Q461"/>
      <c r="R461"/>
      <c r="S461"/>
      <c r="T461"/>
      <c r="U461"/>
      <c r="V461"/>
      <c r="W461"/>
    </row>
    <row r="462" spans="2:23" outlineLevel="1">
      <c r="B462" s="167"/>
      <c r="C462" s="168"/>
      <c r="D462" s="169"/>
      <c r="E462" s="170"/>
      <c r="F462" s="171"/>
      <c r="G462"/>
      <c r="H462"/>
      <c r="I462"/>
      <c r="J462"/>
      <c r="K462"/>
      <c r="L462"/>
      <c r="M462"/>
      <c r="N462"/>
      <c r="O462"/>
      <c r="P462"/>
      <c r="Q462"/>
      <c r="R462"/>
      <c r="S462"/>
      <c r="T462"/>
      <c r="U462"/>
      <c r="V462"/>
      <c r="W462"/>
    </row>
    <row r="463" spans="2:23" outlineLevel="1">
      <c r="B463" s="172"/>
      <c r="C463" s="173"/>
      <c r="D463" s="174"/>
      <c r="E463" s="175"/>
      <c r="F463" s="171"/>
      <c r="G463"/>
      <c r="H463"/>
      <c r="I463"/>
      <c r="J463"/>
      <c r="K463"/>
      <c r="L463"/>
      <c r="M463"/>
      <c r="N463"/>
      <c r="O463"/>
      <c r="P463"/>
      <c r="Q463"/>
      <c r="R463"/>
      <c r="S463"/>
      <c r="T463"/>
      <c r="U463"/>
      <c r="V463"/>
      <c r="W463"/>
    </row>
    <row r="464" spans="2:23" outlineLevel="1">
      <c r="B464" s="167"/>
      <c r="C464" s="168"/>
      <c r="D464" s="169"/>
      <c r="E464" s="170"/>
      <c r="F464" s="171"/>
      <c r="G464"/>
      <c r="H464"/>
      <c r="I464"/>
      <c r="J464"/>
      <c r="K464"/>
      <c r="L464"/>
      <c r="M464"/>
      <c r="N464"/>
      <c r="O464"/>
      <c r="P464"/>
      <c r="Q464"/>
      <c r="R464"/>
      <c r="S464"/>
      <c r="T464"/>
      <c r="U464"/>
      <c r="V464"/>
      <c r="W464"/>
    </row>
    <row r="465" spans="2:23" outlineLevel="1">
      <c r="B465" s="172"/>
      <c r="C465" s="173"/>
      <c r="D465" s="174"/>
      <c r="E465" s="175"/>
      <c r="F465" s="171"/>
      <c r="G465"/>
      <c r="H465"/>
      <c r="I465"/>
      <c r="J465"/>
      <c r="K465"/>
      <c r="L465"/>
      <c r="M465"/>
      <c r="N465"/>
      <c r="O465"/>
      <c r="P465"/>
      <c r="Q465"/>
      <c r="R465"/>
      <c r="S465"/>
      <c r="T465"/>
      <c r="U465"/>
      <c r="V465"/>
      <c r="W465"/>
    </row>
    <row r="466" spans="2:23" outlineLevel="1">
      <c r="B466" s="167"/>
      <c r="C466" s="168"/>
      <c r="D466" s="169"/>
      <c r="E466" s="170"/>
      <c r="F466" s="171"/>
      <c r="G466"/>
      <c r="H466"/>
      <c r="I466"/>
      <c r="J466"/>
      <c r="K466"/>
      <c r="L466"/>
      <c r="M466"/>
      <c r="N466"/>
      <c r="O466"/>
      <c r="P466"/>
      <c r="Q466"/>
      <c r="R466"/>
      <c r="S466"/>
      <c r="T466"/>
      <c r="U466"/>
      <c r="V466"/>
      <c r="W466"/>
    </row>
    <row r="467" spans="2:23" outlineLevel="1">
      <c r="B467" s="172"/>
      <c r="C467" s="173"/>
      <c r="D467" s="174"/>
      <c r="E467" s="175"/>
      <c r="F467" s="171"/>
      <c r="G467"/>
      <c r="H467"/>
      <c r="I467"/>
      <c r="J467"/>
      <c r="K467"/>
      <c r="L467"/>
      <c r="M467"/>
      <c r="N467"/>
      <c r="O467"/>
      <c r="P467"/>
      <c r="Q467"/>
      <c r="R467"/>
      <c r="S467"/>
      <c r="T467"/>
      <c r="U467"/>
      <c r="V467"/>
      <c r="W467"/>
    </row>
    <row r="468" spans="2:23" outlineLevel="1">
      <c r="B468" s="167"/>
      <c r="C468" s="168"/>
      <c r="D468" s="169"/>
      <c r="E468" s="170"/>
      <c r="F468" s="171"/>
      <c r="G468"/>
      <c r="H468"/>
      <c r="I468"/>
      <c r="J468"/>
      <c r="K468"/>
      <c r="L468"/>
      <c r="M468"/>
      <c r="N468"/>
      <c r="O468"/>
      <c r="P468"/>
      <c r="Q468"/>
      <c r="R468"/>
      <c r="S468"/>
      <c r="T468"/>
      <c r="U468"/>
      <c r="V468"/>
      <c r="W468"/>
    </row>
    <row r="469" spans="2:23" outlineLevel="1">
      <c r="B469" s="172"/>
      <c r="C469" s="173"/>
      <c r="D469" s="174"/>
      <c r="E469" s="175"/>
      <c r="F469" s="171"/>
      <c r="G469"/>
      <c r="H469"/>
      <c r="I469"/>
      <c r="J469"/>
      <c r="K469"/>
      <c r="L469"/>
      <c r="M469"/>
      <c r="N469"/>
      <c r="O469"/>
      <c r="P469"/>
      <c r="Q469"/>
      <c r="R469"/>
      <c r="S469"/>
      <c r="T469"/>
      <c r="U469"/>
      <c r="V469"/>
      <c r="W469"/>
    </row>
    <row r="470" spans="2:23" outlineLevel="1">
      <c r="B470" s="167"/>
      <c r="C470" s="168"/>
      <c r="D470" s="169"/>
      <c r="E470" s="170"/>
      <c r="F470" s="171"/>
      <c r="G470"/>
      <c r="H470"/>
      <c r="I470"/>
      <c r="J470"/>
      <c r="K470"/>
      <c r="L470"/>
      <c r="M470"/>
      <c r="N470"/>
      <c r="O470"/>
      <c r="P470"/>
      <c r="Q470"/>
      <c r="R470"/>
      <c r="S470"/>
      <c r="T470"/>
      <c r="U470"/>
      <c r="V470"/>
      <c r="W470"/>
    </row>
    <row r="471" spans="2:23" outlineLevel="1">
      <c r="B471" s="172"/>
      <c r="C471" s="173"/>
      <c r="D471" s="174"/>
      <c r="E471" s="175"/>
      <c r="F471" s="171"/>
      <c r="G471"/>
      <c r="H471"/>
      <c r="I471"/>
      <c r="J471"/>
      <c r="K471"/>
      <c r="L471"/>
      <c r="M471"/>
      <c r="N471"/>
      <c r="O471"/>
      <c r="P471"/>
      <c r="Q471"/>
      <c r="R471"/>
      <c r="S471"/>
      <c r="T471"/>
      <c r="U471"/>
      <c r="V471"/>
      <c r="W471"/>
    </row>
    <row r="472" spans="2:23" outlineLevel="1">
      <c r="B472" s="167"/>
      <c r="C472" s="168"/>
      <c r="D472" s="169"/>
      <c r="E472" s="170"/>
      <c r="F472" s="171"/>
      <c r="G472"/>
      <c r="H472"/>
      <c r="I472"/>
      <c r="J472"/>
      <c r="K472"/>
      <c r="L472"/>
      <c r="M472"/>
      <c r="N472"/>
      <c r="O472"/>
      <c r="P472"/>
      <c r="Q472"/>
      <c r="R472"/>
      <c r="S472"/>
      <c r="T472"/>
      <c r="U472"/>
      <c r="V472"/>
      <c r="W472"/>
    </row>
    <row r="473" spans="2:23" outlineLevel="1">
      <c r="B473" s="172"/>
      <c r="C473" s="173"/>
      <c r="D473" s="174"/>
      <c r="E473" s="175"/>
      <c r="F473" s="171"/>
      <c r="G473"/>
      <c r="H473"/>
      <c r="I473"/>
      <c r="J473"/>
      <c r="K473"/>
      <c r="L473"/>
      <c r="M473"/>
      <c r="N473"/>
      <c r="O473"/>
      <c r="P473"/>
      <c r="Q473"/>
      <c r="R473"/>
      <c r="S473"/>
      <c r="T473"/>
      <c r="U473"/>
      <c r="V473"/>
      <c r="W473"/>
    </row>
    <row r="474" spans="2:23" outlineLevel="1">
      <c r="B474" s="167"/>
      <c r="C474" s="168"/>
      <c r="D474" s="169"/>
      <c r="E474" s="170"/>
      <c r="F474" s="171"/>
      <c r="G474"/>
      <c r="H474"/>
      <c r="I474"/>
      <c r="J474"/>
      <c r="K474"/>
      <c r="L474"/>
      <c r="M474"/>
      <c r="N474"/>
      <c r="O474"/>
      <c r="P474"/>
      <c r="Q474"/>
      <c r="R474"/>
      <c r="S474"/>
      <c r="T474"/>
      <c r="U474"/>
      <c r="V474"/>
      <c r="W474"/>
    </row>
    <row r="475" spans="2:23" outlineLevel="1">
      <c r="B475" s="172"/>
      <c r="C475" s="173"/>
      <c r="D475" s="174"/>
      <c r="E475" s="175"/>
      <c r="F475" s="171"/>
      <c r="G475"/>
      <c r="H475"/>
      <c r="I475"/>
      <c r="J475"/>
      <c r="K475"/>
      <c r="L475"/>
      <c r="M475"/>
      <c r="N475"/>
      <c r="O475"/>
      <c r="P475"/>
      <c r="Q475"/>
      <c r="R475"/>
      <c r="S475"/>
      <c r="T475"/>
      <c r="U475"/>
      <c r="V475"/>
      <c r="W475"/>
    </row>
    <row r="476" spans="2:23" outlineLevel="1">
      <c r="B476" s="167"/>
      <c r="C476" s="168"/>
      <c r="D476" s="169"/>
      <c r="E476" s="170"/>
      <c r="F476" s="171"/>
      <c r="G476"/>
      <c r="H476"/>
      <c r="I476"/>
      <c r="J476"/>
      <c r="K476"/>
      <c r="L476"/>
      <c r="M476"/>
      <c r="N476"/>
      <c r="O476"/>
      <c r="P476"/>
      <c r="Q476"/>
      <c r="R476"/>
      <c r="S476"/>
      <c r="T476"/>
      <c r="U476"/>
      <c r="V476"/>
      <c r="W476"/>
    </row>
    <row r="477" spans="2:23" outlineLevel="1">
      <c r="B477" s="172"/>
      <c r="C477" s="173"/>
      <c r="D477" s="174"/>
      <c r="E477" s="175"/>
      <c r="F477" s="171"/>
      <c r="G477"/>
      <c r="H477"/>
      <c r="I477"/>
      <c r="J477"/>
      <c r="K477"/>
      <c r="L477"/>
      <c r="M477"/>
      <c r="N477"/>
      <c r="O477"/>
      <c r="P477"/>
      <c r="Q477"/>
      <c r="R477"/>
      <c r="S477"/>
      <c r="T477"/>
      <c r="U477"/>
      <c r="V477"/>
      <c r="W477"/>
    </row>
    <row r="478" spans="2:23" outlineLevel="1">
      <c r="B478" s="167"/>
      <c r="C478" s="168"/>
      <c r="D478" s="169"/>
      <c r="E478" s="170"/>
      <c r="F478" s="171"/>
      <c r="G478"/>
      <c r="H478"/>
      <c r="I478"/>
      <c r="J478"/>
      <c r="K478"/>
      <c r="L478"/>
      <c r="M478"/>
      <c r="N478"/>
      <c r="O478"/>
      <c r="P478"/>
      <c r="Q478"/>
      <c r="R478"/>
      <c r="S478"/>
      <c r="T478"/>
      <c r="U478"/>
      <c r="V478"/>
      <c r="W478"/>
    </row>
    <row r="479" spans="2:23" outlineLevel="1">
      <c r="B479" s="172"/>
      <c r="C479" s="173"/>
      <c r="D479" s="174"/>
      <c r="E479" s="175"/>
      <c r="F479" s="171"/>
      <c r="G479"/>
      <c r="H479"/>
      <c r="I479"/>
      <c r="J479"/>
      <c r="K479"/>
      <c r="L479"/>
      <c r="M479"/>
      <c r="N479"/>
      <c r="O479"/>
      <c r="P479"/>
      <c r="Q479"/>
      <c r="R479"/>
      <c r="S479"/>
      <c r="T479"/>
      <c r="U479"/>
      <c r="V479"/>
      <c r="W479"/>
    </row>
    <row r="480" spans="2:23" outlineLevel="1">
      <c r="B480" s="167"/>
      <c r="C480" s="168"/>
      <c r="D480" s="169"/>
      <c r="E480" s="170"/>
      <c r="F480" s="171"/>
      <c r="G480"/>
      <c r="H480"/>
      <c r="I480"/>
      <c r="J480"/>
      <c r="K480"/>
      <c r="L480"/>
      <c r="M480"/>
      <c r="N480"/>
      <c r="O480"/>
      <c r="P480"/>
      <c r="Q480"/>
      <c r="R480"/>
      <c r="S480"/>
      <c r="T480"/>
      <c r="U480"/>
      <c r="V480"/>
      <c r="W480"/>
    </row>
    <row r="481" spans="2:23" outlineLevel="1">
      <c r="B481" s="172"/>
      <c r="C481" s="173"/>
      <c r="D481" s="174"/>
      <c r="E481" s="175"/>
      <c r="F481" s="171"/>
      <c r="G481"/>
      <c r="H481"/>
      <c r="I481"/>
      <c r="J481"/>
      <c r="K481"/>
      <c r="L481"/>
      <c r="M481"/>
      <c r="N481"/>
      <c r="O481"/>
      <c r="P481"/>
      <c r="Q481"/>
      <c r="R481"/>
      <c r="S481"/>
      <c r="T481"/>
      <c r="U481"/>
      <c r="V481"/>
      <c r="W481"/>
    </row>
    <row r="482" spans="2:23" outlineLevel="1">
      <c r="B482" s="167"/>
      <c r="C482" s="168"/>
      <c r="D482" s="169"/>
      <c r="E482" s="170"/>
      <c r="F482" s="171"/>
      <c r="G482"/>
      <c r="H482"/>
      <c r="I482"/>
      <c r="J482"/>
      <c r="K482"/>
      <c r="L482"/>
      <c r="M482"/>
      <c r="N482"/>
      <c r="O482"/>
      <c r="P482"/>
      <c r="Q482"/>
      <c r="R482"/>
      <c r="S482"/>
      <c r="T482"/>
      <c r="U482"/>
      <c r="V482"/>
      <c r="W482"/>
    </row>
    <row r="483" spans="2:23" outlineLevel="1">
      <c r="B483" s="172"/>
      <c r="C483" s="173"/>
      <c r="D483" s="174"/>
      <c r="E483" s="175"/>
      <c r="F483" s="171"/>
      <c r="G483"/>
      <c r="H483"/>
      <c r="I483"/>
      <c r="J483"/>
      <c r="K483"/>
      <c r="L483"/>
      <c r="M483"/>
      <c r="N483"/>
      <c r="O483"/>
      <c r="P483"/>
      <c r="Q483"/>
      <c r="R483"/>
      <c r="S483"/>
      <c r="T483"/>
      <c r="U483"/>
      <c r="V483"/>
      <c r="W483"/>
    </row>
    <row r="484" spans="2:23" outlineLevel="1">
      <c r="B484" s="167"/>
      <c r="C484" s="168"/>
      <c r="D484" s="169"/>
      <c r="E484" s="170"/>
      <c r="F484" s="171"/>
      <c r="G484"/>
      <c r="H484"/>
      <c r="I484"/>
      <c r="J484"/>
      <c r="K484"/>
      <c r="L484"/>
      <c r="M484"/>
      <c r="N484"/>
      <c r="O484"/>
      <c r="P484"/>
      <c r="Q484"/>
      <c r="R484"/>
      <c r="S484"/>
      <c r="T484"/>
      <c r="U484"/>
      <c r="V484"/>
      <c r="W484"/>
    </row>
    <row r="485" spans="2:23" outlineLevel="1">
      <c r="B485" s="172"/>
      <c r="C485" s="173"/>
      <c r="D485" s="174"/>
      <c r="E485" s="175"/>
      <c r="F485" s="171"/>
      <c r="G485"/>
      <c r="H485"/>
      <c r="I485"/>
      <c r="J485"/>
      <c r="K485"/>
      <c r="L485"/>
      <c r="M485"/>
      <c r="N485"/>
      <c r="O485"/>
      <c r="P485"/>
      <c r="Q485"/>
      <c r="R485"/>
      <c r="S485"/>
      <c r="T485"/>
      <c r="U485"/>
      <c r="V485"/>
      <c r="W485"/>
    </row>
    <row r="486" spans="2:23" outlineLevel="1">
      <c r="B486" s="167"/>
      <c r="C486" s="168"/>
      <c r="D486" s="169"/>
      <c r="E486" s="170"/>
      <c r="F486" s="171"/>
      <c r="G486"/>
      <c r="H486"/>
      <c r="I486"/>
      <c r="J486"/>
      <c r="K486"/>
      <c r="L486"/>
      <c r="M486"/>
      <c r="N486"/>
      <c r="O486"/>
      <c r="P486"/>
      <c r="Q486"/>
      <c r="R486"/>
      <c r="S486"/>
      <c r="T486"/>
      <c r="U486"/>
      <c r="V486"/>
      <c r="W486"/>
    </row>
    <row r="487" spans="2:23" outlineLevel="1">
      <c r="B487" s="172"/>
      <c r="C487" s="173"/>
      <c r="D487" s="174"/>
      <c r="E487" s="175"/>
      <c r="F487" s="171"/>
      <c r="G487"/>
      <c r="H487"/>
      <c r="I487"/>
      <c r="J487"/>
      <c r="K487"/>
      <c r="L487"/>
      <c r="M487"/>
      <c r="N487"/>
      <c r="O487"/>
      <c r="P487"/>
      <c r="Q487"/>
      <c r="R487"/>
      <c r="S487"/>
      <c r="T487"/>
      <c r="U487"/>
      <c r="V487"/>
      <c r="W487"/>
    </row>
    <row r="488" spans="2:23" outlineLevel="1">
      <c r="B488" s="167"/>
      <c r="C488" s="168"/>
      <c r="D488" s="169"/>
      <c r="E488" s="170"/>
      <c r="F488" s="171"/>
      <c r="G488"/>
      <c r="H488"/>
      <c r="I488"/>
      <c r="J488"/>
      <c r="K488"/>
      <c r="L488"/>
      <c r="M488"/>
      <c r="N488"/>
      <c r="O488"/>
      <c r="P488"/>
      <c r="Q488"/>
      <c r="R488"/>
      <c r="S488"/>
      <c r="T488"/>
      <c r="U488"/>
      <c r="V488"/>
      <c r="W488"/>
    </row>
    <row r="489" spans="2:23" outlineLevel="1">
      <c r="B489" s="172"/>
      <c r="C489" s="173"/>
      <c r="D489" s="174"/>
      <c r="E489" s="175"/>
      <c r="F489" s="171"/>
      <c r="G489"/>
      <c r="H489"/>
      <c r="I489"/>
      <c r="J489"/>
      <c r="K489"/>
      <c r="L489"/>
      <c r="M489"/>
      <c r="N489"/>
      <c r="O489"/>
      <c r="P489"/>
      <c r="Q489"/>
      <c r="R489"/>
      <c r="S489"/>
      <c r="T489"/>
      <c r="U489"/>
      <c r="V489"/>
      <c r="W489"/>
    </row>
    <row r="490" spans="2:23" outlineLevel="1">
      <c r="B490" s="167"/>
      <c r="C490" s="168"/>
      <c r="D490" s="169"/>
      <c r="E490" s="170"/>
      <c r="F490" s="171"/>
      <c r="G490"/>
      <c r="H490"/>
      <c r="I490"/>
      <c r="J490"/>
      <c r="K490"/>
      <c r="L490"/>
      <c r="M490"/>
      <c r="N490"/>
      <c r="O490"/>
      <c r="P490"/>
      <c r="Q490"/>
      <c r="R490"/>
      <c r="S490"/>
      <c r="T490"/>
      <c r="U490"/>
      <c r="V490"/>
      <c r="W490"/>
    </row>
    <row r="491" spans="2:23" outlineLevel="1">
      <c r="B491" s="172"/>
      <c r="C491" s="173"/>
      <c r="D491" s="174"/>
      <c r="E491" s="175"/>
      <c r="F491" s="171"/>
      <c r="G491"/>
      <c r="H491"/>
      <c r="I491"/>
      <c r="J491"/>
      <c r="K491"/>
      <c r="L491"/>
      <c r="M491"/>
      <c r="N491"/>
      <c r="O491"/>
      <c r="P491"/>
      <c r="Q491"/>
      <c r="R491"/>
      <c r="S491"/>
      <c r="T491"/>
      <c r="U491"/>
      <c r="V491"/>
      <c r="W491"/>
    </row>
    <row r="492" spans="2:23" outlineLevel="1">
      <c r="B492" s="167"/>
      <c r="C492" s="168"/>
      <c r="D492" s="169"/>
      <c r="E492" s="170"/>
      <c r="F492" s="171"/>
      <c r="G492"/>
      <c r="H492"/>
      <c r="I492"/>
      <c r="J492"/>
      <c r="K492"/>
      <c r="L492"/>
      <c r="M492"/>
      <c r="N492"/>
      <c r="O492"/>
      <c r="P492"/>
      <c r="Q492"/>
      <c r="R492"/>
      <c r="S492"/>
      <c r="T492"/>
      <c r="U492"/>
      <c r="V492"/>
      <c r="W492"/>
    </row>
    <row r="493" spans="2:23" outlineLevel="1">
      <c r="B493" s="172"/>
      <c r="C493" s="173"/>
      <c r="D493" s="174"/>
      <c r="E493" s="175"/>
      <c r="F493" s="171"/>
      <c r="G493"/>
      <c r="H493"/>
      <c r="I493"/>
      <c r="J493"/>
      <c r="K493"/>
      <c r="L493"/>
      <c r="M493"/>
      <c r="N493"/>
      <c r="O493"/>
      <c r="P493"/>
      <c r="Q493"/>
      <c r="R493"/>
      <c r="S493"/>
      <c r="T493"/>
      <c r="U493"/>
      <c r="V493"/>
      <c r="W493"/>
    </row>
    <row r="494" spans="2:23" outlineLevel="1">
      <c r="B494" s="167"/>
      <c r="C494" s="168"/>
      <c r="D494" s="169"/>
      <c r="E494" s="170"/>
      <c r="F494" s="171"/>
      <c r="G494"/>
      <c r="H494"/>
      <c r="I494"/>
      <c r="J494"/>
      <c r="K494"/>
      <c r="L494"/>
      <c r="M494"/>
      <c r="N494"/>
      <c r="O494"/>
      <c r="P494"/>
      <c r="Q494"/>
      <c r="R494"/>
      <c r="S494"/>
      <c r="T494"/>
      <c r="U494"/>
      <c r="V494"/>
      <c r="W494"/>
    </row>
    <row r="495" spans="2:23" outlineLevel="1">
      <c r="B495" s="172"/>
      <c r="C495" s="173"/>
      <c r="D495" s="174"/>
      <c r="E495" s="175"/>
      <c r="F495" s="171"/>
      <c r="G495"/>
      <c r="H495"/>
      <c r="I495"/>
      <c r="J495"/>
      <c r="K495"/>
      <c r="L495"/>
      <c r="M495"/>
      <c r="N495"/>
      <c r="O495"/>
      <c r="P495"/>
      <c r="Q495"/>
      <c r="R495"/>
      <c r="S495"/>
      <c r="T495"/>
      <c r="U495"/>
      <c r="V495"/>
      <c r="W495"/>
    </row>
    <row r="496" spans="2:23" outlineLevel="1">
      <c r="B496" s="167"/>
      <c r="C496" s="168"/>
      <c r="D496" s="169"/>
      <c r="E496" s="170"/>
      <c r="F496" s="171"/>
      <c r="G496"/>
      <c r="H496"/>
      <c r="I496"/>
      <c r="J496"/>
      <c r="K496"/>
      <c r="L496"/>
      <c r="M496"/>
      <c r="N496"/>
      <c r="O496"/>
      <c r="P496"/>
      <c r="Q496"/>
      <c r="R496"/>
      <c r="S496"/>
      <c r="T496"/>
      <c r="U496"/>
      <c r="V496"/>
      <c r="W496"/>
    </row>
    <row r="497" spans="2:56" outlineLevel="1">
      <c r="B497" s="172"/>
      <c r="C497" s="173"/>
      <c r="D497" s="174"/>
      <c r="E497" s="175"/>
      <c r="F497" s="171"/>
      <c r="G497"/>
      <c r="H497"/>
      <c r="I497"/>
      <c r="J497"/>
      <c r="K497"/>
      <c r="L497"/>
      <c r="M497"/>
      <c r="N497"/>
      <c r="O497"/>
      <c r="P497"/>
      <c r="Q497"/>
      <c r="R497"/>
      <c r="S497"/>
      <c r="T497"/>
      <c r="U497"/>
      <c r="V497"/>
      <c r="W497"/>
    </row>
    <row r="498" spans="2:56" outlineLevel="1">
      <c r="B498" s="167"/>
      <c r="C498" s="168"/>
      <c r="D498" s="169"/>
      <c r="E498" s="170"/>
      <c r="F498" s="171"/>
      <c r="G498"/>
      <c r="H498"/>
      <c r="I498"/>
      <c r="J498"/>
      <c r="K498"/>
      <c r="L498"/>
      <c r="M498"/>
      <c r="N498"/>
      <c r="O498"/>
      <c r="P498"/>
      <c r="Q498"/>
      <c r="R498"/>
      <c r="S498"/>
      <c r="T498"/>
      <c r="U498"/>
      <c r="V498"/>
      <c r="W498"/>
    </row>
    <row r="499" spans="2:56" outlineLevel="1">
      <c r="B499" s="167"/>
      <c r="C499" s="168"/>
      <c r="D499" s="169"/>
      <c r="E499" s="170"/>
      <c r="F499" s="171"/>
      <c r="G499"/>
      <c r="H499"/>
      <c r="I499"/>
      <c r="J499"/>
      <c r="K499"/>
      <c r="L499"/>
      <c r="M499"/>
      <c r="N499"/>
      <c r="O499"/>
      <c r="P499"/>
      <c r="Q499"/>
      <c r="R499"/>
      <c r="S499"/>
      <c r="T499"/>
      <c r="U499"/>
      <c r="V499"/>
      <c r="W499"/>
    </row>
    <row r="500" spans="2:56" outlineLevel="1">
      <c r="B500" s="172"/>
      <c r="C500" s="173"/>
      <c r="D500" s="174"/>
      <c r="E500" s="175"/>
      <c r="F500" s="171"/>
      <c r="G500"/>
      <c r="H500"/>
      <c r="I500"/>
      <c r="J500"/>
      <c r="K500"/>
      <c r="L500"/>
      <c r="M500"/>
      <c r="N500"/>
      <c r="O500"/>
      <c r="P500"/>
      <c r="Q500"/>
      <c r="R500"/>
      <c r="S500"/>
      <c r="T500"/>
      <c r="U500"/>
      <c r="V500"/>
      <c r="W500"/>
    </row>
    <row r="501" spans="2:56" outlineLevel="1">
      <c r="B501" s="167"/>
      <c r="C501" s="168"/>
      <c r="D501" s="169"/>
      <c r="E501" s="170"/>
      <c r="F501" s="171"/>
      <c r="G501"/>
      <c r="H501"/>
      <c r="I501"/>
      <c r="J501"/>
      <c r="K501"/>
      <c r="L501"/>
      <c r="M501"/>
      <c r="N501"/>
      <c r="O501"/>
      <c r="P501"/>
      <c r="Q501"/>
      <c r="R501"/>
      <c r="S501"/>
      <c r="T501"/>
      <c r="U501"/>
      <c r="V501"/>
      <c r="W501"/>
    </row>
    <row r="502" spans="2:56" outlineLevel="1">
      <c r="B502" s="172"/>
      <c r="C502" s="173"/>
      <c r="D502" s="174"/>
      <c r="E502" s="175"/>
      <c r="F502" s="171"/>
      <c r="G502"/>
      <c r="H502"/>
      <c r="I502"/>
      <c r="J502"/>
      <c r="K502"/>
      <c r="L502"/>
      <c r="M502"/>
      <c r="N502"/>
      <c r="O502"/>
      <c r="P502"/>
      <c r="Q502"/>
      <c r="R502"/>
      <c r="S502"/>
      <c r="T502"/>
      <c r="U502"/>
      <c r="V502"/>
      <c r="W502"/>
    </row>
    <row r="503" spans="2:56" outlineLevel="1">
      <c r="B503" s="167"/>
      <c r="C503" s="168"/>
      <c r="D503" s="169"/>
      <c r="E503" s="170"/>
      <c r="F503" s="171"/>
      <c r="G503"/>
      <c r="H503"/>
      <c r="I503"/>
      <c r="J503"/>
      <c r="K503"/>
      <c r="L503"/>
      <c r="M503"/>
      <c r="N503"/>
      <c r="O503"/>
      <c r="P503"/>
      <c r="Q503"/>
      <c r="R503"/>
      <c r="S503"/>
      <c r="T503"/>
      <c r="U503"/>
      <c r="V503"/>
      <c r="W503"/>
    </row>
    <row r="504" spans="2:56" outlineLevel="1">
      <c r="B504" s="172"/>
      <c r="C504" s="173"/>
      <c r="D504" s="174"/>
      <c r="E504" s="175"/>
      <c r="F504" s="171"/>
      <c r="G504"/>
      <c r="H504"/>
      <c r="I504"/>
      <c r="J504"/>
      <c r="K504"/>
      <c r="L504"/>
      <c r="M504"/>
      <c r="N504"/>
      <c r="O504"/>
      <c r="P504"/>
      <c r="Q504"/>
      <c r="R504"/>
      <c r="S504"/>
      <c r="T504"/>
      <c r="U504"/>
      <c r="V504"/>
      <c r="W504"/>
    </row>
    <row r="505" spans="2:56" outlineLevel="1">
      <c r="B505" s="167"/>
      <c r="C505" s="168"/>
      <c r="D505" s="169"/>
      <c r="E505" s="170"/>
      <c r="F505" s="171"/>
      <c r="G505"/>
      <c r="H505"/>
      <c r="I505"/>
      <c r="J505"/>
      <c r="K505"/>
      <c r="L505"/>
      <c r="M505"/>
      <c r="N505"/>
      <c r="O505"/>
      <c r="P505"/>
      <c r="Q505"/>
      <c r="R505"/>
      <c r="S505"/>
      <c r="T505"/>
      <c r="U505"/>
      <c r="V505"/>
      <c r="W505"/>
    </row>
    <row r="506" spans="2:56" outlineLevel="1">
      <c r="B506" s="172"/>
      <c r="C506" s="173"/>
      <c r="D506" s="174"/>
      <c r="E506" s="175"/>
      <c r="F506" s="171"/>
      <c r="G506"/>
      <c r="H506"/>
      <c r="I506"/>
      <c r="J506"/>
      <c r="K506"/>
      <c r="L506"/>
      <c r="M506"/>
      <c r="N506"/>
      <c r="O506"/>
      <c r="P506"/>
      <c r="Q506"/>
      <c r="R506"/>
      <c r="S506"/>
      <c r="T506"/>
      <c r="U506"/>
      <c r="V506"/>
      <c r="W506"/>
    </row>
    <row r="507" spans="2:56" outlineLevel="1">
      <c r="B507" s="167"/>
      <c r="C507" s="168"/>
      <c r="D507" s="169"/>
      <c r="E507" s="170"/>
      <c r="F507" s="171"/>
      <c r="G507"/>
      <c r="H507"/>
      <c r="I507"/>
      <c r="J507"/>
      <c r="K507"/>
      <c r="L507"/>
      <c r="M507"/>
      <c r="N507"/>
      <c r="O507"/>
      <c r="P507"/>
      <c r="Q507"/>
      <c r="R507"/>
      <c r="S507"/>
      <c r="T507"/>
      <c r="U507"/>
      <c r="V507"/>
      <c r="W507"/>
    </row>
    <row r="508" spans="2:56" outlineLevel="1">
      <c r="B508" s="172"/>
      <c r="C508" s="173"/>
      <c r="D508" s="174"/>
      <c r="E508" s="175"/>
      <c r="F508" s="171"/>
      <c r="G508"/>
      <c r="H508"/>
      <c r="I508"/>
      <c r="J508"/>
      <c r="K508"/>
      <c r="L508"/>
      <c r="M508"/>
      <c r="N508"/>
      <c r="O508"/>
      <c r="P508"/>
      <c r="Q508"/>
      <c r="R508"/>
      <c r="S508"/>
      <c r="T508"/>
      <c r="U508"/>
      <c r="V508"/>
      <c r="W508"/>
    </row>
    <row r="509" spans="2:56" outlineLevel="1">
      <c r="B509" s="167"/>
      <c r="C509" s="168"/>
      <c r="D509" s="169"/>
      <c r="E509" s="170"/>
      <c r="F509" s="171"/>
      <c r="G509"/>
      <c r="H509"/>
      <c r="I509"/>
      <c r="J509"/>
      <c r="K509"/>
      <c r="L509"/>
      <c r="M509"/>
      <c r="N509"/>
      <c r="O509"/>
      <c r="P509"/>
      <c r="Q509"/>
      <c r="R509"/>
      <c r="S509"/>
      <c r="T509"/>
      <c r="U509"/>
      <c r="V509"/>
      <c r="W509"/>
    </row>
    <row r="510" spans="2:56">
      <c r="B510" s="89" t="str">
        <f>IF(Main_Parameters!$C$47="Continuous","REMnd","WR32")</f>
        <v>REMnd</v>
      </c>
      <c r="C510" s="5" t="s">
        <v>1303</v>
      </c>
      <c r="D510" s="285" t="str">
        <f>IF(Main_Parameters!$C$41="TX0/1 Enable","4050","2050")</f>
        <v>4050</v>
      </c>
      <c r="E510" s="83" t="s">
        <v>1643</v>
      </c>
      <c r="F510" s="36" t="s">
        <v>1642</v>
      </c>
      <c r="G510"/>
      <c r="H510"/>
      <c r="I510" s="2"/>
      <c r="Y510" s="410"/>
      <c r="Z510" s="410"/>
      <c r="AA510" s="41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29"/>
      <c r="AX510" s="429"/>
      <c r="AY510" s="429"/>
      <c r="AZ510" s="429"/>
      <c r="BA510" s="429"/>
      <c r="BB510" s="429"/>
      <c r="BC510" s="429"/>
      <c r="BD510" s="429"/>
    </row>
    <row r="511" spans="2:56">
      <c r="B511" s="16" t="s">
        <v>323</v>
      </c>
      <c r="C511" s="5" t="s">
        <v>431</v>
      </c>
      <c r="D511" s="14" t="s">
        <v>434</v>
      </c>
      <c r="E511" s="100" t="str">
        <f>DEC2HEX(Y511*2^31+Z511*2^30+AA511*2^29+AB511*2^28+AC511*2^27+AD511*2^26+AE511*2^25+AF511*2^24+AG511*2^23+AH511*2^22+AI511*2^21+AJ511*2^20+AK511*2^19+AL511*2^18+AM511*2^17+AN511*2^16+AO511*2^15+AP511*2^14+AQ511*2^13+AR511*2^12+AS511*2^11+AT511*2^10+AU511*2^9+AV511*2^8+AW511*2^7+AX511*2^6+AY511*2^5+AZ511*2^4+BA511*2^3+BB511*2^2+BC511*2^1+BD511*2^0,8)</f>
        <v>80040010</v>
      </c>
      <c r="F511" s="36"/>
      <c r="G511"/>
      <c r="H511" s="188" t="s">
        <v>440</v>
      </c>
      <c r="I511" s="194" t="s">
        <v>441</v>
      </c>
      <c r="J511" s="192"/>
      <c r="K511" s="191"/>
      <c r="L511" s="191"/>
      <c r="M511" s="191"/>
      <c r="N511" s="191"/>
      <c r="O511" s="189"/>
      <c r="P511" s="191"/>
      <c r="Q511" s="288" t="s">
        <v>439</v>
      </c>
      <c r="R511" s="289" t="str">
        <f>IF(AND(S511&gt;0,S511&lt;2^13),"OK","NG")</f>
        <v>OK</v>
      </c>
      <c r="S511" s="305">
        <v>4</v>
      </c>
      <c r="T511" s="206"/>
      <c r="U511" s="288" t="s">
        <v>438</v>
      </c>
      <c r="V511" s="289" t="str">
        <f>IF(AND(W511&gt;1,W511&lt;2^13),"OK","NG")</f>
        <v>OK</v>
      </c>
      <c r="W511" s="305">
        <v>16</v>
      </c>
      <c r="Y511" s="362">
        <f>IF(I511="With Video",1,0)</f>
        <v>1</v>
      </c>
      <c r="Z511" s="360">
        <v>0</v>
      </c>
      <c r="AA511" s="360">
        <v>0</v>
      </c>
      <c r="AB511" s="360">
        <v>0</v>
      </c>
      <c r="AC511" s="360">
        <v>0</v>
      </c>
      <c r="AD511" s="360">
        <v>0</v>
      </c>
      <c r="AE511" s="360">
        <v>0</v>
      </c>
      <c r="AF511" s="361">
        <v>0</v>
      </c>
      <c r="AG511" s="359">
        <v>0</v>
      </c>
      <c r="AH511" s="360">
        <v>0</v>
      </c>
      <c r="AI511" s="360">
        <v>0</v>
      </c>
      <c r="AJ511" s="360">
        <v>0</v>
      </c>
      <c r="AK511" s="360">
        <v>0</v>
      </c>
      <c r="AL511" s="360">
        <v>0</v>
      </c>
      <c r="AM511" s="360">
        <v>0</v>
      </c>
      <c r="AN511" s="364">
        <f>S511</f>
        <v>4</v>
      </c>
      <c r="AO511" s="359">
        <v>0</v>
      </c>
      <c r="AP511" s="360">
        <v>0</v>
      </c>
      <c r="AQ511" s="360">
        <v>0</v>
      </c>
      <c r="AR511" s="360">
        <v>0</v>
      </c>
      <c r="AS511" s="360">
        <v>0</v>
      </c>
      <c r="AT511" s="360">
        <v>0</v>
      </c>
      <c r="AU511" s="360">
        <v>0</v>
      </c>
      <c r="AV511" s="361">
        <v>0</v>
      </c>
      <c r="AW511" s="359">
        <v>0</v>
      </c>
      <c r="AX511" s="360">
        <v>0</v>
      </c>
      <c r="AY511" s="360">
        <v>0</v>
      </c>
      <c r="AZ511" s="360">
        <v>0</v>
      </c>
      <c r="BA511" s="360">
        <v>0</v>
      </c>
      <c r="BB511" s="360">
        <v>0</v>
      </c>
      <c r="BC511" s="360">
        <v>0</v>
      </c>
      <c r="BD511" s="364">
        <f>W511</f>
        <v>16</v>
      </c>
    </row>
    <row r="512" spans="2:56">
      <c r="B512" s="89" t="str">
        <f>IF(Main_Parameters!$C$41="TX0 Enable","REMnd","WR32")</f>
        <v>WR32</v>
      </c>
      <c r="C512" s="5" t="s">
        <v>430</v>
      </c>
      <c r="D512" s="14" t="s">
        <v>435</v>
      </c>
      <c r="E512" s="100" t="str">
        <f>DEC2HEX(Y512*2^31+Z512*2^30+AA512*2^29+AB512*2^28+AC512*2^27+AD512*2^26+AE512*2^25+AF512*2^24+AG512*2^23+AH512*2^22+AI512*2^21+AJ512*2^20+AK512*2^19+AL512*2^18+AM512*2^17+AN512*2^16+AO512*2^15+AP512*2^14+AQ512*2^13+AR512*2^12+AS512*2^11+AT512*2^10+AU512*2^9+AV512*2^8+AW512*2^7+AX512*2^6+AY512*2^5+AZ512*2^4+BA512*2^3+BB512*2^2+BC512*2^1+BD512*2^0,8)</f>
        <v>80040010</v>
      </c>
      <c r="F512" s="36"/>
      <c r="G512"/>
      <c r="H512" s="188" t="s">
        <v>440</v>
      </c>
      <c r="I512" s="194" t="s">
        <v>441</v>
      </c>
      <c r="J512" s="192"/>
      <c r="K512" s="191"/>
      <c r="L512" s="191"/>
      <c r="M512" s="191"/>
      <c r="N512" s="191"/>
      <c r="O512" s="189"/>
      <c r="P512" s="191"/>
      <c r="Q512" s="288" t="s">
        <v>439</v>
      </c>
      <c r="R512" s="289" t="str">
        <f>IF(AND(S512&gt;0,S512&lt;2^13),"OK","NG")</f>
        <v>OK</v>
      </c>
      <c r="S512" s="305">
        <v>4</v>
      </c>
      <c r="T512" s="206"/>
      <c r="U512" s="288" t="s">
        <v>438</v>
      </c>
      <c r="V512" s="289" t="str">
        <f>IF(AND(W512&gt;1,W512&lt;2^13),"OK","NG")</f>
        <v>OK</v>
      </c>
      <c r="W512" s="305">
        <v>16</v>
      </c>
      <c r="Y512" s="362">
        <f>IF(I512="With Video",1,0)</f>
        <v>1</v>
      </c>
      <c r="Z512" s="360">
        <v>0</v>
      </c>
      <c r="AA512" s="360">
        <v>0</v>
      </c>
      <c r="AB512" s="360">
        <v>0</v>
      </c>
      <c r="AC512" s="360">
        <v>0</v>
      </c>
      <c r="AD512" s="360">
        <v>0</v>
      </c>
      <c r="AE512" s="360">
        <v>0</v>
      </c>
      <c r="AF512" s="361">
        <v>0</v>
      </c>
      <c r="AG512" s="359">
        <v>0</v>
      </c>
      <c r="AH512" s="360">
        <v>0</v>
      </c>
      <c r="AI512" s="360">
        <v>0</v>
      </c>
      <c r="AJ512" s="360">
        <v>0</v>
      </c>
      <c r="AK512" s="360">
        <v>0</v>
      </c>
      <c r="AL512" s="360">
        <v>0</v>
      </c>
      <c r="AM512" s="360">
        <v>0</v>
      </c>
      <c r="AN512" s="364">
        <f>S512</f>
        <v>4</v>
      </c>
      <c r="AO512" s="359">
        <v>0</v>
      </c>
      <c r="AP512" s="360">
        <v>0</v>
      </c>
      <c r="AQ512" s="360">
        <v>0</v>
      </c>
      <c r="AR512" s="360">
        <v>0</v>
      </c>
      <c r="AS512" s="360">
        <v>0</v>
      </c>
      <c r="AT512" s="360">
        <v>0</v>
      </c>
      <c r="AU512" s="360">
        <v>0</v>
      </c>
      <c r="AV512" s="361">
        <v>0</v>
      </c>
      <c r="AW512" s="359">
        <v>0</v>
      </c>
      <c r="AX512" s="360">
        <v>0</v>
      </c>
      <c r="AY512" s="360">
        <v>0</v>
      </c>
      <c r="AZ512" s="360">
        <v>0</v>
      </c>
      <c r="BA512" s="360">
        <v>0</v>
      </c>
      <c r="BB512" s="360">
        <v>0</v>
      </c>
      <c r="BC512" s="360">
        <v>0</v>
      </c>
      <c r="BD512" s="364">
        <f>W512</f>
        <v>16</v>
      </c>
    </row>
    <row r="513" spans="2:23">
      <c r="B513" s="16" t="s">
        <v>323</v>
      </c>
      <c r="C513" s="5" t="s">
        <v>432</v>
      </c>
      <c r="D513" s="14" t="s">
        <v>436</v>
      </c>
      <c r="E513" s="83" t="s">
        <v>442</v>
      </c>
      <c r="F513" s="36"/>
      <c r="G513"/>
      <c r="H513"/>
      <c r="I513" s="2"/>
    </row>
    <row r="514" spans="2:23">
      <c r="B514" s="89" t="str">
        <f>IF(Main_Parameters!$C$41="TX0 Enable","REMnd","WR32")</f>
        <v>WR32</v>
      </c>
      <c r="C514" s="5" t="s">
        <v>433</v>
      </c>
      <c r="D514" s="14" t="s">
        <v>437</v>
      </c>
      <c r="E514" s="83" t="s">
        <v>442</v>
      </c>
      <c r="F514" s="36"/>
      <c r="G514"/>
      <c r="H514"/>
      <c r="I514" s="2"/>
    </row>
    <row r="515" spans="2:23">
      <c r="B515" s="234" t="s">
        <v>1464</v>
      </c>
      <c r="C515" s="235" t="s">
        <v>899</v>
      </c>
      <c r="D515" s="14"/>
      <c r="E515" s="83"/>
      <c r="F515" s="235" t="s">
        <v>900</v>
      </c>
      <c r="G515"/>
      <c r="H515"/>
      <c r="I515" s="2"/>
    </row>
    <row r="516" spans="2:23">
      <c r="B516" s="16" t="s">
        <v>319</v>
      </c>
      <c r="C516" s="5" t="s">
        <v>443</v>
      </c>
      <c r="D516" s="14" t="s">
        <v>444</v>
      </c>
      <c r="E516" s="83" t="s">
        <v>442</v>
      </c>
      <c r="F516" s="36" t="s">
        <v>445</v>
      </c>
      <c r="G516"/>
      <c r="H516"/>
      <c r="I516" s="2"/>
    </row>
    <row r="517" spans="2:23" ht="15">
      <c r="B517" s="280" t="s">
        <v>14</v>
      </c>
      <c r="C517" s="281" t="s">
        <v>451</v>
      </c>
      <c r="D517" s="282"/>
      <c r="E517" s="278"/>
      <c r="F517" s="279"/>
      <c r="G517"/>
      <c r="H517"/>
      <c r="I517"/>
      <c r="J517"/>
      <c r="K517"/>
      <c r="L517"/>
      <c r="M517"/>
      <c r="N517"/>
      <c r="O517"/>
      <c r="P517"/>
      <c r="Q517"/>
      <c r="R517"/>
      <c r="S517"/>
      <c r="T517"/>
      <c r="U517"/>
      <c r="V517"/>
      <c r="W517"/>
    </row>
    <row r="518" spans="2:23" outlineLevel="1">
      <c r="B518" s="167"/>
      <c r="C518" s="168"/>
      <c r="D518" s="169"/>
      <c r="E518" s="170"/>
      <c r="F518" s="171"/>
      <c r="G518"/>
      <c r="H518"/>
      <c r="I518"/>
      <c r="J518"/>
      <c r="K518"/>
      <c r="L518"/>
      <c r="M518"/>
      <c r="N518"/>
      <c r="O518"/>
      <c r="P518"/>
      <c r="Q518"/>
      <c r="R518"/>
      <c r="S518"/>
      <c r="T518"/>
      <c r="U518"/>
      <c r="V518"/>
      <c r="W518"/>
    </row>
    <row r="519" spans="2:23" outlineLevel="1">
      <c r="B519" s="167"/>
      <c r="C519" s="168"/>
      <c r="D519" s="169"/>
      <c r="E519" s="170"/>
      <c r="F519" s="171"/>
      <c r="G519"/>
      <c r="H519"/>
      <c r="I519"/>
      <c r="J519"/>
      <c r="K519"/>
      <c r="L519"/>
      <c r="M519"/>
      <c r="N519"/>
      <c r="O519"/>
      <c r="P519"/>
      <c r="Q519"/>
      <c r="R519"/>
      <c r="S519"/>
      <c r="T519"/>
      <c r="U519"/>
      <c r="V519"/>
      <c r="W519"/>
    </row>
    <row r="520" spans="2:23" outlineLevel="1">
      <c r="B520" s="167"/>
      <c r="C520" s="168"/>
      <c r="D520" s="311"/>
      <c r="E520" s="170"/>
      <c r="F520" s="171"/>
      <c r="G520"/>
      <c r="H520"/>
      <c r="I520"/>
      <c r="J520"/>
      <c r="K520"/>
      <c r="L520"/>
      <c r="M520"/>
      <c r="N520"/>
      <c r="O520"/>
      <c r="P520"/>
      <c r="Q520"/>
      <c r="R520"/>
      <c r="S520"/>
      <c r="T520"/>
      <c r="U520"/>
      <c r="V520"/>
      <c r="W520"/>
    </row>
    <row r="521" spans="2:23" outlineLevel="1">
      <c r="B521" s="167"/>
      <c r="C521" s="168"/>
      <c r="D521" s="170"/>
      <c r="E521" s="170"/>
      <c r="F521" s="171"/>
      <c r="G521"/>
      <c r="H521"/>
      <c r="I521"/>
      <c r="J521"/>
      <c r="K521"/>
      <c r="L521"/>
      <c r="M521"/>
      <c r="N521"/>
      <c r="O521"/>
      <c r="P521"/>
      <c r="Q521"/>
      <c r="R521"/>
      <c r="S521"/>
      <c r="T521"/>
      <c r="U521"/>
      <c r="V521"/>
      <c r="W521"/>
    </row>
    <row r="522" spans="2:23" outlineLevel="1">
      <c r="B522" s="167"/>
      <c r="C522" s="168"/>
      <c r="D522" s="311"/>
      <c r="E522" s="286"/>
      <c r="F522" s="171"/>
      <c r="G522"/>
      <c r="H522"/>
      <c r="I522"/>
      <c r="J522"/>
      <c r="K522"/>
      <c r="L522"/>
      <c r="M522"/>
      <c r="N522"/>
      <c r="O522"/>
      <c r="P522"/>
      <c r="Q522"/>
      <c r="R522"/>
      <c r="S522"/>
      <c r="T522"/>
      <c r="U522"/>
      <c r="V522"/>
      <c r="W522"/>
    </row>
    <row r="523" spans="2:23" outlineLevel="1">
      <c r="B523" s="268"/>
      <c r="C523" s="269"/>
      <c r="D523" s="270"/>
      <c r="E523" s="271"/>
      <c r="F523" s="269"/>
      <c r="G523"/>
      <c r="H523"/>
      <c r="I523"/>
      <c r="J523"/>
      <c r="K523"/>
      <c r="L523"/>
      <c r="M523"/>
      <c r="N523"/>
      <c r="O523"/>
      <c r="P523"/>
      <c r="Q523"/>
      <c r="R523"/>
      <c r="S523"/>
      <c r="T523"/>
      <c r="U523"/>
      <c r="V523"/>
      <c r="W523"/>
    </row>
    <row r="524" spans="2:23" outlineLevel="1">
      <c r="B524" s="167"/>
      <c r="C524" s="168"/>
      <c r="D524" s="169"/>
      <c r="E524" s="170"/>
      <c r="F524" s="171"/>
      <c r="G524"/>
      <c r="H524"/>
      <c r="I524"/>
      <c r="J524"/>
      <c r="K524"/>
      <c r="L524"/>
      <c r="M524"/>
      <c r="N524"/>
      <c r="O524"/>
      <c r="P524"/>
      <c r="Q524"/>
      <c r="R524"/>
      <c r="S524"/>
      <c r="T524"/>
      <c r="U524"/>
      <c r="V524"/>
      <c r="W524"/>
    </row>
    <row r="525" spans="2:23" outlineLevel="1">
      <c r="B525" s="167"/>
      <c r="C525" s="168"/>
      <c r="D525" s="311"/>
      <c r="E525" s="170"/>
      <c r="F525" s="171"/>
      <c r="G525"/>
      <c r="H525"/>
      <c r="I525"/>
      <c r="J525"/>
      <c r="K525"/>
      <c r="L525"/>
      <c r="M525"/>
      <c r="N525"/>
      <c r="O525"/>
      <c r="P525"/>
      <c r="Q525"/>
      <c r="R525"/>
      <c r="S525"/>
      <c r="T525"/>
      <c r="U525"/>
      <c r="V525"/>
      <c r="W525"/>
    </row>
    <row r="526" spans="2:23" outlineLevel="1">
      <c r="B526" s="167"/>
      <c r="C526" s="168"/>
      <c r="D526" s="170"/>
      <c r="E526" s="170"/>
      <c r="F526" s="171"/>
      <c r="G526"/>
      <c r="H526"/>
      <c r="I526"/>
      <c r="J526"/>
      <c r="K526"/>
      <c r="L526"/>
      <c r="M526"/>
      <c r="N526"/>
      <c r="O526"/>
      <c r="P526"/>
      <c r="Q526"/>
      <c r="R526"/>
      <c r="S526"/>
      <c r="T526"/>
      <c r="U526"/>
      <c r="V526"/>
      <c r="W526"/>
    </row>
    <row r="527" spans="2:23" outlineLevel="1">
      <c r="B527" s="167"/>
      <c r="C527" s="168"/>
      <c r="D527" s="311"/>
      <c r="E527" s="286"/>
      <c r="F527" s="171"/>
      <c r="G527"/>
      <c r="H527"/>
      <c r="I527"/>
      <c r="J527"/>
      <c r="K527"/>
      <c r="L527"/>
      <c r="M527"/>
      <c r="N527"/>
      <c r="O527"/>
      <c r="P527"/>
      <c r="Q527"/>
      <c r="R527"/>
      <c r="S527"/>
      <c r="T527"/>
      <c r="U527"/>
      <c r="V527"/>
      <c r="W527"/>
    </row>
    <row r="528" spans="2:23" outlineLevel="1">
      <c r="B528" s="268"/>
      <c r="C528" s="269"/>
      <c r="D528" s="270"/>
      <c r="E528" s="271"/>
      <c r="F528" s="269"/>
      <c r="G528"/>
      <c r="H528"/>
      <c r="I528"/>
      <c r="J528"/>
      <c r="K528"/>
      <c r="L528"/>
      <c r="M528"/>
      <c r="N528"/>
      <c r="O528"/>
      <c r="P528"/>
      <c r="Q528"/>
      <c r="R528"/>
      <c r="S528"/>
      <c r="T528"/>
      <c r="U528"/>
      <c r="V528"/>
      <c r="W528"/>
    </row>
    <row r="529" spans="2:23" outlineLevel="1">
      <c r="B529" s="167"/>
      <c r="C529" s="168"/>
      <c r="D529" s="169"/>
      <c r="E529" s="170"/>
      <c r="F529" s="171"/>
      <c r="G529"/>
      <c r="H529"/>
      <c r="I529"/>
      <c r="J529"/>
      <c r="K529"/>
      <c r="L529"/>
      <c r="M529"/>
      <c r="N529"/>
      <c r="O529"/>
      <c r="P529"/>
      <c r="Q529"/>
      <c r="R529"/>
      <c r="S529"/>
      <c r="T529"/>
      <c r="U529"/>
      <c r="V529"/>
      <c r="W529"/>
    </row>
    <row r="530" spans="2:23" outlineLevel="1">
      <c r="B530" s="167"/>
      <c r="C530" s="168"/>
      <c r="D530" s="311"/>
      <c r="E530" s="170"/>
      <c r="F530" s="171"/>
      <c r="G530"/>
      <c r="H530"/>
      <c r="I530"/>
      <c r="J530"/>
      <c r="K530"/>
      <c r="L530"/>
      <c r="M530"/>
      <c r="N530"/>
      <c r="O530"/>
      <c r="P530"/>
      <c r="Q530"/>
      <c r="R530"/>
      <c r="S530"/>
      <c r="T530"/>
      <c r="U530"/>
      <c r="V530"/>
      <c r="W530"/>
    </row>
    <row r="531" spans="2:23" outlineLevel="1">
      <c r="B531" s="167"/>
      <c r="C531" s="168"/>
      <c r="D531" s="170"/>
      <c r="E531" s="170"/>
      <c r="F531" s="171"/>
      <c r="G531"/>
      <c r="H531"/>
      <c r="I531"/>
      <c r="J531"/>
      <c r="K531"/>
      <c r="L531"/>
      <c r="M531"/>
      <c r="N531"/>
      <c r="O531"/>
      <c r="P531"/>
      <c r="Q531"/>
      <c r="R531"/>
      <c r="S531"/>
      <c r="T531"/>
      <c r="U531"/>
      <c r="V531"/>
      <c r="W531"/>
    </row>
    <row r="532" spans="2:23" outlineLevel="1">
      <c r="B532" s="167"/>
      <c r="C532" s="168"/>
      <c r="D532" s="311"/>
      <c r="E532" s="286"/>
      <c r="F532" s="171"/>
      <c r="G532"/>
      <c r="H532"/>
      <c r="I532"/>
      <c r="J532"/>
      <c r="K532"/>
      <c r="L532"/>
      <c r="M532"/>
      <c r="N532"/>
      <c r="O532"/>
      <c r="P532"/>
      <c r="Q532"/>
      <c r="R532"/>
      <c r="S532"/>
      <c r="T532"/>
      <c r="U532"/>
      <c r="V532"/>
      <c r="W532"/>
    </row>
    <row r="533" spans="2:23" outlineLevel="1">
      <c r="B533" s="268"/>
      <c r="C533" s="269"/>
      <c r="D533" s="270"/>
      <c r="E533" s="271"/>
      <c r="F533" s="269"/>
      <c r="G533"/>
      <c r="H533"/>
      <c r="I533"/>
      <c r="J533"/>
      <c r="K533"/>
      <c r="L533"/>
      <c r="M533"/>
      <c r="N533"/>
      <c r="O533"/>
      <c r="P533"/>
      <c r="Q533"/>
      <c r="R533"/>
      <c r="S533"/>
      <c r="T533"/>
      <c r="U533"/>
      <c r="V533"/>
      <c r="W533"/>
    </row>
    <row r="534" spans="2:23" outlineLevel="1">
      <c r="B534" s="167"/>
      <c r="C534" s="168"/>
      <c r="D534" s="169"/>
      <c r="E534" s="170"/>
      <c r="F534" s="171"/>
      <c r="G534"/>
      <c r="H534"/>
      <c r="I534"/>
      <c r="J534"/>
      <c r="K534"/>
      <c r="L534"/>
      <c r="M534"/>
      <c r="N534"/>
      <c r="O534"/>
      <c r="P534"/>
      <c r="Q534"/>
      <c r="R534"/>
      <c r="S534"/>
      <c r="T534"/>
      <c r="U534"/>
      <c r="V534"/>
      <c r="W534"/>
    </row>
    <row r="535" spans="2:23" outlineLevel="1">
      <c r="B535" s="167"/>
      <c r="C535" s="168"/>
      <c r="D535" s="311"/>
      <c r="E535" s="170"/>
      <c r="F535" s="171"/>
      <c r="G535"/>
      <c r="H535"/>
      <c r="I535"/>
      <c r="J535"/>
      <c r="K535"/>
      <c r="L535"/>
      <c r="M535"/>
      <c r="N535"/>
      <c r="O535"/>
      <c r="P535"/>
      <c r="Q535"/>
      <c r="R535"/>
      <c r="S535"/>
      <c r="T535"/>
      <c r="U535"/>
      <c r="V535"/>
      <c r="W535"/>
    </row>
    <row r="536" spans="2:23" outlineLevel="1">
      <c r="B536" s="167"/>
      <c r="C536" s="168"/>
      <c r="D536" s="170"/>
      <c r="E536" s="170"/>
      <c r="F536" s="171"/>
      <c r="G536"/>
      <c r="H536"/>
      <c r="I536"/>
      <c r="J536"/>
      <c r="K536"/>
      <c r="L536"/>
      <c r="M536"/>
      <c r="N536"/>
      <c r="O536"/>
      <c r="P536"/>
      <c r="Q536"/>
      <c r="R536"/>
      <c r="S536"/>
      <c r="T536"/>
      <c r="U536"/>
      <c r="V536"/>
      <c r="W536"/>
    </row>
    <row r="537" spans="2:23" outlineLevel="1">
      <c r="B537" s="167"/>
      <c r="C537" s="168"/>
      <c r="D537" s="311"/>
      <c r="E537" s="286"/>
      <c r="F537" s="171"/>
      <c r="G537"/>
      <c r="H537"/>
      <c r="I537"/>
      <c r="J537"/>
      <c r="K537"/>
      <c r="L537"/>
      <c r="M537"/>
      <c r="N537"/>
      <c r="O537"/>
      <c r="P537"/>
      <c r="Q537"/>
      <c r="R537"/>
      <c r="S537"/>
      <c r="T537"/>
      <c r="U537"/>
      <c r="V537"/>
      <c r="W537"/>
    </row>
    <row r="538" spans="2:23" outlineLevel="1">
      <c r="B538" s="268"/>
      <c r="C538" s="269"/>
      <c r="D538" s="270"/>
      <c r="E538" s="271"/>
      <c r="F538" s="269"/>
      <c r="G538"/>
      <c r="H538"/>
      <c r="I538"/>
      <c r="J538"/>
      <c r="K538"/>
      <c r="L538"/>
      <c r="M538"/>
      <c r="N538"/>
      <c r="O538"/>
      <c r="P538"/>
      <c r="Q538"/>
      <c r="R538"/>
      <c r="S538"/>
      <c r="T538"/>
      <c r="U538"/>
      <c r="V538"/>
      <c r="W538"/>
    </row>
    <row r="539" spans="2:23" outlineLevel="1">
      <c r="B539" s="167"/>
      <c r="C539" s="167"/>
      <c r="D539" s="167"/>
      <c r="E539" s="167"/>
      <c r="F539" s="167"/>
      <c r="G539"/>
      <c r="H539"/>
      <c r="I539"/>
      <c r="J539"/>
      <c r="K539"/>
      <c r="L539"/>
      <c r="M539"/>
      <c r="N539"/>
      <c r="O539"/>
      <c r="P539"/>
      <c r="Q539"/>
      <c r="R539"/>
      <c r="S539"/>
      <c r="T539"/>
      <c r="U539"/>
      <c r="V539"/>
      <c r="W539"/>
    </row>
    <row r="540" spans="2:23" outlineLevel="1">
      <c r="B540" s="167"/>
      <c r="C540" s="167"/>
      <c r="D540" s="167"/>
      <c r="E540" s="167"/>
      <c r="F540" s="167"/>
      <c r="G540"/>
      <c r="H540"/>
      <c r="I540"/>
      <c r="J540"/>
      <c r="K540"/>
      <c r="L540"/>
      <c r="M540"/>
      <c r="N540"/>
      <c r="O540"/>
      <c r="P540"/>
      <c r="Q540"/>
      <c r="R540"/>
      <c r="S540"/>
      <c r="T540"/>
      <c r="U540"/>
      <c r="V540"/>
      <c r="W540"/>
    </row>
    <row r="541" spans="2:23" outlineLevel="1">
      <c r="B541" s="167"/>
      <c r="C541" s="167"/>
      <c r="D541" s="167"/>
      <c r="E541" s="167"/>
      <c r="F541" s="167"/>
      <c r="G541"/>
      <c r="H541"/>
      <c r="I541"/>
      <c r="J541"/>
      <c r="K541"/>
      <c r="L541"/>
      <c r="M541"/>
      <c r="N541"/>
      <c r="O541"/>
      <c r="P541"/>
      <c r="Q541"/>
      <c r="R541"/>
      <c r="S541"/>
      <c r="T541"/>
      <c r="U541"/>
      <c r="V541"/>
      <c r="W541"/>
    </row>
    <row r="542" spans="2:23" outlineLevel="1">
      <c r="B542" s="167"/>
      <c r="C542" s="167"/>
      <c r="D542" s="167"/>
      <c r="E542" s="167"/>
      <c r="F542" s="167"/>
      <c r="G542"/>
      <c r="H542"/>
      <c r="I542"/>
      <c r="J542"/>
      <c r="K542"/>
      <c r="L542"/>
      <c r="M542"/>
      <c r="N542"/>
      <c r="O542"/>
      <c r="P542"/>
      <c r="Q542"/>
      <c r="R542"/>
      <c r="S542"/>
      <c r="T542"/>
      <c r="U542"/>
      <c r="V542"/>
      <c r="W542"/>
    </row>
    <row r="543" spans="2:23" outlineLevel="1">
      <c r="B543" s="167"/>
      <c r="C543" s="167"/>
      <c r="D543" s="167"/>
      <c r="E543" s="167"/>
      <c r="F543" s="167"/>
      <c r="G543"/>
      <c r="H543"/>
      <c r="I543"/>
      <c r="J543"/>
      <c r="K543"/>
      <c r="L543"/>
      <c r="M543"/>
      <c r="N543"/>
      <c r="O543"/>
      <c r="P543"/>
      <c r="Q543"/>
      <c r="R543"/>
      <c r="S543"/>
      <c r="T543"/>
      <c r="U543"/>
      <c r="V543"/>
      <c r="W543"/>
    </row>
    <row r="544" spans="2:23" outlineLevel="1">
      <c r="B544" s="167"/>
      <c r="C544" s="167"/>
      <c r="D544" s="167"/>
      <c r="E544" s="167"/>
      <c r="F544" s="167"/>
      <c r="G544"/>
      <c r="H544"/>
      <c r="I544"/>
      <c r="J544"/>
      <c r="K544"/>
      <c r="L544"/>
      <c r="M544"/>
      <c r="N544"/>
      <c r="O544"/>
      <c r="P544"/>
      <c r="Q544"/>
      <c r="R544"/>
      <c r="S544"/>
      <c r="T544"/>
      <c r="U544"/>
      <c r="V544"/>
      <c r="W544"/>
    </row>
    <row r="545" spans="2:23" outlineLevel="1">
      <c r="B545" s="167"/>
      <c r="C545" s="167"/>
      <c r="D545" s="167"/>
      <c r="E545" s="167"/>
      <c r="F545" s="167"/>
      <c r="G545"/>
      <c r="H545"/>
      <c r="I545"/>
      <c r="J545"/>
      <c r="K545"/>
      <c r="L545"/>
      <c r="M545"/>
      <c r="N545"/>
      <c r="O545"/>
      <c r="P545"/>
      <c r="Q545"/>
      <c r="R545"/>
      <c r="S545"/>
      <c r="T545"/>
      <c r="U545"/>
      <c r="V545"/>
      <c r="W545"/>
    </row>
    <row r="546" spans="2:23" outlineLevel="1">
      <c r="B546" s="167"/>
      <c r="C546" s="167"/>
      <c r="D546" s="167"/>
      <c r="E546" s="167"/>
      <c r="F546" s="167"/>
      <c r="G546"/>
      <c r="H546"/>
      <c r="I546"/>
      <c r="J546"/>
      <c r="K546"/>
      <c r="L546"/>
      <c r="M546"/>
      <c r="N546"/>
      <c r="O546"/>
      <c r="P546"/>
      <c r="Q546"/>
      <c r="R546"/>
      <c r="S546"/>
      <c r="T546"/>
      <c r="U546"/>
      <c r="V546"/>
      <c r="W546"/>
    </row>
    <row r="547" spans="2:23" outlineLevel="1">
      <c r="B547" s="167"/>
      <c r="C547" s="167"/>
      <c r="D547" s="167"/>
      <c r="E547" s="167"/>
      <c r="F547" s="167"/>
      <c r="G547"/>
      <c r="H547"/>
      <c r="I547"/>
      <c r="J547"/>
      <c r="K547"/>
      <c r="L547"/>
      <c r="M547"/>
      <c r="N547"/>
      <c r="O547"/>
      <c r="P547"/>
      <c r="Q547"/>
      <c r="R547"/>
      <c r="S547"/>
      <c r="T547"/>
      <c r="U547"/>
      <c r="V547"/>
      <c r="W547"/>
    </row>
    <row r="548" spans="2:23" outlineLevel="1">
      <c r="B548" s="167"/>
      <c r="C548" s="167"/>
      <c r="D548" s="167"/>
      <c r="E548" s="167"/>
      <c r="F548" s="167"/>
      <c r="G548"/>
      <c r="H548"/>
      <c r="I548"/>
      <c r="J548"/>
      <c r="K548"/>
      <c r="L548"/>
      <c r="M548"/>
      <c r="N548"/>
      <c r="O548"/>
      <c r="P548"/>
      <c r="Q548"/>
      <c r="R548"/>
      <c r="S548"/>
      <c r="T548"/>
      <c r="U548"/>
      <c r="V548"/>
      <c r="W548"/>
    </row>
    <row r="549" spans="2:23" outlineLevel="1">
      <c r="B549" s="167"/>
      <c r="C549" s="167"/>
      <c r="D549" s="167"/>
      <c r="E549" s="167"/>
      <c r="F549" s="167"/>
      <c r="G549"/>
      <c r="H549"/>
      <c r="I549"/>
      <c r="J549"/>
      <c r="K549"/>
      <c r="L549"/>
      <c r="M549"/>
      <c r="N549"/>
      <c r="O549"/>
      <c r="P549"/>
      <c r="Q549"/>
      <c r="R549"/>
      <c r="S549"/>
      <c r="T549"/>
      <c r="U549"/>
      <c r="V549"/>
      <c r="W549"/>
    </row>
    <row r="550" spans="2:23" outlineLevel="1">
      <c r="B550" s="167"/>
      <c r="C550" s="167"/>
      <c r="D550" s="167"/>
      <c r="E550" s="167"/>
      <c r="F550" s="167"/>
      <c r="G550"/>
      <c r="H550"/>
      <c r="I550"/>
      <c r="J550"/>
      <c r="K550"/>
      <c r="L550"/>
      <c r="M550"/>
      <c r="N550"/>
      <c r="O550"/>
      <c r="P550"/>
      <c r="Q550"/>
      <c r="R550"/>
      <c r="S550"/>
      <c r="T550"/>
      <c r="U550"/>
      <c r="V550"/>
      <c r="W550"/>
    </row>
    <row r="551" spans="2:23" outlineLevel="1">
      <c r="B551" s="167"/>
      <c r="C551" s="167"/>
      <c r="D551" s="167"/>
      <c r="E551" s="167"/>
      <c r="F551" s="167"/>
      <c r="G551"/>
      <c r="H551"/>
      <c r="I551"/>
      <c r="J551"/>
      <c r="K551"/>
      <c r="L551"/>
      <c r="M551"/>
      <c r="N551"/>
      <c r="O551"/>
      <c r="P551"/>
      <c r="Q551"/>
      <c r="R551"/>
      <c r="S551"/>
      <c r="T551"/>
      <c r="U551"/>
      <c r="V551"/>
      <c r="W551"/>
    </row>
    <row r="552" spans="2:23" outlineLevel="1">
      <c r="B552" s="167"/>
      <c r="C552" s="167"/>
      <c r="D552" s="167"/>
      <c r="E552" s="167"/>
      <c r="F552" s="167"/>
      <c r="G552"/>
      <c r="H552"/>
      <c r="I552"/>
      <c r="J552"/>
      <c r="K552"/>
      <c r="L552"/>
      <c r="M552"/>
      <c r="N552"/>
      <c r="O552"/>
      <c r="P552"/>
      <c r="Q552"/>
      <c r="R552"/>
      <c r="S552"/>
      <c r="T552"/>
      <c r="U552"/>
      <c r="V552"/>
      <c r="W552"/>
    </row>
    <row r="553" spans="2:23" outlineLevel="1">
      <c r="B553" s="167"/>
      <c r="C553" s="167"/>
      <c r="D553" s="167"/>
      <c r="E553" s="167"/>
      <c r="F553" s="167"/>
      <c r="G553"/>
      <c r="H553"/>
      <c r="I553"/>
      <c r="J553"/>
      <c r="K553"/>
      <c r="L553"/>
      <c r="M553"/>
      <c r="N553"/>
      <c r="O553"/>
      <c r="P553"/>
      <c r="Q553"/>
      <c r="R553"/>
      <c r="S553"/>
      <c r="T553"/>
      <c r="U553"/>
      <c r="V553"/>
      <c r="W553"/>
    </row>
    <row r="554" spans="2:23" outlineLevel="1">
      <c r="B554" s="167"/>
      <c r="C554" s="167"/>
      <c r="D554" s="167"/>
      <c r="E554" s="167"/>
      <c r="F554" s="167"/>
      <c r="G554"/>
      <c r="H554"/>
      <c r="I554"/>
      <c r="J554"/>
      <c r="K554"/>
      <c r="L554"/>
      <c r="M554"/>
      <c r="N554"/>
      <c r="O554"/>
      <c r="P554"/>
      <c r="Q554"/>
      <c r="R554"/>
      <c r="S554"/>
      <c r="T554"/>
      <c r="U554"/>
      <c r="V554"/>
      <c r="W554"/>
    </row>
    <row r="555" spans="2:23" outlineLevel="1">
      <c r="B555" s="167"/>
      <c r="C555" s="167"/>
      <c r="D555" s="167"/>
      <c r="E555" s="167"/>
      <c r="F555" s="167"/>
      <c r="G555"/>
      <c r="H555"/>
      <c r="I555"/>
      <c r="J555"/>
      <c r="K555"/>
      <c r="L555"/>
      <c r="M555"/>
      <c r="N555"/>
      <c r="O555"/>
      <c r="P555"/>
      <c r="Q555"/>
      <c r="R555"/>
      <c r="S555"/>
      <c r="T555"/>
      <c r="U555"/>
      <c r="V555"/>
      <c r="W555"/>
    </row>
    <row r="556" spans="2:23" outlineLevel="1">
      <c r="B556" s="167"/>
      <c r="C556" s="167"/>
      <c r="D556" s="167"/>
      <c r="E556" s="167"/>
      <c r="F556" s="167"/>
      <c r="G556"/>
      <c r="H556"/>
      <c r="I556"/>
      <c r="J556"/>
      <c r="K556"/>
      <c r="L556"/>
      <c r="M556"/>
      <c r="N556"/>
      <c r="O556"/>
      <c r="P556"/>
      <c r="Q556"/>
      <c r="R556"/>
      <c r="S556"/>
      <c r="T556"/>
      <c r="U556"/>
      <c r="V556"/>
      <c r="W556"/>
    </row>
    <row r="557" spans="2:23" outlineLevel="1">
      <c r="B557" s="167"/>
      <c r="C557" s="167"/>
      <c r="D557" s="167"/>
      <c r="E557" s="167"/>
      <c r="F557" s="167"/>
      <c r="G557"/>
      <c r="H557"/>
      <c r="I557"/>
      <c r="J557"/>
      <c r="K557"/>
      <c r="L557"/>
      <c r="M557"/>
      <c r="N557"/>
      <c r="O557"/>
      <c r="P557"/>
      <c r="Q557"/>
      <c r="R557"/>
      <c r="S557"/>
      <c r="T557"/>
      <c r="U557"/>
      <c r="V557"/>
      <c r="W557"/>
    </row>
    <row r="558" spans="2:23" outlineLevel="1">
      <c r="B558" s="167"/>
      <c r="C558" s="167"/>
      <c r="D558" s="167"/>
      <c r="E558" s="167"/>
      <c r="F558" s="167"/>
      <c r="G558"/>
      <c r="H558"/>
      <c r="I558"/>
      <c r="J558"/>
      <c r="K558"/>
      <c r="L558"/>
      <c r="M558"/>
      <c r="N558"/>
      <c r="O558"/>
      <c r="P558"/>
      <c r="Q558"/>
      <c r="R558"/>
      <c r="S558"/>
      <c r="T558"/>
      <c r="U558"/>
      <c r="V558"/>
      <c r="W558"/>
    </row>
    <row r="559" spans="2:23" outlineLevel="1">
      <c r="B559" s="167"/>
      <c r="C559" s="167"/>
      <c r="D559" s="167"/>
      <c r="E559" s="167"/>
      <c r="F559" s="167"/>
      <c r="G559"/>
      <c r="H559"/>
      <c r="I559"/>
      <c r="J559"/>
      <c r="K559"/>
      <c r="L559"/>
      <c r="M559"/>
      <c r="N559"/>
      <c r="O559"/>
      <c r="P559"/>
      <c r="Q559"/>
      <c r="R559"/>
      <c r="S559"/>
      <c r="T559"/>
      <c r="U559"/>
      <c r="V559"/>
      <c r="W559"/>
    </row>
    <row r="560" spans="2:23" outlineLevel="1">
      <c r="B560" s="167"/>
      <c r="C560" s="167"/>
      <c r="D560" s="167"/>
      <c r="E560" s="167"/>
      <c r="F560" s="167"/>
      <c r="G560"/>
      <c r="H560"/>
      <c r="I560"/>
      <c r="J560"/>
      <c r="K560"/>
      <c r="L560"/>
      <c r="M560"/>
      <c r="N560"/>
      <c r="O560"/>
      <c r="P560"/>
      <c r="Q560"/>
      <c r="R560"/>
      <c r="S560"/>
      <c r="T560"/>
      <c r="U560"/>
      <c r="V560"/>
      <c r="W560"/>
    </row>
    <row r="561" spans="2:23" outlineLevel="1">
      <c r="B561" s="167"/>
      <c r="C561" s="167"/>
      <c r="D561" s="167"/>
      <c r="E561" s="167"/>
      <c r="F561" s="167"/>
      <c r="G561"/>
      <c r="H561"/>
      <c r="I561"/>
      <c r="J561"/>
      <c r="K561"/>
      <c r="L561"/>
      <c r="M561"/>
      <c r="N561"/>
      <c r="O561"/>
      <c r="P561"/>
      <c r="Q561"/>
      <c r="R561"/>
      <c r="S561"/>
      <c r="T561"/>
      <c r="U561"/>
      <c r="V561"/>
      <c r="W561"/>
    </row>
    <row r="562" spans="2:23" outlineLevel="1">
      <c r="B562" s="167"/>
      <c r="C562" s="167"/>
      <c r="D562" s="167"/>
      <c r="E562" s="167"/>
      <c r="F562" s="167"/>
      <c r="G562"/>
      <c r="H562"/>
      <c r="I562"/>
      <c r="J562"/>
      <c r="K562"/>
      <c r="L562"/>
      <c r="M562"/>
      <c r="N562"/>
      <c r="O562"/>
      <c r="P562"/>
      <c r="Q562"/>
      <c r="R562"/>
      <c r="S562"/>
      <c r="T562"/>
      <c r="U562"/>
      <c r="V562"/>
      <c r="W562"/>
    </row>
    <row r="563" spans="2:23" outlineLevel="1">
      <c r="B563" s="167"/>
      <c r="C563" s="167"/>
      <c r="D563" s="167"/>
      <c r="E563" s="167"/>
      <c r="F563" s="167"/>
      <c r="G563"/>
      <c r="H563"/>
      <c r="I563"/>
      <c r="J563"/>
      <c r="K563"/>
      <c r="L563"/>
      <c r="M563"/>
      <c r="N563"/>
      <c r="O563"/>
      <c r="P563"/>
      <c r="Q563"/>
      <c r="R563"/>
      <c r="S563"/>
      <c r="T563"/>
      <c r="U563"/>
      <c r="V563"/>
      <c r="W563"/>
    </row>
    <row r="564" spans="2:23" outlineLevel="1">
      <c r="B564" s="167"/>
      <c r="C564" s="167"/>
      <c r="D564" s="167"/>
      <c r="E564" s="167"/>
      <c r="F564" s="167"/>
      <c r="G564"/>
      <c r="H564"/>
      <c r="I564"/>
      <c r="J564"/>
      <c r="K564"/>
      <c r="L564"/>
      <c r="M564"/>
      <c r="N564"/>
      <c r="O564"/>
      <c r="P564"/>
      <c r="Q564"/>
      <c r="R564"/>
      <c r="S564"/>
      <c r="T564"/>
      <c r="U564"/>
      <c r="V564"/>
      <c r="W564"/>
    </row>
    <row r="565" spans="2:23" outlineLevel="1">
      <c r="B565" s="167"/>
      <c r="C565" s="168"/>
      <c r="D565" s="169"/>
      <c r="E565" s="170"/>
      <c r="F565" s="171"/>
      <c r="G565"/>
      <c r="H565"/>
      <c r="I565"/>
      <c r="J565"/>
      <c r="K565"/>
      <c r="L565"/>
      <c r="M565"/>
      <c r="N565"/>
      <c r="O565"/>
      <c r="P565"/>
      <c r="Q565"/>
      <c r="R565"/>
      <c r="S565"/>
      <c r="T565"/>
      <c r="U565"/>
      <c r="V565"/>
      <c r="W565"/>
    </row>
    <row r="566" spans="2:23" outlineLevel="1">
      <c r="B566" s="167"/>
      <c r="C566" s="168"/>
      <c r="D566" s="169"/>
      <c r="E566" s="170"/>
      <c r="F566" s="171"/>
      <c r="G566"/>
      <c r="H566"/>
      <c r="I566"/>
      <c r="J566"/>
      <c r="K566"/>
      <c r="L566"/>
      <c r="M566"/>
      <c r="N566"/>
      <c r="O566"/>
      <c r="P566"/>
      <c r="Q566"/>
      <c r="R566"/>
      <c r="S566"/>
      <c r="T566"/>
      <c r="U566"/>
      <c r="V566"/>
      <c r="W566"/>
    </row>
    <row r="567" spans="2:23" outlineLevel="1">
      <c r="B567" s="167"/>
      <c r="C567" s="168"/>
      <c r="D567" s="169"/>
      <c r="E567" s="170"/>
      <c r="F567" s="171"/>
      <c r="G567"/>
      <c r="H567"/>
      <c r="I567"/>
      <c r="J567"/>
      <c r="K567"/>
      <c r="L567"/>
      <c r="M567"/>
      <c r="N567"/>
      <c r="O567"/>
      <c r="P567"/>
      <c r="Q567"/>
      <c r="R567"/>
      <c r="S567"/>
      <c r="T567"/>
      <c r="U567"/>
      <c r="V567"/>
      <c r="W567"/>
    </row>
    <row r="568" spans="2:23" outlineLevel="1">
      <c r="B568" s="167"/>
      <c r="C568" s="168"/>
      <c r="D568" s="170"/>
      <c r="E568" s="170"/>
      <c r="F568" s="171"/>
      <c r="G568"/>
      <c r="H568"/>
      <c r="I568"/>
      <c r="J568"/>
      <c r="K568"/>
      <c r="L568"/>
      <c r="M568"/>
      <c r="N568"/>
      <c r="O568"/>
      <c r="P568"/>
      <c r="Q568"/>
      <c r="R568"/>
      <c r="S568"/>
      <c r="T568"/>
      <c r="U568"/>
      <c r="V568"/>
      <c r="W568"/>
    </row>
    <row r="569" spans="2:23" outlineLevel="1">
      <c r="B569" s="167"/>
      <c r="C569" s="168"/>
      <c r="D569" s="169"/>
      <c r="E569" s="170"/>
      <c r="F569" s="171"/>
      <c r="G569"/>
      <c r="H569"/>
      <c r="I569"/>
      <c r="J569"/>
      <c r="K569"/>
      <c r="L569"/>
      <c r="M569"/>
      <c r="N569"/>
      <c r="O569"/>
      <c r="P569"/>
      <c r="Q569"/>
      <c r="R569"/>
      <c r="S569"/>
      <c r="T569"/>
      <c r="U569"/>
      <c r="V569"/>
      <c r="W569"/>
    </row>
    <row r="570" spans="2:23" outlineLevel="1">
      <c r="B570" s="167"/>
      <c r="C570" s="168"/>
      <c r="D570" s="169"/>
      <c r="E570" s="170"/>
      <c r="F570" s="171"/>
      <c r="G570"/>
      <c r="H570"/>
      <c r="I570"/>
      <c r="J570"/>
      <c r="K570"/>
      <c r="L570"/>
      <c r="M570"/>
      <c r="N570"/>
      <c r="O570"/>
      <c r="P570"/>
      <c r="Q570"/>
      <c r="R570"/>
      <c r="S570"/>
      <c r="T570"/>
      <c r="U570"/>
      <c r="V570"/>
      <c r="W570"/>
    </row>
    <row r="571" spans="2:23" outlineLevel="1">
      <c r="B571" s="167"/>
      <c r="C571" s="168"/>
      <c r="D571" s="169"/>
      <c r="E571" s="170"/>
      <c r="F571" s="171"/>
      <c r="G571"/>
      <c r="H571"/>
      <c r="I571"/>
      <c r="J571"/>
      <c r="K571"/>
      <c r="L571"/>
      <c r="M571"/>
      <c r="N571"/>
      <c r="O571"/>
      <c r="P571"/>
      <c r="Q571"/>
      <c r="R571"/>
      <c r="S571"/>
      <c r="T571"/>
      <c r="U571"/>
      <c r="V571"/>
      <c r="W571"/>
    </row>
    <row r="572" spans="2:23" outlineLevel="1">
      <c r="B572" s="167"/>
      <c r="C572" s="168"/>
      <c r="D572" s="170"/>
      <c r="E572" s="170"/>
      <c r="F572" s="171"/>
      <c r="G572"/>
      <c r="H572"/>
      <c r="I572"/>
      <c r="J572"/>
      <c r="K572"/>
      <c r="L572"/>
      <c r="M572"/>
      <c r="N572"/>
      <c r="O572"/>
      <c r="P572"/>
      <c r="Q572"/>
      <c r="R572"/>
      <c r="S572"/>
      <c r="T572"/>
      <c r="U572"/>
      <c r="V572"/>
      <c r="W572"/>
    </row>
    <row r="573" spans="2:23" outlineLevel="1">
      <c r="B573" s="167"/>
      <c r="C573" s="168"/>
      <c r="D573" s="169"/>
      <c r="E573" s="170"/>
      <c r="F573" s="171"/>
      <c r="G573"/>
      <c r="H573"/>
      <c r="I573"/>
      <c r="J573"/>
      <c r="K573"/>
      <c r="L573"/>
      <c r="M573"/>
      <c r="N573"/>
      <c r="O573"/>
      <c r="P573"/>
      <c r="Q573"/>
      <c r="R573"/>
      <c r="S573"/>
      <c r="T573"/>
      <c r="U573"/>
      <c r="V573"/>
      <c r="W573"/>
    </row>
    <row r="574" spans="2:23" outlineLevel="1">
      <c r="B574" s="167"/>
      <c r="C574" s="168"/>
      <c r="D574" s="169"/>
      <c r="E574" s="170"/>
      <c r="F574" s="171"/>
      <c r="G574"/>
      <c r="H574"/>
      <c r="I574"/>
      <c r="J574"/>
      <c r="K574"/>
      <c r="L574"/>
      <c r="M574"/>
      <c r="N574"/>
      <c r="O574"/>
      <c r="P574"/>
      <c r="Q574"/>
      <c r="R574"/>
      <c r="S574"/>
      <c r="T574"/>
      <c r="U574"/>
      <c r="V574"/>
      <c r="W574"/>
    </row>
    <row r="575" spans="2:23" outlineLevel="1">
      <c r="B575" s="167"/>
      <c r="C575" s="168"/>
      <c r="D575" s="169"/>
      <c r="E575" s="170"/>
      <c r="F575" s="171"/>
      <c r="G575"/>
      <c r="H575"/>
      <c r="I575"/>
      <c r="J575"/>
      <c r="K575"/>
      <c r="L575"/>
      <c r="M575"/>
      <c r="N575"/>
      <c r="O575"/>
      <c r="P575"/>
      <c r="Q575"/>
      <c r="R575"/>
      <c r="S575"/>
      <c r="T575"/>
      <c r="U575"/>
      <c r="V575"/>
      <c r="W575"/>
    </row>
    <row r="576" spans="2:23" outlineLevel="1">
      <c r="B576" s="167"/>
      <c r="C576" s="168"/>
      <c r="D576" s="170"/>
      <c r="E576" s="170"/>
      <c r="F576" s="171"/>
      <c r="G576"/>
      <c r="H576"/>
      <c r="I576"/>
      <c r="J576"/>
      <c r="K576"/>
      <c r="L576"/>
      <c r="M576"/>
      <c r="N576"/>
      <c r="O576"/>
      <c r="P576"/>
      <c r="Q576"/>
      <c r="R576"/>
      <c r="S576"/>
      <c r="T576"/>
      <c r="U576"/>
      <c r="V576"/>
      <c r="W576"/>
    </row>
    <row r="577" spans="2:23" outlineLevel="1">
      <c r="B577" s="167"/>
      <c r="C577" s="168"/>
      <c r="D577" s="169"/>
      <c r="E577" s="170"/>
      <c r="F577" s="171"/>
      <c r="G577"/>
      <c r="H577"/>
      <c r="I577"/>
      <c r="J577"/>
      <c r="K577"/>
      <c r="L577"/>
      <c r="M577"/>
      <c r="N577"/>
      <c r="O577"/>
      <c r="P577"/>
      <c r="Q577"/>
      <c r="R577"/>
      <c r="S577"/>
      <c r="T577"/>
      <c r="U577"/>
      <c r="V577"/>
      <c r="W577"/>
    </row>
    <row r="578" spans="2:23" outlineLevel="1">
      <c r="B578" s="167"/>
      <c r="C578" s="168"/>
      <c r="D578" s="169"/>
      <c r="E578" s="170"/>
      <c r="F578" s="171"/>
      <c r="G578"/>
      <c r="H578"/>
      <c r="I578"/>
      <c r="J578"/>
      <c r="K578"/>
      <c r="L578"/>
      <c r="M578"/>
      <c r="N578"/>
      <c r="O578"/>
      <c r="P578"/>
      <c r="Q578"/>
      <c r="R578"/>
      <c r="S578"/>
      <c r="T578"/>
      <c r="U578"/>
      <c r="V578"/>
      <c r="W578"/>
    </row>
    <row r="579" spans="2:23" outlineLevel="1">
      <c r="B579" s="167"/>
      <c r="C579" s="168"/>
      <c r="D579" s="169"/>
      <c r="E579" s="170"/>
      <c r="F579" s="171"/>
      <c r="G579"/>
      <c r="H579"/>
      <c r="I579"/>
      <c r="J579"/>
      <c r="K579"/>
      <c r="L579"/>
      <c r="M579"/>
      <c r="N579"/>
      <c r="O579"/>
      <c r="P579"/>
      <c r="Q579"/>
      <c r="R579"/>
      <c r="S579"/>
      <c r="T579"/>
      <c r="U579"/>
      <c r="V579"/>
      <c r="W579"/>
    </row>
    <row r="580" spans="2:23" outlineLevel="1">
      <c r="B580" s="167"/>
      <c r="C580" s="168"/>
      <c r="D580" s="169"/>
      <c r="E580" s="170"/>
      <c r="F580" s="171"/>
      <c r="G580"/>
      <c r="H580"/>
      <c r="I580"/>
      <c r="J580"/>
      <c r="K580"/>
      <c r="L580"/>
      <c r="M580"/>
      <c r="N580"/>
      <c r="O580"/>
      <c r="P580"/>
      <c r="Q580"/>
      <c r="R580"/>
      <c r="S580"/>
      <c r="T580"/>
      <c r="U580"/>
      <c r="V580"/>
      <c r="W580"/>
    </row>
    <row r="581" spans="2:23" outlineLevel="1">
      <c r="B581" s="167"/>
      <c r="C581" s="168"/>
      <c r="D581" s="169"/>
      <c r="E581" s="170"/>
      <c r="F581" s="171"/>
      <c r="G581"/>
      <c r="H581"/>
      <c r="I581"/>
      <c r="J581"/>
      <c r="K581"/>
      <c r="L581"/>
      <c r="M581"/>
      <c r="N581"/>
      <c r="O581"/>
      <c r="P581"/>
      <c r="Q581"/>
      <c r="R581"/>
      <c r="S581"/>
      <c r="T581"/>
      <c r="U581"/>
      <c r="V581"/>
      <c r="W581"/>
    </row>
    <row r="582" spans="2:23" outlineLevel="1">
      <c r="B582" s="167"/>
      <c r="C582" s="168"/>
      <c r="D582" s="169"/>
      <c r="E582" s="170"/>
      <c r="F582" s="171"/>
      <c r="G582"/>
      <c r="H582"/>
      <c r="I582"/>
      <c r="J582"/>
      <c r="K582"/>
      <c r="L582"/>
      <c r="M582"/>
      <c r="N582"/>
      <c r="O582"/>
      <c r="P582"/>
      <c r="Q582"/>
      <c r="R582"/>
      <c r="S582"/>
      <c r="T582"/>
      <c r="U582"/>
      <c r="V582"/>
      <c r="W582"/>
    </row>
    <row r="583" spans="2:23" outlineLevel="1">
      <c r="B583" s="167"/>
      <c r="C583" s="168"/>
      <c r="D583" s="169"/>
      <c r="E583" s="170"/>
      <c r="F583" s="171"/>
      <c r="G583"/>
      <c r="H583"/>
      <c r="I583"/>
      <c r="J583"/>
      <c r="K583"/>
      <c r="L583"/>
      <c r="M583"/>
      <c r="N583"/>
      <c r="O583"/>
      <c r="P583"/>
      <c r="Q583"/>
      <c r="R583"/>
      <c r="S583"/>
      <c r="T583"/>
      <c r="U583"/>
      <c r="V583"/>
      <c r="W583"/>
    </row>
    <row r="584" spans="2:23" outlineLevel="1">
      <c r="B584" s="167"/>
      <c r="C584" s="168"/>
      <c r="D584" s="169"/>
      <c r="E584" s="170"/>
      <c r="F584" s="171"/>
      <c r="G584"/>
      <c r="H584"/>
      <c r="I584"/>
      <c r="J584"/>
      <c r="K584"/>
      <c r="L584"/>
      <c r="M584"/>
      <c r="N584"/>
      <c r="O584"/>
      <c r="P584"/>
      <c r="Q584"/>
      <c r="R584"/>
      <c r="S584"/>
      <c r="T584"/>
      <c r="U584"/>
      <c r="V584"/>
      <c r="W584"/>
    </row>
    <row r="585" spans="2:23" outlineLevel="1">
      <c r="B585" s="167"/>
      <c r="C585" s="168"/>
      <c r="D585" s="169"/>
      <c r="E585" s="170"/>
      <c r="F585" s="171"/>
      <c r="G585"/>
      <c r="H585"/>
      <c r="I585"/>
      <c r="J585"/>
      <c r="K585"/>
      <c r="L585"/>
      <c r="M585"/>
      <c r="N585"/>
      <c r="O585"/>
      <c r="P585"/>
      <c r="Q585"/>
      <c r="R585"/>
      <c r="S585"/>
      <c r="T585"/>
      <c r="U585"/>
      <c r="V585"/>
      <c r="W585"/>
    </row>
    <row r="586" spans="2:23" outlineLevel="1">
      <c r="B586" s="167"/>
      <c r="C586" s="168"/>
      <c r="D586" s="169"/>
      <c r="E586" s="170"/>
      <c r="F586" s="171"/>
      <c r="G586"/>
      <c r="H586"/>
      <c r="I586"/>
      <c r="J586"/>
      <c r="K586"/>
      <c r="L586"/>
      <c r="M586"/>
      <c r="N586"/>
      <c r="O586"/>
      <c r="P586"/>
      <c r="Q586"/>
      <c r="R586"/>
      <c r="S586"/>
      <c r="T586"/>
      <c r="U586"/>
      <c r="V586"/>
      <c r="W586"/>
    </row>
    <row r="587" spans="2:23" outlineLevel="1">
      <c r="B587" s="167"/>
      <c r="C587" s="168"/>
      <c r="D587" s="169"/>
      <c r="E587" s="170"/>
      <c r="F587" s="171"/>
      <c r="G587"/>
      <c r="H587"/>
      <c r="I587"/>
      <c r="J587"/>
      <c r="K587"/>
      <c r="L587"/>
      <c r="M587"/>
      <c r="N587"/>
      <c r="O587"/>
      <c r="P587"/>
      <c r="Q587"/>
      <c r="R587"/>
      <c r="S587"/>
      <c r="T587"/>
      <c r="U587"/>
      <c r="V587"/>
      <c r="W587"/>
    </row>
    <row r="588" spans="2:23" outlineLevel="1">
      <c r="B588" s="167"/>
      <c r="C588" s="168"/>
      <c r="D588" s="169"/>
      <c r="E588" s="170"/>
      <c r="F588" s="171"/>
      <c r="G588"/>
      <c r="H588"/>
      <c r="I588"/>
      <c r="J588"/>
      <c r="K588"/>
      <c r="L588"/>
      <c r="M588"/>
      <c r="N588"/>
      <c r="O588"/>
      <c r="P588"/>
      <c r="Q588"/>
      <c r="R588"/>
      <c r="S588"/>
      <c r="T588"/>
      <c r="U588"/>
      <c r="V588"/>
      <c r="W588"/>
    </row>
    <row r="589" spans="2:23" outlineLevel="1">
      <c r="B589" s="167"/>
      <c r="C589" s="168"/>
      <c r="D589" s="169"/>
      <c r="E589" s="170"/>
      <c r="F589" s="171"/>
      <c r="G589"/>
      <c r="H589"/>
      <c r="I589"/>
      <c r="J589"/>
      <c r="K589"/>
      <c r="L589"/>
      <c r="M589"/>
      <c r="N589"/>
      <c r="O589"/>
      <c r="P589"/>
      <c r="Q589"/>
      <c r="R589"/>
      <c r="S589"/>
      <c r="T589"/>
      <c r="U589"/>
      <c r="V589"/>
      <c r="W589"/>
    </row>
    <row r="590" spans="2:23" outlineLevel="1">
      <c r="B590" s="172"/>
      <c r="C590" s="173"/>
      <c r="D590" s="174"/>
      <c r="E590" s="175"/>
      <c r="F590" s="171"/>
      <c r="G590"/>
      <c r="H590"/>
      <c r="I590"/>
      <c r="J590"/>
      <c r="K590"/>
      <c r="L590"/>
      <c r="M590"/>
      <c r="N590"/>
      <c r="O590"/>
      <c r="P590"/>
      <c r="Q590"/>
      <c r="R590"/>
      <c r="S590"/>
      <c r="T590"/>
      <c r="U590"/>
      <c r="V590"/>
      <c r="W590"/>
    </row>
    <row r="591" spans="2:23" outlineLevel="1">
      <c r="B591" s="167"/>
      <c r="C591" s="168"/>
      <c r="D591" s="169"/>
      <c r="E591" s="170"/>
      <c r="F591" s="171"/>
      <c r="G591"/>
      <c r="H591"/>
      <c r="I591"/>
      <c r="J591"/>
      <c r="K591"/>
      <c r="L591"/>
      <c r="M591"/>
      <c r="N591"/>
      <c r="O591"/>
      <c r="P591"/>
      <c r="Q591"/>
      <c r="R591"/>
      <c r="S591"/>
      <c r="T591"/>
      <c r="U591"/>
      <c r="V591"/>
      <c r="W591"/>
    </row>
    <row r="592" spans="2:23" outlineLevel="1">
      <c r="B592" s="172"/>
      <c r="C592" s="173"/>
      <c r="D592" s="174"/>
      <c r="E592" s="175"/>
      <c r="F592" s="171"/>
      <c r="G592"/>
      <c r="H592"/>
      <c r="I592"/>
      <c r="J592"/>
      <c r="K592"/>
      <c r="L592"/>
      <c r="M592"/>
      <c r="N592"/>
      <c r="O592"/>
      <c r="P592"/>
      <c r="Q592"/>
      <c r="R592"/>
      <c r="S592"/>
      <c r="T592"/>
      <c r="U592"/>
      <c r="V592"/>
      <c r="W592"/>
    </row>
    <row r="593" spans="2:23" outlineLevel="1">
      <c r="B593" s="167"/>
      <c r="C593" s="168"/>
      <c r="D593" s="169"/>
      <c r="E593" s="170"/>
      <c r="F593" s="171"/>
      <c r="G593"/>
      <c r="H593"/>
      <c r="I593"/>
      <c r="J593"/>
      <c r="K593"/>
      <c r="L593"/>
      <c r="M593"/>
      <c r="N593"/>
      <c r="O593"/>
      <c r="P593"/>
      <c r="Q593"/>
      <c r="R593"/>
      <c r="S593"/>
      <c r="T593"/>
      <c r="U593"/>
      <c r="V593"/>
      <c r="W593"/>
    </row>
    <row r="594" spans="2:23" outlineLevel="1">
      <c r="B594" s="172"/>
      <c r="C594" s="173"/>
      <c r="D594" s="174"/>
      <c r="E594" s="175"/>
      <c r="F594" s="171"/>
      <c r="G594"/>
      <c r="H594"/>
      <c r="I594"/>
      <c r="J594"/>
      <c r="K594"/>
      <c r="L594"/>
      <c r="M594"/>
      <c r="N594"/>
      <c r="O594"/>
      <c r="P594"/>
      <c r="Q594"/>
      <c r="R594"/>
      <c r="S594"/>
      <c r="T594"/>
      <c r="U594"/>
      <c r="V594"/>
      <c r="W594"/>
    </row>
    <row r="595" spans="2:23" outlineLevel="1">
      <c r="B595" s="167"/>
      <c r="C595" s="168"/>
      <c r="D595" s="169"/>
      <c r="E595" s="170"/>
      <c r="F595" s="171"/>
      <c r="G595"/>
      <c r="H595"/>
      <c r="I595"/>
      <c r="J595"/>
      <c r="K595"/>
      <c r="L595"/>
      <c r="M595"/>
      <c r="N595"/>
      <c r="O595"/>
      <c r="P595"/>
      <c r="Q595"/>
      <c r="R595"/>
      <c r="S595"/>
      <c r="T595"/>
      <c r="U595"/>
      <c r="V595"/>
      <c r="W595"/>
    </row>
    <row r="596" spans="2:23" outlineLevel="1">
      <c r="B596" s="172"/>
      <c r="C596" s="173"/>
      <c r="D596" s="174"/>
      <c r="E596" s="175"/>
      <c r="F596" s="171"/>
      <c r="G596"/>
      <c r="H596"/>
      <c r="I596"/>
      <c r="J596"/>
      <c r="K596"/>
      <c r="L596"/>
      <c r="M596"/>
      <c r="N596"/>
      <c r="O596"/>
      <c r="P596"/>
      <c r="Q596"/>
      <c r="R596"/>
      <c r="S596"/>
      <c r="T596"/>
      <c r="U596"/>
      <c r="V596"/>
      <c r="W596"/>
    </row>
    <row r="597" spans="2:23" outlineLevel="1">
      <c r="B597" s="167"/>
      <c r="C597" s="168"/>
      <c r="D597" s="169"/>
      <c r="E597" s="170"/>
      <c r="F597" s="171"/>
      <c r="G597"/>
      <c r="H597"/>
      <c r="I597"/>
      <c r="J597"/>
      <c r="K597"/>
      <c r="L597"/>
      <c r="M597"/>
      <c r="N597"/>
      <c r="O597"/>
      <c r="P597"/>
      <c r="Q597"/>
      <c r="R597"/>
      <c r="S597"/>
      <c r="T597"/>
      <c r="U597"/>
      <c r="V597"/>
      <c r="W597"/>
    </row>
    <row r="598" spans="2:23" outlineLevel="1">
      <c r="B598" s="172"/>
      <c r="C598" s="173"/>
      <c r="D598" s="174"/>
      <c r="E598" s="175"/>
      <c r="F598" s="171"/>
      <c r="G598"/>
      <c r="H598"/>
      <c r="I598"/>
      <c r="J598"/>
      <c r="K598"/>
      <c r="L598"/>
      <c r="M598"/>
      <c r="N598"/>
      <c r="O598"/>
      <c r="P598"/>
      <c r="Q598"/>
      <c r="R598"/>
      <c r="S598"/>
      <c r="T598"/>
      <c r="U598"/>
      <c r="V598"/>
      <c r="W598"/>
    </row>
    <row r="599" spans="2:23" outlineLevel="1">
      <c r="B599" s="167"/>
      <c r="C599" s="168"/>
      <c r="D599" s="169"/>
      <c r="E599" s="170"/>
      <c r="F599" s="171"/>
      <c r="G599"/>
      <c r="H599"/>
      <c r="I599"/>
      <c r="J599"/>
      <c r="K599"/>
      <c r="L599"/>
      <c r="M599"/>
      <c r="N599"/>
      <c r="O599"/>
      <c r="P599"/>
      <c r="Q599"/>
      <c r="R599"/>
      <c r="S599"/>
      <c r="T599"/>
      <c r="U599"/>
      <c r="V599"/>
      <c r="W599"/>
    </row>
    <row r="600" spans="2:23" outlineLevel="1">
      <c r="B600" s="172"/>
      <c r="C600" s="173"/>
      <c r="D600" s="174"/>
      <c r="E600" s="175"/>
      <c r="F600" s="171"/>
      <c r="G600"/>
      <c r="H600"/>
      <c r="I600"/>
      <c r="J600"/>
      <c r="K600"/>
      <c r="L600"/>
      <c r="M600"/>
      <c r="N600"/>
      <c r="O600"/>
      <c r="P600"/>
      <c r="Q600"/>
      <c r="R600"/>
      <c r="S600"/>
      <c r="T600"/>
      <c r="U600"/>
      <c r="V600"/>
      <c r="W600"/>
    </row>
    <row r="601" spans="2:23" outlineLevel="1">
      <c r="B601" s="167"/>
      <c r="C601" s="168"/>
      <c r="D601" s="169"/>
      <c r="E601" s="170"/>
      <c r="F601" s="171"/>
      <c r="G601"/>
      <c r="H601"/>
      <c r="I601"/>
      <c r="J601"/>
      <c r="K601"/>
      <c r="L601"/>
      <c r="M601"/>
      <c r="N601"/>
      <c r="O601"/>
      <c r="P601"/>
      <c r="Q601"/>
      <c r="R601"/>
      <c r="S601"/>
      <c r="T601"/>
      <c r="U601"/>
      <c r="V601"/>
      <c r="W601"/>
    </row>
    <row r="602" spans="2:23" outlineLevel="1">
      <c r="B602" s="172"/>
      <c r="C602" s="173"/>
      <c r="D602" s="174"/>
      <c r="E602" s="175"/>
      <c r="F602" s="171"/>
      <c r="G602"/>
      <c r="H602"/>
      <c r="I602"/>
      <c r="J602"/>
      <c r="K602"/>
      <c r="L602"/>
      <c r="M602"/>
      <c r="N602"/>
      <c r="O602"/>
      <c r="P602"/>
      <c r="Q602"/>
      <c r="R602"/>
      <c r="S602"/>
      <c r="T602"/>
      <c r="U602"/>
      <c r="V602"/>
      <c r="W602"/>
    </row>
    <row r="603" spans="2:23" outlineLevel="1">
      <c r="B603" s="167"/>
      <c r="C603" s="168"/>
      <c r="D603" s="169"/>
      <c r="E603" s="170"/>
      <c r="F603" s="171"/>
      <c r="G603"/>
      <c r="H603"/>
      <c r="I603"/>
      <c r="J603"/>
      <c r="K603"/>
      <c r="L603"/>
      <c r="M603"/>
      <c r="N603"/>
      <c r="O603"/>
      <c r="P603"/>
      <c r="Q603"/>
      <c r="R603"/>
      <c r="S603"/>
      <c r="T603"/>
      <c r="U603"/>
      <c r="V603"/>
      <c r="W603"/>
    </row>
    <row r="604" spans="2:23" outlineLevel="1">
      <c r="B604" s="172"/>
      <c r="C604" s="173"/>
      <c r="D604" s="174"/>
      <c r="E604" s="175"/>
      <c r="F604" s="171"/>
      <c r="G604"/>
      <c r="H604"/>
      <c r="I604"/>
      <c r="J604"/>
      <c r="K604"/>
      <c r="L604"/>
      <c r="M604"/>
      <c r="N604"/>
      <c r="O604"/>
      <c r="P604"/>
      <c r="Q604"/>
      <c r="R604"/>
      <c r="S604"/>
      <c r="T604"/>
      <c r="U604"/>
      <c r="V604"/>
      <c r="W604"/>
    </row>
    <row r="605" spans="2:23" outlineLevel="1">
      <c r="B605" s="167"/>
      <c r="C605" s="168"/>
      <c r="D605" s="169"/>
      <c r="E605" s="170"/>
      <c r="F605" s="171"/>
      <c r="G605"/>
      <c r="H605"/>
      <c r="I605"/>
      <c r="J605"/>
      <c r="K605"/>
      <c r="L605"/>
      <c r="M605"/>
      <c r="N605"/>
      <c r="O605"/>
      <c r="P605"/>
      <c r="Q605"/>
      <c r="R605"/>
      <c r="S605"/>
      <c r="T605"/>
      <c r="U605"/>
      <c r="V605"/>
      <c r="W605"/>
    </row>
    <row r="606" spans="2:23" outlineLevel="1">
      <c r="B606" s="172"/>
      <c r="C606" s="173"/>
      <c r="D606" s="174"/>
      <c r="E606" s="175"/>
      <c r="F606" s="171"/>
      <c r="G606"/>
      <c r="H606"/>
      <c r="I606"/>
      <c r="J606"/>
      <c r="K606"/>
      <c r="L606"/>
      <c r="M606"/>
      <c r="N606"/>
      <c r="O606"/>
      <c r="P606"/>
      <c r="Q606"/>
      <c r="R606"/>
      <c r="S606"/>
      <c r="T606"/>
      <c r="U606"/>
      <c r="V606"/>
      <c r="W606"/>
    </row>
    <row r="607" spans="2:23" outlineLevel="1">
      <c r="B607" s="167"/>
      <c r="C607" s="168"/>
      <c r="D607" s="169"/>
      <c r="E607" s="170"/>
      <c r="F607" s="171"/>
      <c r="G607"/>
      <c r="H607"/>
      <c r="I607"/>
      <c r="J607"/>
      <c r="K607"/>
      <c r="L607"/>
      <c r="M607"/>
      <c r="N607"/>
      <c r="O607"/>
      <c r="P607"/>
      <c r="Q607"/>
      <c r="R607"/>
      <c r="S607"/>
      <c r="T607"/>
      <c r="U607"/>
      <c r="V607"/>
      <c r="W607"/>
    </row>
    <row r="608" spans="2:23" outlineLevel="1">
      <c r="B608" s="172"/>
      <c r="C608" s="173"/>
      <c r="D608" s="174"/>
      <c r="E608" s="175"/>
      <c r="F608" s="171"/>
      <c r="G608"/>
      <c r="H608"/>
      <c r="I608"/>
      <c r="J608"/>
      <c r="K608"/>
      <c r="L608"/>
      <c r="M608"/>
      <c r="N608"/>
      <c r="O608"/>
      <c r="P608"/>
      <c r="Q608"/>
      <c r="R608"/>
      <c r="S608"/>
      <c r="T608"/>
      <c r="U608"/>
      <c r="V608"/>
      <c r="W608"/>
    </row>
    <row r="609" spans="2:23" outlineLevel="1">
      <c r="B609" s="167"/>
      <c r="C609" s="168"/>
      <c r="D609" s="169"/>
      <c r="E609" s="170"/>
      <c r="F609" s="171"/>
      <c r="G609"/>
      <c r="H609"/>
      <c r="I609"/>
      <c r="J609"/>
      <c r="K609"/>
      <c r="L609"/>
      <c r="M609"/>
      <c r="N609"/>
      <c r="O609"/>
      <c r="P609"/>
      <c r="Q609"/>
      <c r="R609"/>
      <c r="S609"/>
      <c r="T609"/>
      <c r="U609"/>
      <c r="V609"/>
      <c r="W609"/>
    </row>
    <row r="610" spans="2:23" outlineLevel="1">
      <c r="B610" s="172"/>
      <c r="C610" s="173"/>
      <c r="D610" s="174"/>
      <c r="E610" s="175"/>
      <c r="F610" s="171"/>
      <c r="G610"/>
      <c r="H610"/>
      <c r="I610"/>
      <c r="J610"/>
      <c r="K610"/>
      <c r="L610"/>
      <c r="M610"/>
      <c r="N610"/>
      <c r="O610"/>
      <c r="P610"/>
      <c r="Q610"/>
      <c r="R610"/>
      <c r="S610"/>
      <c r="T610"/>
      <c r="U610"/>
      <c r="V610"/>
      <c r="W610"/>
    </row>
    <row r="611" spans="2:23" outlineLevel="1">
      <c r="B611" s="167"/>
      <c r="C611" s="168"/>
      <c r="D611" s="169"/>
      <c r="E611" s="170"/>
      <c r="F611" s="171"/>
      <c r="G611"/>
      <c r="H611"/>
      <c r="I611"/>
      <c r="J611"/>
      <c r="K611"/>
      <c r="L611"/>
      <c r="M611"/>
      <c r="N611"/>
      <c r="O611"/>
      <c r="P611"/>
      <c r="Q611"/>
      <c r="R611"/>
      <c r="S611"/>
      <c r="T611"/>
      <c r="U611"/>
      <c r="V611"/>
      <c r="W611"/>
    </row>
    <row r="612" spans="2:23" outlineLevel="1">
      <c r="B612" s="172"/>
      <c r="C612" s="173"/>
      <c r="D612" s="174"/>
      <c r="E612" s="175"/>
      <c r="F612" s="171"/>
      <c r="G612"/>
      <c r="H612"/>
      <c r="I612"/>
      <c r="J612"/>
      <c r="K612"/>
      <c r="L612"/>
      <c r="M612"/>
      <c r="N612"/>
      <c r="O612"/>
      <c r="P612"/>
      <c r="Q612"/>
      <c r="R612"/>
      <c r="S612"/>
      <c r="T612"/>
      <c r="U612"/>
      <c r="V612"/>
      <c r="W612"/>
    </row>
    <row r="613" spans="2:23" outlineLevel="1">
      <c r="B613" s="167"/>
      <c r="C613" s="168"/>
      <c r="D613" s="169"/>
      <c r="E613" s="170"/>
      <c r="F613" s="171"/>
      <c r="G613"/>
      <c r="H613"/>
      <c r="I613"/>
      <c r="J613"/>
      <c r="K613"/>
      <c r="L613"/>
      <c r="M613"/>
      <c r="N613"/>
      <c r="O613"/>
      <c r="P613"/>
      <c r="Q613"/>
      <c r="R613"/>
      <c r="S613"/>
      <c r="T613"/>
      <c r="U613"/>
      <c r="V613"/>
      <c r="W613"/>
    </row>
    <row r="614" spans="2:23" outlineLevel="1">
      <c r="B614" s="172"/>
      <c r="C614" s="173"/>
      <c r="D614" s="174"/>
      <c r="E614" s="175"/>
      <c r="F614" s="171"/>
      <c r="G614"/>
      <c r="H614"/>
      <c r="I614"/>
      <c r="J614"/>
      <c r="K614"/>
      <c r="L614"/>
      <c r="M614"/>
      <c r="N614"/>
      <c r="O614"/>
      <c r="P614"/>
      <c r="Q614"/>
      <c r="R614"/>
      <c r="S614"/>
      <c r="T614"/>
      <c r="U614"/>
      <c r="V614"/>
      <c r="W614"/>
    </row>
    <row r="615" spans="2:23" outlineLevel="1">
      <c r="B615" s="167"/>
      <c r="C615" s="168"/>
      <c r="D615" s="169"/>
      <c r="E615" s="170"/>
      <c r="F615" s="171"/>
      <c r="G615"/>
      <c r="H615"/>
      <c r="I615"/>
      <c r="J615"/>
      <c r="K615"/>
      <c r="L615"/>
      <c r="M615"/>
      <c r="N615"/>
      <c r="O615"/>
      <c r="P615"/>
      <c r="Q615"/>
      <c r="R615"/>
      <c r="S615"/>
      <c r="T615"/>
      <c r="U615"/>
      <c r="V615"/>
      <c r="W615"/>
    </row>
    <row r="616" spans="2:23" outlineLevel="1">
      <c r="B616" s="172"/>
      <c r="C616" s="173"/>
      <c r="D616" s="174"/>
      <c r="E616" s="175"/>
      <c r="F616" s="171"/>
      <c r="G616"/>
      <c r="H616"/>
      <c r="I616"/>
      <c r="J616"/>
      <c r="K616"/>
      <c r="L616"/>
      <c r="M616"/>
      <c r="N616"/>
      <c r="O616"/>
      <c r="P616"/>
      <c r="Q616"/>
      <c r="R616"/>
      <c r="S616"/>
      <c r="T616"/>
      <c r="U616"/>
      <c r="V616"/>
      <c r="W616"/>
    </row>
    <row r="617" spans="2:23" outlineLevel="1">
      <c r="B617" s="167"/>
      <c r="C617" s="168"/>
      <c r="D617" s="169"/>
      <c r="E617" s="170"/>
      <c r="F617" s="171"/>
      <c r="G617"/>
      <c r="H617"/>
      <c r="I617"/>
      <c r="J617"/>
      <c r="K617"/>
      <c r="L617"/>
      <c r="M617"/>
      <c r="N617"/>
      <c r="O617"/>
      <c r="P617"/>
      <c r="Q617"/>
      <c r="R617"/>
      <c r="S617"/>
      <c r="T617"/>
      <c r="U617"/>
      <c r="V617"/>
      <c r="W617"/>
    </row>
    <row r="618" spans="2:23" outlineLevel="1">
      <c r="B618" s="172"/>
      <c r="C618" s="173"/>
      <c r="D618" s="174"/>
      <c r="E618" s="175"/>
      <c r="F618" s="171"/>
      <c r="G618"/>
      <c r="H618"/>
      <c r="I618"/>
      <c r="J618"/>
      <c r="K618"/>
      <c r="L618"/>
      <c r="M618"/>
      <c r="N618"/>
      <c r="O618"/>
      <c r="P618"/>
      <c r="Q618"/>
      <c r="R618"/>
      <c r="S618"/>
      <c r="T618"/>
      <c r="U618"/>
      <c r="V618"/>
      <c r="W618"/>
    </row>
    <row r="619" spans="2:23" outlineLevel="1">
      <c r="B619" s="167"/>
      <c r="C619" s="168"/>
      <c r="D619" s="169"/>
      <c r="E619" s="170"/>
      <c r="F619" s="171"/>
      <c r="G619"/>
      <c r="H619"/>
      <c r="I619"/>
      <c r="J619"/>
      <c r="K619"/>
      <c r="L619"/>
      <c r="M619"/>
      <c r="N619"/>
      <c r="O619"/>
      <c r="P619"/>
      <c r="Q619"/>
      <c r="R619"/>
      <c r="S619"/>
      <c r="T619"/>
      <c r="U619"/>
      <c r="V619"/>
      <c r="W619"/>
    </row>
    <row r="620" spans="2:23" outlineLevel="1">
      <c r="B620" s="172"/>
      <c r="C620" s="173"/>
      <c r="D620" s="174"/>
      <c r="E620" s="175"/>
      <c r="F620" s="171"/>
      <c r="G620"/>
      <c r="H620"/>
      <c r="I620"/>
      <c r="J620"/>
      <c r="K620"/>
      <c r="L620"/>
      <c r="M620"/>
      <c r="N620"/>
      <c r="O620"/>
      <c r="P620"/>
      <c r="Q620"/>
      <c r="R620"/>
      <c r="S620"/>
      <c r="T620"/>
      <c r="U620"/>
      <c r="V620"/>
      <c r="W620"/>
    </row>
    <row r="621" spans="2:23" outlineLevel="1">
      <c r="B621" s="167"/>
      <c r="C621" s="168"/>
      <c r="D621" s="169"/>
      <c r="E621" s="170"/>
      <c r="F621" s="171"/>
      <c r="G621"/>
      <c r="H621"/>
      <c r="I621"/>
      <c r="J621"/>
      <c r="K621"/>
      <c r="L621"/>
      <c r="M621"/>
      <c r="N621"/>
      <c r="O621"/>
      <c r="P621"/>
      <c r="Q621"/>
      <c r="R621"/>
      <c r="S621"/>
      <c r="T621"/>
      <c r="U621"/>
      <c r="V621"/>
      <c r="W621"/>
    </row>
    <row r="622" spans="2:23" outlineLevel="1">
      <c r="B622" s="172"/>
      <c r="C622" s="173"/>
      <c r="D622" s="174"/>
      <c r="E622" s="175"/>
      <c r="F622" s="171"/>
      <c r="G622"/>
      <c r="H622"/>
      <c r="I622"/>
      <c r="J622"/>
      <c r="K622"/>
      <c r="L622"/>
      <c r="M622"/>
      <c r="N622"/>
      <c r="O622"/>
      <c r="P622"/>
      <c r="Q622"/>
      <c r="R622"/>
      <c r="S622"/>
      <c r="T622"/>
      <c r="U622"/>
      <c r="V622"/>
      <c r="W622"/>
    </row>
    <row r="623" spans="2:23" outlineLevel="1">
      <c r="B623" s="167"/>
      <c r="C623" s="168"/>
      <c r="D623" s="169"/>
      <c r="E623" s="170"/>
      <c r="F623" s="171"/>
      <c r="G623"/>
      <c r="H623"/>
      <c r="I623"/>
      <c r="J623"/>
      <c r="K623"/>
      <c r="L623"/>
      <c r="M623"/>
      <c r="N623"/>
      <c r="O623"/>
      <c r="P623"/>
      <c r="Q623"/>
      <c r="R623"/>
      <c r="S623"/>
      <c r="T623"/>
      <c r="U623"/>
      <c r="V623"/>
      <c r="W623"/>
    </row>
    <row r="624" spans="2:23" outlineLevel="1">
      <c r="B624" s="172"/>
      <c r="C624" s="173"/>
      <c r="D624" s="174"/>
      <c r="E624" s="175"/>
      <c r="F624" s="171"/>
      <c r="G624"/>
      <c r="H624"/>
      <c r="I624"/>
      <c r="J624"/>
      <c r="K624"/>
      <c r="L624"/>
      <c r="M624"/>
      <c r="N624"/>
      <c r="O624"/>
      <c r="P624"/>
      <c r="Q624"/>
      <c r="R624"/>
      <c r="S624"/>
      <c r="T624"/>
      <c r="U624"/>
      <c r="V624"/>
      <c r="W624"/>
    </row>
    <row r="625" spans="2:23" outlineLevel="1">
      <c r="B625" s="167"/>
      <c r="C625" s="168"/>
      <c r="D625" s="169"/>
      <c r="E625" s="170"/>
      <c r="F625" s="171"/>
      <c r="G625"/>
      <c r="H625"/>
      <c r="I625"/>
      <c r="J625"/>
      <c r="K625"/>
      <c r="L625"/>
      <c r="M625"/>
      <c r="N625"/>
      <c r="O625"/>
      <c r="P625"/>
      <c r="Q625"/>
      <c r="R625"/>
      <c r="S625"/>
      <c r="T625"/>
      <c r="U625"/>
      <c r="V625"/>
      <c r="W625"/>
    </row>
    <row r="626" spans="2:23" outlineLevel="1">
      <c r="B626" s="172"/>
      <c r="C626" s="173"/>
      <c r="D626" s="174"/>
      <c r="E626" s="175"/>
      <c r="F626" s="171"/>
      <c r="G626"/>
      <c r="H626"/>
      <c r="I626"/>
      <c r="J626"/>
      <c r="K626"/>
      <c r="L626"/>
      <c r="M626"/>
      <c r="N626"/>
      <c r="O626"/>
      <c r="P626"/>
      <c r="Q626"/>
      <c r="R626"/>
      <c r="S626"/>
      <c r="T626"/>
      <c r="U626"/>
      <c r="V626"/>
      <c r="W626"/>
    </row>
    <row r="627" spans="2:23" outlineLevel="1">
      <c r="B627" s="167"/>
      <c r="C627" s="168"/>
      <c r="D627" s="169"/>
      <c r="E627" s="170"/>
      <c r="F627" s="171"/>
      <c r="G627"/>
      <c r="H627"/>
      <c r="I627"/>
      <c r="J627"/>
      <c r="K627"/>
      <c r="L627"/>
      <c r="M627"/>
      <c r="N627"/>
      <c r="O627"/>
      <c r="P627"/>
      <c r="Q627"/>
      <c r="R627"/>
      <c r="S627"/>
      <c r="T627"/>
      <c r="U627"/>
      <c r="V627"/>
      <c r="W627"/>
    </row>
    <row r="628" spans="2:23" outlineLevel="1">
      <c r="B628" s="172"/>
      <c r="C628" s="173"/>
      <c r="D628" s="174"/>
      <c r="E628" s="175"/>
      <c r="F628" s="171"/>
      <c r="G628"/>
      <c r="H628"/>
      <c r="I628"/>
      <c r="J628"/>
      <c r="K628"/>
      <c r="L628"/>
      <c r="M628"/>
      <c r="N628"/>
      <c r="O628"/>
      <c r="P628"/>
      <c r="Q628"/>
      <c r="R628"/>
      <c r="S628"/>
      <c r="T628"/>
      <c r="U628"/>
      <c r="V628"/>
      <c r="W628"/>
    </row>
    <row r="629" spans="2:23" outlineLevel="1">
      <c r="B629" s="167"/>
      <c r="C629" s="168"/>
      <c r="D629" s="169"/>
      <c r="E629" s="170"/>
      <c r="F629" s="171"/>
      <c r="G629"/>
      <c r="H629"/>
      <c r="I629"/>
      <c r="J629"/>
      <c r="K629"/>
      <c r="L629"/>
      <c r="M629"/>
      <c r="N629"/>
      <c r="O629"/>
      <c r="P629"/>
      <c r="Q629"/>
      <c r="R629"/>
      <c r="S629"/>
      <c r="T629"/>
      <c r="U629"/>
      <c r="V629"/>
      <c r="W629"/>
    </row>
    <row r="630" spans="2:23" outlineLevel="1">
      <c r="B630" s="172"/>
      <c r="C630" s="173"/>
      <c r="D630" s="174"/>
      <c r="E630" s="175"/>
      <c r="F630" s="171"/>
      <c r="G630"/>
      <c r="H630"/>
      <c r="I630"/>
      <c r="J630"/>
      <c r="K630"/>
      <c r="L630"/>
      <c r="M630"/>
      <c r="N630"/>
      <c r="O630"/>
      <c r="P630"/>
      <c r="Q630"/>
      <c r="R630"/>
      <c r="S630"/>
      <c r="T630"/>
      <c r="U630"/>
      <c r="V630"/>
      <c r="W630"/>
    </row>
    <row r="631" spans="2:23" outlineLevel="1">
      <c r="B631" s="167"/>
      <c r="C631" s="168"/>
      <c r="D631" s="169"/>
      <c r="E631" s="170"/>
      <c r="F631" s="171"/>
      <c r="G631"/>
      <c r="H631"/>
      <c r="I631"/>
      <c r="J631"/>
      <c r="K631"/>
      <c r="L631"/>
      <c r="M631"/>
      <c r="N631"/>
      <c r="O631"/>
      <c r="P631"/>
      <c r="Q631"/>
      <c r="R631"/>
      <c r="S631"/>
      <c r="T631"/>
      <c r="U631"/>
      <c r="V631"/>
      <c r="W631"/>
    </row>
    <row r="632" spans="2:23" outlineLevel="1">
      <c r="B632" s="172"/>
      <c r="C632" s="173"/>
      <c r="D632" s="174"/>
      <c r="E632" s="175"/>
      <c r="F632" s="171"/>
      <c r="G632"/>
      <c r="H632"/>
      <c r="I632"/>
      <c r="J632"/>
      <c r="K632"/>
      <c r="L632"/>
      <c r="M632"/>
      <c r="N632"/>
      <c r="O632"/>
      <c r="P632"/>
      <c r="Q632"/>
      <c r="R632"/>
      <c r="S632"/>
      <c r="T632"/>
      <c r="U632"/>
      <c r="V632"/>
      <c r="W632"/>
    </row>
    <row r="633" spans="2:23" outlineLevel="1">
      <c r="B633" s="167"/>
      <c r="C633" s="168"/>
      <c r="D633" s="169"/>
      <c r="E633" s="170"/>
      <c r="F633" s="171"/>
      <c r="G633"/>
      <c r="H633"/>
      <c r="I633"/>
      <c r="J633"/>
      <c r="K633"/>
      <c r="L633"/>
      <c r="M633"/>
      <c r="N633"/>
      <c r="O633"/>
      <c r="P633"/>
      <c r="Q633"/>
      <c r="R633"/>
      <c r="S633"/>
      <c r="T633"/>
      <c r="U633"/>
      <c r="V633"/>
      <c r="W633"/>
    </row>
    <row r="634" spans="2:23" outlineLevel="1">
      <c r="B634" s="172"/>
      <c r="C634" s="173"/>
      <c r="D634" s="174"/>
      <c r="E634" s="175"/>
      <c r="F634" s="171"/>
      <c r="G634"/>
      <c r="H634"/>
      <c r="I634"/>
      <c r="J634"/>
      <c r="K634"/>
      <c r="L634"/>
      <c r="M634"/>
      <c r="N634"/>
      <c r="O634"/>
      <c r="P634"/>
      <c r="Q634"/>
      <c r="R634"/>
      <c r="S634"/>
      <c r="T634"/>
      <c r="U634"/>
      <c r="V634"/>
      <c r="W634"/>
    </row>
    <row r="635" spans="2:23" outlineLevel="1">
      <c r="B635" s="167"/>
      <c r="C635" s="168"/>
      <c r="D635" s="169"/>
      <c r="E635" s="170"/>
      <c r="F635" s="171"/>
      <c r="G635"/>
      <c r="H635"/>
      <c r="I635"/>
      <c r="J635"/>
      <c r="K635"/>
      <c r="L635"/>
      <c r="M635"/>
      <c r="N635"/>
      <c r="O635"/>
      <c r="P635"/>
      <c r="Q635"/>
      <c r="R635"/>
      <c r="S635"/>
      <c r="T635"/>
      <c r="U635"/>
      <c r="V635"/>
      <c r="W635"/>
    </row>
    <row r="636" spans="2:23" outlineLevel="1">
      <c r="B636" s="172"/>
      <c r="C636" s="173"/>
      <c r="D636" s="174"/>
      <c r="E636" s="175"/>
      <c r="F636" s="171"/>
      <c r="G636"/>
      <c r="H636"/>
      <c r="I636"/>
      <c r="J636"/>
      <c r="K636"/>
      <c r="L636"/>
      <c r="M636"/>
      <c r="N636"/>
      <c r="O636"/>
      <c r="P636"/>
      <c r="Q636"/>
      <c r="R636"/>
      <c r="S636"/>
      <c r="T636"/>
      <c r="U636"/>
      <c r="V636"/>
      <c r="W636"/>
    </row>
    <row r="637" spans="2:23" outlineLevel="1">
      <c r="B637" s="167"/>
      <c r="C637" s="168"/>
      <c r="D637" s="169"/>
      <c r="E637" s="170"/>
      <c r="F637" s="171"/>
      <c r="G637"/>
      <c r="H637"/>
      <c r="I637"/>
      <c r="J637"/>
      <c r="K637"/>
      <c r="L637"/>
      <c r="M637"/>
      <c r="N637"/>
      <c r="O637"/>
      <c r="P637"/>
      <c r="Q637"/>
      <c r="R637"/>
      <c r="S637"/>
      <c r="T637"/>
      <c r="U637"/>
      <c r="V637"/>
      <c r="W637"/>
    </row>
    <row r="638" spans="2:23" outlineLevel="1">
      <c r="B638" s="172"/>
      <c r="C638" s="173"/>
      <c r="D638" s="174"/>
      <c r="E638" s="175"/>
      <c r="F638" s="171"/>
      <c r="G638"/>
      <c r="H638"/>
      <c r="I638"/>
      <c r="J638"/>
      <c r="K638"/>
      <c r="L638"/>
      <c r="M638"/>
      <c r="N638"/>
      <c r="O638"/>
      <c r="P638"/>
      <c r="Q638"/>
      <c r="R638"/>
      <c r="S638"/>
      <c r="T638"/>
      <c r="U638"/>
      <c r="V638"/>
      <c r="W638"/>
    </row>
    <row r="639" spans="2:23" outlineLevel="1">
      <c r="B639" s="167"/>
      <c r="C639" s="168"/>
      <c r="D639" s="169"/>
      <c r="E639" s="170"/>
      <c r="F639" s="171"/>
      <c r="G639"/>
      <c r="H639"/>
      <c r="I639"/>
      <c r="J639"/>
      <c r="K639"/>
      <c r="L639"/>
      <c r="M639"/>
      <c r="N639"/>
      <c r="O639"/>
      <c r="P639"/>
      <c r="Q639"/>
      <c r="R639"/>
      <c r="S639"/>
      <c r="T639"/>
      <c r="U639"/>
      <c r="V639"/>
      <c r="W639"/>
    </row>
    <row r="640" spans="2:23" outlineLevel="1">
      <c r="B640" s="172"/>
      <c r="C640" s="173"/>
      <c r="D640" s="174"/>
      <c r="E640" s="175"/>
      <c r="F640" s="171"/>
      <c r="G640"/>
      <c r="H640"/>
      <c r="I640"/>
      <c r="J640"/>
      <c r="K640"/>
      <c r="L640"/>
      <c r="M640"/>
      <c r="N640"/>
      <c r="O640"/>
      <c r="P640"/>
      <c r="Q640"/>
      <c r="R640"/>
      <c r="S640"/>
      <c r="T640"/>
      <c r="U640"/>
      <c r="V640"/>
      <c r="W640"/>
    </row>
    <row r="641" spans="2:23" outlineLevel="1">
      <c r="B641" s="167"/>
      <c r="C641" s="168"/>
      <c r="D641" s="169"/>
      <c r="E641" s="170"/>
      <c r="F641" s="171"/>
      <c r="G641"/>
      <c r="H641"/>
      <c r="I641"/>
      <c r="J641"/>
      <c r="K641"/>
      <c r="L641"/>
      <c r="M641"/>
      <c r="N641"/>
      <c r="O641"/>
      <c r="P641"/>
      <c r="Q641"/>
      <c r="R641"/>
      <c r="S641"/>
      <c r="T641"/>
      <c r="U641"/>
      <c r="V641"/>
      <c r="W641"/>
    </row>
    <row r="642" spans="2:23" outlineLevel="1">
      <c r="B642" s="172"/>
      <c r="C642" s="173"/>
      <c r="D642" s="174"/>
      <c r="E642" s="175"/>
      <c r="F642" s="171"/>
      <c r="G642"/>
      <c r="H642"/>
      <c r="I642"/>
      <c r="J642"/>
      <c r="K642"/>
      <c r="L642"/>
      <c r="M642"/>
      <c r="N642"/>
      <c r="O642"/>
      <c r="P642"/>
      <c r="Q642"/>
      <c r="R642"/>
      <c r="S642"/>
      <c r="T642"/>
      <c r="U642"/>
      <c r="V642"/>
      <c r="W642"/>
    </row>
    <row r="643" spans="2:23" outlineLevel="1">
      <c r="B643" s="167"/>
      <c r="C643" s="168"/>
      <c r="D643" s="169"/>
      <c r="E643" s="170"/>
      <c r="F643" s="171"/>
      <c r="G643"/>
      <c r="H643"/>
      <c r="I643"/>
      <c r="J643"/>
      <c r="K643"/>
      <c r="L643"/>
      <c r="M643"/>
      <c r="N643"/>
      <c r="O643"/>
      <c r="P643"/>
      <c r="Q643"/>
      <c r="R643"/>
      <c r="S643"/>
      <c r="T643"/>
      <c r="U643"/>
      <c r="V643"/>
      <c r="W643"/>
    </row>
    <row r="644" spans="2:23" outlineLevel="1">
      <c r="B644" s="172"/>
      <c r="C644" s="173"/>
      <c r="D644" s="174"/>
      <c r="E644" s="175"/>
      <c r="F644" s="171"/>
      <c r="G644"/>
      <c r="H644"/>
      <c r="I644"/>
      <c r="J644"/>
      <c r="K644"/>
      <c r="L644"/>
      <c r="M644"/>
      <c r="N644"/>
      <c r="O644"/>
      <c r="P644"/>
      <c r="Q644"/>
      <c r="R644"/>
      <c r="S644"/>
      <c r="T644"/>
      <c r="U644"/>
      <c r="V644"/>
      <c r="W644"/>
    </row>
    <row r="645" spans="2:23" outlineLevel="1">
      <c r="B645" s="167"/>
      <c r="C645" s="168"/>
      <c r="D645" s="169"/>
      <c r="E645" s="170"/>
      <c r="F645" s="171"/>
      <c r="G645"/>
      <c r="H645"/>
      <c r="I645"/>
      <c r="J645"/>
      <c r="K645"/>
      <c r="L645"/>
      <c r="M645"/>
      <c r="N645"/>
      <c r="O645"/>
      <c r="P645"/>
      <c r="Q645"/>
      <c r="R645"/>
      <c r="S645"/>
      <c r="T645"/>
      <c r="U645"/>
      <c r="V645"/>
      <c r="W645"/>
    </row>
    <row r="646" spans="2:23" outlineLevel="1">
      <c r="B646" s="172"/>
      <c r="C646" s="173"/>
      <c r="D646" s="174"/>
      <c r="E646" s="175"/>
      <c r="F646" s="171"/>
      <c r="G646"/>
      <c r="H646"/>
      <c r="I646"/>
      <c r="J646"/>
      <c r="K646"/>
      <c r="L646"/>
      <c r="M646"/>
      <c r="N646"/>
      <c r="O646"/>
      <c r="P646"/>
      <c r="Q646"/>
      <c r="R646"/>
      <c r="S646"/>
      <c r="T646"/>
      <c r="U646"/>
      <c r="V646"/>
      <c r="W646"/>
    </row>
    <row r="647" spans="2:23" outlineLevel="1">
      <c r="B647" s="167"/>
      <c r="C647" s="168"/>
      <c r="D647" s="169"/>
      <c r="E647" s="170"/>
      <c r="F647" s="171"/>
      <c r="G647"/>
      <c r="H647"/>
      <c r="I647"/>
      <c r="J647"/>
      <c r="K647"/>
      <c r="L647"/>
      <c r="M647"/>
      <c r="N647"/>
      <c r="O647"/>
      <c r="P647"/>
      <c r="Q647"/>
      <c r="R647"/>
      <c r="S647"/>
      <c r="T647"/>
      <c r="U647"/>
      <c r="V647"/>
      <c r="W647"/>
    </row>
    <row r="648" spans="2:23" outlineLevel="1">
      <c r="B648" s="172"/>
      <c r="C648" s="173"/>
      <c r="D648" s="174"/>
      <c r="E648" s="175"/>
      <c r="F648" s="171"/>
      <c r="G648"/>
      <c r="H648"/>
      <c r="I648"/>
      <c r="J648"/>
      <c r="K648"/>
      <c r="L648"/>
      <c r="M648"/>
      <c r="N648"/>
      <c r="O648"/>
      <c r="P648"/>
      <c r="Q648"/>
      <c r="R648"/>
      <c r="S648"/>
      <c r="T648"/>
      <c r="U648"/>
      <c r="V648"/>
      <c r="W648"/>
    </row>
    <row r="649" spans="2:23" outlineLevel="1">
      <c r="B649" s="167"/>
      <c r="C649" s="168"/>
      <c r="D649" s="169"/>
      <c r="E649" s="170"/>
      <c r="F649" s="171"/>
      <c r="G649"/>
      <c r="H649"/>
      <c r="I649"/>
      <c r="J649"/>
      <c r="K649"/>
      <c r="L649"/>
      <c r="M649"/>
      <c r="N649"/>
      <c r="O649"/>
      <c r="P649"/>
      <c r="Q649"/>
      <c r="R649"/>
      <c r="S649"/>
      <c r="T649"/>
      <c r="U649"/>
      <c r="V649"/>
      <c r="W649"/>
    </row>
    <row r="650" spans="2:23" outlineLevel="1">
      <c r="B650" s="172"/>
      <c r="C650" s="173"/>
      <c r="D650" s="174"/>
      <c r="E650" s="175"/>
      <c r="F650" s="171"/>
      <c r="G650"/>
      <c r="H650"/>
      <c r="I650"/>
      <c r="J650"/>
      <c r="K650"/>
      <c r="L650"/>
      <c r="M650"/>
      <c r="N650"/>
      <c r="O650"/>
      <c r="P650"/>
      <c r="Q650"/>
      <c r="R650"/>
      <c r="S650"/>
      <c r="T650"/>
      <c r="U650"/>
      <c r="V650"/>
      <c r="W650"/>
    </row>
    <row r="651" spans="2:23" outlineLevel="1">
      <c r="B651" s="167"/>
      <c r="C651" s="168"/>
      <c r="D651" s="169"/>
      <c r="E651" s="170"/>
      <c r="F651" s="171"/>
      <c r="G651"/>
      <c r="H651"/>
      <c r="I651"/>
      <c r="J651"/>
      <c r="K651"/>
      <c r="L651"/>
      <c r="M651"/>
      <c r="N651"/>
      <c r="O651"/>
      <c r="P651"/>
      <c r="Q651"/>
      <c r="R651"/>
      <c r="S651"/>
      <c r="T651"/>
      <c r="U651"/>
      <c r="V651"/>
      <c r="W651"/>
    </row>
    <row r="652" spans="2:23" outlineLevel="1">
      <c r="B652" s="172"/>
      <c r="C652" s="173"/>
      <c r="D652" s="174"/>
      <c r="E652" s="175"/>
      <c r="F652" s="171"/>
      <c r="G652"/>
      <c r="H652"/>
      <c r="I652"/>
      <c r="J652"/>
      <c r="K652"/>
      <c r="L652"/>
      <c r="M652"/>
      <c r="N652"/>
      <c r="O652"/>
      <c r="P652"/>
      <c r="Q652"/>
      <c r="R652"/>
      <c r="S652"/>
      <c r="T652"/>
      <c r="U652"/>
      <c r="V652"/>
      <c r="W652"/>
    </row>
    <row r="653" spans="2:23" outlineLevel="1">
      <c r="B653" s="167"/>
      <c r="C653" s="168"/>
      <c r="D653" s="169"/>
      <c r="E653" s="170"/>
      <c r="F653" s="171"/>
      <c r="G653"/>
      <c r="H653"/>
      <c r="I653"/>
      <c r="J653"/>
      <c r="K653"/>
      <c r="L653"/>
      <c r="M653"/>
      <c r="N653"/>
      <c r="O653"/>
      <c r="P653"/>
      <c r="Q653"/>
      <c r="R653"/>
      <c r="S653"/>
      <c r="T653"/>
      <c r="U653"/>
      <c r="V653"/>
      <c r="W653"/>
    </row>
    <row r="654" spans="2:23" outlineLevel="1">
      <c r="B654" s="172"/>
      <c r="C654" s="173"/>
      <c r="D654" s="174"/>
      <c r="E654" s="175"/>
      <c r="F654" s="171"/>
      <c r="G654"/>
      <c r="H654"/>
      <c r="I654"/>
      <c r="J654"/>
      <c r="K654"/>
      <c r="L654"/>
      <c r="M654"/>
      <c r="N654"/>
      <c r="O654"/>
      <c r="P654"/>
      <c r="Q654"/>
      <c r="R654"/>
      <c r="S654"/>
      <c r="T654"/>
      <c r="U654"/>
      <c r="V654"/>
      <c r="W654"/>
    </row>
    <row r="655" spans="2:23" outlineLevel="1">
      <c r="B655" s="167"/>
      <c r="C655" s="168"/>
      <c r="D655" s="169"/>
      <c r="E655" s="170"/>
      <c r="F655" s="171"/>
      <c r="G655"/>
      <c r="H655"/>
      <c r="I655"/>
      <c r="J655"/>
      <c r="K655"/>
      <c r="L655"/>
      <c r="M655"/>
      <c r="N655"/>
      <c r="O655"/>
      <c r="P655"/>
      <c r="Q655"/>
      <c r="R655"/>
      <c r="S655"/>
      <c r="T655"/>
      <c r="U655"/>
      <c r="V655"/>
      <c r="W655"/>
    </row>
    <row r="656" spans="2:23" outlineLevel="1">
      <c r="B656" s="172"/>
      <c r="C656" s="173"/>
      <c r="D656" s="174"/>
      <c r="E656" s="175"/>
      <c r="F656" s="171"/>
      <c r="G656"/>
      <c r="H656"/>
      <c r="I656"/>
      <c r="J656"/>
      <c r="K656"/>
      <c r="L656"/>
      <c r="M656"/>
      <c r="N656"/>
      <c r="O656"/>
      <c r="P656"/>
      <c r="Q656"/>
      <c r="R656"/>
      <c r="S656"/>
      <c r="T656"/>
      <c r="U656"/>
      <c r="V656"/>
      <c r="W656"/>
    </row>
    <row r="657" spans="2:23" outlineLevel="1">
      <c r="B657" s="167"/>
      <c r="C657" s="168"/>
      <c r="D657" s="169"/>
      <c r="E657" s="170"/>
      <c r="F657" s="171"/>
      <c r="G657"/>
      <c r="H657"/>
      <c r="I657"/>
      <c r="J657"/>
      <c r="K657"/>
      <c r="L657"/>
      <c r="M657"/>
      <c r="N657"/>
      <c r="O657"/>
      <c r="P657"/>
      <c r="Q657"/>
      <c r="R657"/>
      <c r="S657"/>
      <c r="T657"/>
      <c r="U657"/>
      <c r="V657"/>
      <c r="W657"/>
    </row>
    <row r="658" spans="2:23" outlineLevel="1">
      <c r="B658" s="172"/>
      <c r="C658" s="173"/>
      <c r="D658" s="174"/>
      <c r="E658" s="175"/>
      <c r="F658" s="171"/>
      <c r="G658"/>
      <c r="H658"/>
      <c r="I658"/>
      <c r="J658"/>
      <c r="K658"/>
      <c r="L658"/>
      <c r="M658"/>
      <c r="N658"/>
      <c r="O658"/>
      <c r="P658"/>
      <c r="Q658"/>
      <c r="R658"/>
      <c r="S658"/>
      <c r="T658"/>
      <c r="U658"/>
      <c r="V658"/>
      <c r="W658"/>
    </row>
    <row r="659" spans="2:23" outlineLevel="1">
      <c r="B659" s="167"/>
      <c r="C659" s="168"/>
      <c r="D659" s="169"/>
      <c r="E659" s="170"/>
      <c r="F659" s="171"/>
      <c r="G659"/>
      <c r="H659"/>
      <c r="I659"/>
      <c r="J659"/>
      <c r="K659"/>
      <c r="L659"/>
      <c r="M659"/>
      <c r="N659"/>
      <c r="O659"/>
      <c r="P659"/>
      <c r="Q659"/>
      <c r="R659"/>
      <c r="S659"/>
      <c r="T659"/>
      <c r="U659"/>
      <c r="V659"/>
      <c r="W659"/>
    </row>
    <row r="660" spans="2:23" outlineLevel="1">
      <c r="B660" s="172"/>
      <c r="C660" s="173"/>
      <c r="D660" s="174"/>
      <c r="E660" s="175"/>
      <c r="F660" s="171"/>
      <c r="G660"/>
      <c r="H660"/>
      <c r="I660"/>
      <c r="J660"/>
      <c r="K660"/>
      <c r="L660"/>
      <c r="M660"/>
      <c r="N660"/>
      <c r="O660"/>
      <c r="P660"/>
      <c r="Q660"/>
      <c r="R660"/>
      <c r="S660"/>
      <c r="T660"/>
      <c r="U660"/>
      <c r="V660"/>
      <c r="W660"/>
    </row>
    <row r="661" spans="2:23" outlineLevel="1">
      <c r="B661" s="167"/>
      <c r="C661" s="168"/>
      <c r="D661" s="169"/>
      <c r="E661" s="170"/>
      <c r="F661" s="171"/>
      <c r="G661"/>
      <c r="H661"/>
      <c r="I661"/>
      <c r="J661"/>
      <c r="K661"/>
      <c r="L661"/>
      <c r="M661"/>
      <c r="N661"/>
      <c r="O661"/>
      <c r="P661"/>
      <c r="Q661"/>
      <c r="R661"/>
      <c r="S661"/>
      <c r="T661"/>
      <c r="U661"/>
      <c r="V661"/>
      <c r="W661"/>
    </row>
    <row r="662" spans="2:23" outlineLevel="1">
      <c r="B662" s="172"/>
      <c r="C662" s="173"/>
      <c r="D662" s="174"/>
      <c r="E662" s="175"/>
      <c r="F662" s="171"/>
      <c r="G662"/>
      <c r="H662"/>
      <c r="I662"/>
      <c r="J662"/>
      <c r="K662"/>
      <c r="L662"/>
      <c r="M662"/>
      <c r="N662"/>
      <c r="O662"/>
      <c r="P662"/>
      <c r="Q662"/>
      <c r="R662"/>
      <c r="S662"/>
      <c r="T662"/>
      <c r="U662"/>
      <c r="V662"/>
      <c r="W662"/>
    </row>
    <row r="663" spans="2:23" outlineLevel="1">
      <c r="B663" s="167"/>
      <c r="C663" s="168"/>
      <c r="D663" s="169"/>
      <c r="E663" s="170"/>
      <c r="F663" s="171"/>
      <c r="G663"/>
      <c r="H663"/>
      <c r="I663"/>
      <c r="J663"/>
      <c r="K663"/>
      <c r="L663"/>
      <c r="M663"/>
      <c r="N663"/>
      <c r="O663"/>
      <c r="P663"/>
      <c r="Q663"/>
      <c r="R663"/>
      <c r="S663"/>
      <c r="T663"/>
      <c r="U663"/>
      <c r="V663"/>
      <c r="W663"/>
    </row>
    <row r="664" spans="2:23" outlineLevel="1">
      <c r="B664" s="172"/>
      <c r="C664" s="173"/>
      <c r="D664" s="174"/>
      <c r="E664" s="175"/>
      <c r="F664" s="171"/>
      <c r="G664"/>
      <c r="H664"/>
      <c r="I664"/>
      <c r="J664"/>
      <c r="K664"/>
      <c r="L664"/>
      <c r="M664"/>
      <c r="N664"/>
      <c r="O664"/>
      <c r="P664"/>
      <c r="Q664"/>
      <c r="R664"/>
      <c r="S664"/>
      <c r="T664"/>
      <c r="U664"/>
      <c r="V664"/>
      <c r="W664"/>
    </row>
    <row r="665" spans="2:23" outlineLevel="1">
      <c r="B665" s="167"/>
      <c r="C665" s="168"/>
      <c r="D665" s="169"/>
      <c r="E665" s="170"/>
      <c r="F665" s="171"/>
      <c r="G665"/>
      <c r="H665"/>
      <c r="I665"/>
      <c r="J665"/>
      <c r="K665"/>
      <c r="L665"/>
      <c r="M665"/>
      <c r="N665"/>
      <c r="O665"/>
      <c r="P665"/>
      <c r="Q665"/>
      <c r="R665"/>
      <c r="S665"/>
      <c r="T665"/>
      <c r="U665"/>
      <c r="V665"/>
      <c r="W665"/>
    </row>
    <row r="666" spans="2:23" outlineLevel="1">
      <c r="B666" s="172"/>
      <c r="C666" s="173"/>
      <c r="D666" s="174"/>
      <c r="E666" s="175"/>
      <c r="F666" s="171"/>
      <c r="G666"/>
      <c r="H666"/>
      <c r="I666"/>
      <c r="J666"/>
      <c r="K666"/>
      <c r="L666"/>
      <c r="M666"/>
      <c r="N666"/>
      <c r="O666"/>
      <c r="P666"/>
      <c r="Q666"/>
      <c r="R666"/>
      <c r="S666"/>
      <c r="T666"/>
      <c r="U666"/>
      <c r="V666"/>
      <c r="W666"/>
    </row>
    <row r="667" spans="2:23" outlineLevel="1">
      <c r="B667" s="167"/>
      <c r="C667" s="168"/>
      <c r="D667" s="169"/>
      <c r="E667" s="170"/>
      <c r="F667" s="171"/>
      <c r="G667"/>
      <c r="H667"/>
      <c r="I667"/>
      <c r="J667"/>
      <c r="K667"/>
      <c r="L667"/>
      <c r="M667"/>
      <c r="N667"/>
      <c r="O667"/>
      <c r="P667"/>
      <c r="Q667"/>
      <c r="R667"/>
      <c r="S667"/>
      <c r="T667"/>
      <c r="U667"/>
      <c r="V667"/>
      <c r="W667"/>
    </row>
    <row r="668" spans="2:23" outlineLevel="1">
      <c r="B668" s="172"/>
      <c r="C668" s="173"/>
      <c r="D668" s="174"/>
      <c r="E668" s="175"/>
      <c r="F668" s="171"/>
      <c r="G668"/>
      <c r="H668"/>
      <c r="I668"/>
      <c r="J668"/>
      <c r="K668"/>
      <c r="L668"/>
      <c r="M668"/>
      <c r="N668"/>
      <c r="O668"/>
      <c r="P668"/>
      <c r="Q668"/>
      <c r="R668"/>
      <c r="S668"/>
      <c r="T668"/>
      <c r="U668"/>
      <c r="V668"/>
      <c r="W668"/>
    </row>
    <row r="669" spans="2:23" outlineLevel="1">
      <c r="B669" s="167"/>
      <c r="C669" s="168"/>
      <c r="D669" s="169"/>
      <c r="E669" s="170"/>
      <c r="F669" s="171"/>
      <c r="G669"/>
      <c r="H669"/>
      <c r="I669"/>
      <c r="J669"/>
      <c r="K669"/>
      <c r="L669"/>
      <c r="M669"/>
      <c r="N669"/>
      <c r="O669"/>
      <c r="P669"/>
      <c r="Q669"/>
      <c r="R669"/>
      <c r="S669"/>
      <c r="T669"/>
      <c r="U669"/>
      <c r="V669"/>
      <c r="W669"/>
    </row>
    <row r="670" spans="2:23" outlineLevel="1">
      <c r="B670" s="172"/>
      <c r="C670" s="173"/>
      <c r="D670" s="174"/>
      <c r="E670" s="175"/>
      <c r="F670" s="171"/>
      <c r="G670"/>
      <c r="H670"/>
      <c r="I670"/>
      <c r="J670"/>
      <c r="K670"/>
      <c r="L670"/>
      <c r="M670"/>
      <c r="N670"/>
      <c r="O670"/>
      <c r="P670"/>
      <c r="Q670"/>
      <c r="R670"/>
      <c r="S670"/>
      <c r="T670"/>
      <c r="U670"/>
      <c r="V670"/>
      <c r="W670"/>
    </row>
    <row r="671" spans="2:23" outlineLevel="1">
      <c r="B671" s="167"/>
      <c r="C671" s="168"/>
      <c r="D671" s="169"/>
      <c r="E671" s="170"/>
      <c r="F671" s="171"/>
      <c r="G671"/>
      <c r="H671"/>
      <c r="I671"/>
      <c r="J671"/>
      <c r="K671"/>
      <c r="L671"/>
      <c r="M671"/>
      <c r="N671"/>
      <c r="O671"/>
      <c r="P671"/>
      <c r="Q671"/>
      <c r="R671"/>
      <c r="S671"/>
      <c r="T671"/>
      <c r="U671"/>
      <c r="V671"/>
      <c r="W671"/>
    </row>
    <row r="672" spans="2:23" outlineLevel="1">
      <c r="B672" s="172"/>
      <c r="C672" s="173"/>
      <c r="D672" s="174"/>
      <c r="E672" s="175"/>
      <c r="F672" s="171"/>
      <c r="G672"/>
      <c r="H672"/>
      <c r="I672"/>
      <c r="J672"/>
      <c r="K672"/>
      <c r="L672"/>
      <c r="M672"/>
      <c r="N672"/>
      <c r="O672"/>
      <c r="P672"/>
      <c r="Q672"/>
      <c r="R672"/>
      <c r="S672"/>
      <c r="T672"/>
      <c r="U672"/>
      <c r="V672"/>
      <c r="W672"/>
    </row>
    <row r="673" spans="2:23" outlineLevel="1">
      <c r="B673" s="167"/>
      <c r="C673" s="168"/>
      <c r="D673" s="169"/>
      <c r="E673" s="170"/>
      <c r="F673" s="171"/>
      <c r="G673"/>
      <c r="H673"/>
      <c r="I673"/>
      <c r="J673"/>
      <c r="K673"/>
      <c r="L673"/>
      <c r="M673"/>
      <c r="N673"/>
      <c r="O673"/>
      <c r="P673"/>
      <c r="Q673"/>
      <c r="R673"/>
      <c r="S673"/>
      <c r="T673"/>
      <c r="U673"/>
      <c r="V673"/>
      <c r="W673"/>
    </row>
    <row r="674" spans="2:23" outlineLevel="1">
      <c r="B674" s="172"/>
      <c r="C674" s="173"/>
      <c r="D674" s="174"/>
      <c r="E674" s="175"/>
      <c r="F674" s="171"/>
      <c r="G674"/>
      <c r="H674"/>
      <c r="I674"/>
      <c r="J674"/>
      <c r="K674"/>
      <c r="L674"/>
      <c r="M674"/>
      <c r="N674"/>
      <c r="O674"/>
      <c r="P674"/>
      <c r="Q674"/>
      <c r="R674"/>
      <c r="S674"/>
      <c r="T674"/>
      <c r="U674"/>
      <c r="V674"/>
      <c r="W674"/>
    </row>
    <row r="675" spans="2:23" outlineLevel="1">
      <c r="B675" s="167"/>
      <c r="C675" s="168"/>
      <c r="D675" s="169"/>
      <c r="E675" s="170"/>
      <c r="F675" s="171"/>
      <c r="G675"/>
      <c r="H675"/>
      <c r="I675"/>
      <c r="J675"/>
      <c r="K675"/>
      <c r="L675"/>
      <c r="M675"/>
      <c r="N675"/>
      <c r="O675"/>
      <c r="P675"/>
      <c r="Q675"/>
      <c r="R675"/>
      <c r="S675"/>
      <c r="T675"/>
      <c r="U675"/>
      <c r="V675"/>
      <c r="W675"/>
    </row>
    <row r="676" spans="2:23" outlineLevel="1">
      <c r="B676" s="172"/>
      <c r="C676" s="173"/>
      <c r="D676" s="174"/>
      <c r="E676" s="175"/>
      <c r="F676" s="171"/>
      <c r="G676"/>
      <c r="H676"/>
      <c r="I676"/>
      <c r="J676"/>
      <c r="K676"/>
      <c r="L676"/>
      <c r="M676"/>
      <c r="N676"/>
      <c r="O676"/>
      <c r="P676"/>
      <c r="Q676"/>
      <c r="R676"/>
      <c r="S676"/>
      <c r="T676"/>
      <c r="U676"/>
      <c r="V676"/>
      <c r="W676"/>
    </row>
    <row r="677" spans="2:23" outlineLevel="1">
      <c r="B677" s="167"/>
      <c r="C677" s="168"/>
      <c r="D677" s="169"/>
      <c r="E677" s="170"/>
      <c r="F677" s="171"/>
      <c r="G677"/>
      <c r="H677"/>
      <c r="I677"/>
      <c r="J677"/>
      <c r="K677"/>
      <c r="L677"/>
      <c r="M677"/>
      <c r="N677"/>
      <c r="O677"/>
      <c r="P677"/>
      <c r="Q677"/>
      <c r="R677"/>
      <c r="S677"/>
      <c r="T677"/>
      <c r="U677"/>
      <c r="V677"/>
      <c r="W677"/>
    </row>
    <row r="678" spans="2:23" outlineLevel="1">
      <c r="B678" s="172"/>
      <c r="C678" s="173"/>
      <c r="D678" s="174"/>
      <c r="E678" s="175"/>
      <c r="F678" s="171"/>
      <c r="G678"/>
      <c r="H678"/>
      <c r="I678"/>
      <c r="J678"/>
      <c r="K678"/>
      <c r="L678"/>
      <c r="M678"/>
      <c r="N678"/>
      <c r="O678"/>
      <c r="P678"/>
      <c r="Q678"/>
      <c r="R678"/>
      <c r="S678"/>
      <c r="T678"/>
      <c r="U678"/>
      <c r="V678"/>
      <c r="W678"/>
    </row>
    <row r="679" spans="2:23" outlineLevel="1">
      <c r="B679" s="167"/>
      <c r="C679" s="168"/>
      <c r="D679" s="169"/>
      <c r="E679" s="170"/>
      <c r="F679" s="171"/>
      <c r="G679"/>
      <c r="H679"/>
      <c r="I679"/>
      <c r="J679"/>
      <c r="K679"/>
      <c r="L679"/>
      <c r="M679"/>
      <c r="N679"/>
      <c r="O679"/>
      <c r="P679"/>
      <c r="Q679"/>
      <c r="R679"/>
      <c r="S679"/>
      <c r="T679"/>
      <c r="U679"/>
      <c r="V679"/>
      <c r="W679"/>
    </row>
    <row r="680" spans="2:23" outlineLevel="1">
      <c r="B680" s="172"/>
      <c r="C680" s="173"/>
      <c r="D680" s="174"/>
      <c r="E680" s="175"/>
      <c r="F680" s="171"/>
      <c r="G680"/>
      <c r="H680"/>
      <c r="I680"/>
      <c r="J680"/>
      <c r="K680"/>
      <c r="L680"/>
      <c r="M680"/>
      <c r="N680"/>
      <c r="O680"/>
      <c r="P680"/>
      <c r="Q680"/>
      <c r="R680"/>
      <c r="S680"/>
      <c r="T680"/>
      <c r="U680"/>
      <c r="V680"/>
      <c r="W680"/>
    </row>
    <row r="681" spans="2:23" outlineLevel="1">
      <c r="B681" s="167"/>
      <c r="C681" s="168"/>
      <c r="D681" s="169"/>
      <c r="E681" s="170"/>
      <c r="F681" s="171"/>
      <c r="G681"/>
      <c r="H681"/>
      <c r="I681"/>
      <c r="J681"/>
      <c r="K681"/>
      <c r="L681"/>
      <c r="M681"/>
      <c r="N681"/>
      <c r="O681"/>
      <c r="P681"/>
      <c r="Q681"/>
      <c r="R681"/>
      <c r="S681"/>
      <c r="T681"/>
      <c r="U681"/>
      <c r="V681"/>
      <c r="W681"/>
    </row>
    <row r="682" spans="2:23" outlineLevel="1">
      <c r="B682" s="172"/>
      <c r="C682" s="173"/>
      <c r="D682" s="174"/>
      <c r="E682" s="175"/>
      <c r="F682" s="171"/>
      <c r="G682"/>
      <c r="H682"/>
      <c r="I682"/>
      <c r="J682"/>
      <c r="K682"/>
      <c r="L682"/>
      <c r="M682"/>
      <c r="N682"/>
      <c r="O682"/>
      <c r="P682"/>
      <c r="Q682"/>
      <c r="R682"/>
      <c r="S682"/>
      <c r="T682"/>
      <c r="U682"/>
      <c r="V682"/>
      <c r="W682"/>
    </row>
    <row r="683" spans="2:23" outlineLevel="1">
      <c r="B683" s="167"/>
      <c r="C683" s="168"/>
      <c r="D683" s="169"/>
      <c r="E683" s="170"/>
      <c r="F683" s="171"/>
      <c r="G683"/>
      <c r="H683"/>
      <c r="I683"/>
      <c r="J683"/>
      <c r="K683"/>
      <c r="L683"/>
      <c r="M683"/>
      <c r="N683"/>
      <c r="O683"/>
      <c r="P683"/>
      <c r="Q683"/>
      <c r="R683"/>
      <c r="S683"/>
      <c r="T683"/>
      <c r="U683"/>
      <c r="V683"/>
      <c r="W683"/>
    </row>
    <row r="684" spans="2:23" outlineLevel="1">
      <c r="B684" s="172"/>
      <c r="C684" s="173"/>
      <c r="D684" s="174"/>
      <c r="E684" s="175"/>
      <c r="F684" s="171"/>
      <c r="G684"/>
      <c r="H684"/>
      <c r="I684"/>
      <c r="J684"/>
      <c r="K684"/>
      <c r="L684"/>
      <c r="M684"/>
      <c r="N684"/>
      <c r="O684"/>
      <c r="P684"/>
      <c r="Q684"/>
      <c r="R684"/>
      <c r="S684"/>
      <c r="T684"/>
      <c r="U684"/>
      <c r="V684"/>
      <c r="W684"/>
    </row>
    <row r="685" spans="2:23" outlineLevel="1">
      <c r="B685" s="167"/>
      <c r="C685" s="168"/>
      <c r="D685" s="169"/>
      <c r="E685" s="170"/>
      <c r="F685" s="171"/>
      <c r="G685"/>
      <c r="H685"/>
      <c r="I685"/>
      <c r="J685"/>
      <c r="K685"/>
      <c r="L685"/>
      <c r="M685"/>
      <c r="N685"/>
      <c r="O685"/>
      <c r="P685"/>
      <c r="Q685"/>
      <c r="R685"/>
      <c r="S685"/>
      <c r="T685"/>
      <c r="U685"/>
      <c r="V685"/>
      <c r="W685"/>
    </row>
    <row r="686" spans="2:23" outlineLevel="1">
      <c r="B686" s="172"/>
      <c r="C686" s="173"/>
      <c r="D686" s="174"/>
      <c r="E686" s="175"/>
      <c r="F686" s="171"/>
      <c r="G686"/>
      <c r="H686"/>
      <c r="I686"/>
      <c r="J686"/>
      <c r="K686"/>
      <c r="L686"/>
      <c r="M686"/>
      <c r="N686"/>
      <c r="O686"/>
      <c r="P686"/>
      <c r="Q686"/>
      <c r="R686"/>
      <c r="S686"/>
      <c r="T686"/>
      <c r="U686"/>
      <c r="V686"/>
      <c r="W686"/>
    </row>
    <row r="687" spans="2:23" outlineLevel="1">
      <c r="B687" s="167"/>
      <c r="C687" s="168"/>
      <c r="D687" s="169"/>
      <c r="E687" s="170"/>
      <c r="F687" s="171"/>
      <c r="G687"/>
      <c r="H687"/>
      <c r="I687"/>
      <c r="J687"/>
      <c r="K687"/>
      <c r="L687"/>
      <c r="M687"/>
      <c r="N687"/>
      <c r="O687"/>
      <c r="P687"/>
      <c r="Q687"/>
      <c r="R687"/>
      <c r="S687"/>
      <c r="T687"/>
      <c r="U687"/>
      <c r="V687"/>
      <c r="W687"/>
    </row>
    <row r="688" spans="2:23" outlineLevel="1">
      <c r="B688" s="172"/>
      <c r="C688" s="173"/>
      <c r="D688" s="174"/>
      <c r="E688" s="175"/>
      <c r="F688" s="171"/>
      <c r="G688"/>
      <c r="H688"/>
      <c r="I688"/>
      <c r="J688"/>
      <c r="K688"/>
      <c r="L688"/>
      <c r="M688"/>
      <c r="N688"/>
      <c r="O688"/>
      <c r="P688"/>
      <c r="Q688"/>
      <c r="R688"/>
      <c r="S688"/>
      <c r="T688"/>
      <c r="U688"/>
      <c r="V688"/>
      <c r="W688"/>
    </row>
    <row r="689" spans="2:23" outlineLevel="1">
      <c r="B689" s="167"/>
      <c r="C689" s="168"/>
      <c r="D689" s="169"/>
      <c r="E689" s="170"/>
      <c r="F689" s="171"/>
      <c r="G689"/>
      <c r="H689"/>
      <c r="I689"/>
      <c r="J689"/>
      <c r="K689"/>
      <c r="L689"/>
      <c r="M689"/>
      <c r="N689"/>
      <c r="O689"/>
      <c r="P689"/>
      <c r="Q689"/>
      <c r="R689"/>
      <c r="S689"/>
      <c r="T689"/>
      <c r="U689"/>
      <c r="V689"/>
      <c r="W689"/>
    </row>
    <row r="690" spans="2:23" outlineLevel="1">
      <c r="B690" s="172"/>
      <c r="C690" s="173"/>
      <c r="D690" s="174"/>
      <c r="E690" s="175"/>
      <c r="F690" s="171"/>
      <c r="G690"/>
      <c r="H690"/>
      <c r="I690"/>
      <c r="J690"/>
      <c r="K690"/>
      <c r="L690"/>
      <c r="M690"/>
      <c r="N690"/>
      <c r="O690"/>
      <c r="P690"/>
      <c r="Q690"/>
      <c r="R690"/>
      <c r="S690"/>
      <c r="T690"/>
      <c r="U690"/>
      <c r="V690"/>
      <c r="W690"/>
    </row>
    <row r="691" spans="2:23" outlineLevel="1">
      <c r="B691" s="167"/>
      <c r="C691" s="168"/>
      <c r="D691" s="169"/>
      <c r="E691" s="170"/>
      <c r="F691" s="171"/>
      <c r="G691"/>
      <c r="H691"/>
      <c r="I691"/>
      <c r="J691"/>
      <c r="K691"/>
      <c r="L691"/>
      <c r="M691"/>
      <c r="N691"/>
      <c r="O691"/>
      <c r="P691"/>
      <c r="Q691"/>
      <c r="R691"/>
      <c r="S691"/>
      <c r="T691"/>
      <c r="U691"/>
      <c r="V691"/>
      <c r="W691"/>
    </row>
    <row r="692" spans="2:23" outlineLevel="1">
      <c r="B692" s="172"/>
      <c r="C692" s="173"/>
      <c r="D692" s="174"/>
      <c r="E692" s="175"/>
      <c r="F692" s="171"/>
      <c r="G692"/>
      <c r="H692"/>
      <c r="I692"/>
      <c r="J692"/>
      <c r="K692"/>
      <c r="L692"/>
      <c r="M692"/>
      <c r="N692"/>
      <c r="O692"/>
      <c r="P692"/>
      <c r="Q692"/>
      <c r="R692"/>
      <c r="S692"/>
      <c r="T692"/>
      <c r="U692"/>
      <c r="V692"/>
      <c r="W692"/>
    </row>
    <row r="693" spans="2:23" outlineLevel="1">
      <c r="B693" s="167"/>
      <c r="C693" s="168"/>
      <c r="D693" s="169"/>
      <c r="E693" s="170"/>
      <c r="F693" s="171"/>
      <c r="G693"/>
      <c r="H693"/>
      <c r="I693"/>
      <c r="J693"/>
      <c r="K693"/>
      <c r="L693"/>
      <c r="M693"/>
      <c r="N693"/>
      <c r="O693"/>
      <c r="P693"/>
      <c r="Q693"/>
      <c r="R693"/>
      <c r="S693"/>
      <c r="T693"/>
      <c r="U693"/>
      <c r="V693"/>
      <c r="W693"/>
    </row>
    <row r="694" spans="2:23" outlineLevel="1">
      <c r="B694" s="172"/>
      <c r="C694" s="173"/>
      <c r="D694" s="174"/>
      <c r="E694" s="175"/>
      <c r="F694" s="171"/>
      <c r="G694"/>
      <c r="H694"/>
      <c r="I694"/>
      <c r="J694"/>
      <c r="K694"/>
      <c r="L694"/>
      <c r="M694"/>
      <c r="N694"/>
      <c r="O694"/>
      <c r="P694"/>
      <c r="Q694"/>
      <c r="R694"/>
      <c r="S694"/>
      <c r="T694"/>
      <c r="U694"/>
      <c r="V694"/>
      <c r="W694"/>
    </row>
    <row r="695" spans="2:23" outlineLevel="1">
      <c r="B695" s="167"/>
      <c r="C695" s="168"/>
      <c r="D695" s="169"/>
      <c r="E695" s="170"/>
      <c r="F695" s="171"/>
      <c r="G695"/>
      <c r="H695"/>
      <c r="I695"/>
      <c r="J695"/>
      <c r="K695"/>
      <c r="L695"/>
      <c r="M695"/>
      <c r="N695"/>
      <c r="O695"/>
      <c r="P695"/>
      <c r="Q695"/>
      <c r="R695"/>
      <c r="S695"/>
      <c r="T695"/>
      <c r="U695"/>
      <c r="V695"/>
      <c r="W695"/>
    </row>
    <row r="696" spans="2:23" outlineLevel="1">
      <c r="B696" s="172"/>
      <c r="C696" s="173"/>
      <c r="D696" s="174"/>
      <c r="E696" s="175"/>
      <c r="F696" s="171"/>
      <c r="G696"/>
      <c r="H696"/>
      <c r="I696"/>
      <c r="J696"/>
      <c r="K696"/>
      <c r="L696"/>
      <c r="M696"/>
      <c r="N696"/>
      <c r="O696"/>
      <c r="P696"/>
      <c r="Q696"/>
      <c r="R696"/>
      <c r="S696"/>
      <c r="T696"/>
      <c r="U696"/>
      <c r="V696"/>
      <c r="W696"/>
    </row>
    <row r="697" spans="2:23" outlineLevel="1">
      <c r="B697" s="167"/>
      <c r="C697" s="168"/>
      <c r="D697" s="169"/>
      <c r="E697" s="170"/>
      <c r="F697" s="171"/>
      <c r="G697"/>
      <c r="H697"/>
      <c r="I697"/>
      <c r="J697"/>
      <c r="K697"/>
      <c r="L697"/>
      <c r="M697"/>
      <c r="N697"/>
      <c r="O697"/>
      <c r="P697"/>
      <c r="Q697"/>
      <c r="R697"/>
      <c r="S697"/>
      <c r="T697"/>
      <c r="U697"/>
      <c r="V697"/>
      <c r="W697"/>
    </row>
    <row r="698" spans="2:23" outlineLevel="1">
      <c r="B698" s="172"/>
      <c r="C698" s="173"/>
      <c r="D698" s="174"/>
      <c r="E698" s="175"/>
      <c r="F698" s="171"/>
      <c r="G698"/>
      <c r="H698"/>
      <c r="I698"/>
      <c r="J698"/>
      <c r="K698"/>
      <c r="L698"/>
      <c r="M698"/>
      <c r="N698"/>
      <c r="O698"/>
      <c r="P698"/>
      <c r="Q698"/>
      <c r="R698"/>
      <c r="S698"/>
      <c r="T698"/>
      <c r="U698"/>
      <c r="V698"/>
      <c r="W698"/>
    </row>
    <row r="699" spans="2:23" outlineLevel="1">
      <c r="B699" s="167"/>
      <c r="C699" s="168"/>
      <c r="D699" s="169"/>
      <c r="E699" s="170"/>
      <c r="F699" s="171"/>
      <c r="G699"/>
      <c r="H699"/>
      <c r="I699"/>
      <c r="J699"/>
      <c r="K699"/>
      <c r="L699"/>
      <c r="M699"/>
      <c r="N699"/>
      <c r="O699"/>
      <c r="P699"/>
      <c r="Q699"/>
      <c r="R699"/>
      <c r="S699"/>
      <c r="T699"/>
      <c r="U699"/>
      <c r="V699"/>
      <c r="W699"/>
    </row>
    <row r="700" spans="2:23" outlineLevel="1">
      <c r="B700" s="172"/>
      <c r="C700" s="173"/>
      <c r="D700" s="174"/>
      <c r="E700" s="175"/>
      <c r="F700" s="171"/>
      <c r="G700"/>
      <c r="H700"/>
      <c r="I700"/>
      <c r="J700"/>
      <c r="K700"/>
      <c r="L700"/>
      <c r="M700"/>
      <c r="N700"/>
      <c r="O700"/>
      <c r="P700"/>
      <c r="Q700"/>
      <c r="R700"/>
      <c r="S700"/>
      <c r="T700"/>
      <c r="U700"/>
      <c r="V700"/>
      <c r="W700"/>
    </row>
    <row r="701" spans="2:23" outlineLevel="1">
      <c r="B701" s="167"/>
      <c r="C701" s="168"/>
      <c r="D701" s="169"/>
      <c r="E701" s="170"/>
      <c r="F701" s="171"/>
      <c r="G701"/>
      <c r="H701"/>
      <c r="I701"/>
      <c r="J701"/>
      <c r="K701"/>
      <c r="L701"/>
      <c r="M701"/>
      <c r="N701"/>
      <c r="O701"/>
      <c r="P701"/>
      <c r="Q701"/>
      <c r="R701"/>
      <c r="S701"/>
      <c r="T701"/>
      <c r="U701"/>
      <c r="V701"/>
      <c r="W701"/>
    </row>
    <row r="702" spans="2:23" outlineLevel="1">
      <c r="B702" s="172"/>
      <c r="C702" s="173"/>
      <c r="D702" s="174"/>
      <c r="E702" s="175"/>
      <c r="F702" s="171"/>
      <c r="G702"/>
      <c r="H702"/>
      <c r="I702"/>
      <c r="J702"/>
      <c r="K702"/>
      <c r="L702"/>
      <c r="M702"/>
      <c r="N702"/>
      <c r="O702"/>
      <c r="P702"/>
      <c r="Q702"/>
      <c r="R702"/>
      <c r="S702"/>
      <c r="T702"/>
      <c r="U702"/>
      <c r="V702"/>
      <c r="W702"/>
    </row>
    <row r="703" spans="2:23" outlineLevel="1">
      <c r="B703" s="167"/>
      <c r="C703" s="168"/>
      <c r="D703" s="169"/>
      <c r="E703" s="170"/>
      <c r="F703" s="171"/>
      <c r="G703"/>
      <c r="H703"/>
      <c r="I703"/>
      <c r="J703"/>
      <c r="K703"/>
      <c r="L703"/>
      <c r="M703"/>
      <c r="N703"/>
      <c r="O703"/>
      <c r="P703"/>
      <c r="Q703"/>
      <c r="R703"/>
      <c r="S703"/>
      <c r="T703"/>
      <c r="U703"/>
      <c r="V703"/>
      <c r="W703"/>
    </row>
    <row r="704" spans="2:23" outlineLevel="1">
      <c r="B704" s="172"/>
      <c r="C704" s="173"/>
      <c r="D704" s="174"/>
      <c r="E704" s="175"/>
      <c r="F704" s="171"/>
      <c r="G704"/>
      <c r="H704"/>
      <c r="I704"/>
      <c r="J704"/>
      <c r="K704"/>
      <c r="L704"/>
      <c r="M704"/>
      <c r="N704"/>
      <c r="O704"/>
      <c r="P704"/>
      <c r="Q704"/>
      <c r="R704"/>
      <c r="S704"/>
      <c r="T704"/>
      <c r="U704"/>
      <c r="V704"/>
      <c r="W704"/>
    </row>
    <row r="705" spans="2:23" outlineLevel="1">
      <c r="B705" s="167"/>
      <c r="C705" s="168"/>
      <c r="D705" s="169"/>
      <c r="E705" s="170"/>
      <c r="F705" s="171"/>
      <c r="G705"/>
      <c r="H705"/>
      <c r="I705"/>
      <c r="J705"/>
      <c r="K705"/>
      <c r="L705"/>
      <c r="M705"/>
      <c r="N705"/>
      <c r="O705"/>
      <c r="P705"/>
      <c r="Q705"/>
      <c r="R705"/>
      <c r="S705"/>
      <c r="T705"/>
      <c r="U705"/>
      <c r="V705"/>
      <c r="W705"/>
    </row>
    <row r="706" spans="2:23" outlineLevel="1">
      <c r="B706" s="172"/>
      <c r="C706" s="173"/>
      <c r="D706" s="174"/>
      <c r="E706" s="175"/>
      <c r="F706" s="171"/>
      <c r="G706"/>
      <c r="H706"/>
      <c r="I706"/>
      <c r="J706"/>
      <c r="K706"/>
      <c r="L706"/>
      <c r="M706"/>
      <c r="N706"/>
      <c r="O706"/>
      <c r="P706"/>
      <c r="Q706"/>
      <c r="R706"/>
      <c r="S706"/>
      <c r="T706"/>
      <c r="U706"/>
      <c r="V706"/>
      <c r="W706"/>
    </row>
    <row r="707" spans="2:23" outlineLevel="1">
      <c r="B707" s="167"/>
      <c r="C707" s="168"/>
      <c r="D707" s="169"/>
      <c r="E707" s="170"/>
      <c r="F707" s="171"/>
      <c r="G707"/>
      <c r="H707"/>
      <c r="I707"/>
      <c r="J707"/>
      <c r="K707"/>
      <c r="L707"/>
      <c r="M707"/>
      <c r="N707"/>
      <c r="O707"/>
      <c r="P707"/>
      <c r="Q707"/>
      <c r="R707"/>
      <c r="S707"/>
      <c r="T707"/>
      <c r="U707"/>
      <c r="V707"/>
      <c r="W707"/>
    </row>
    <row r="708" spans="2:23" outlineLevel="1">
      <c r="B708" s="172"/>
      <c r="C708" s="173"/>
      <c r="D708" s="174"/>
      <c r="E708" s="175"/>
      <c r="F708" s="171"/>
      <c r="G708"/>
      <c r="H708"/>
      <c r="I708"/>
      <c r="J708"/>
      <c r="K708"/>
      <c r="L708"/>
      <c r="M708"/>
      <c r="N708"/>
      <c r="O708"/>
      <c r="P708"/>
      <c r="Q708"/>
      <c r="R708"/>
      <c r="S708"/>
      <c r="T708"/>
      <c r="U708"/>
      <c r="V708"/>
      <c r="W708"/>
    </row>
    <row r="709" spans="2:23" outlineLevel="1">
      <c r="B709" s="167"/>
      <c r="C709" s="168"/>
      <c r="D709" s="169"/>
      <c r="E709" s="170"/>
      <c r="F709" s="171"/>
      <c r="G709"/>
      <c r="H709"/>
      <c r="I709"/>
      <c r="J709"/>
      <c r="K709"/>
      <c r="L709"/>
      <c r="M709"/>
      <c r="N709"/>
      <c r="O709"/>
      <c r="P709"/>
      <c r="Q709"/>
      <c r="R709"/>
      <c r="S709"/>
      <c r="T709"/>
      <c r="U709"/>
      <c r="V709"/>
      <c r="W709"/>
    </row>
    <row r="710" spans="2:23" outlineLevel="1">
      <c r="B710" s="172"/>
      <c r="C710" s="173"/>
      <c r="D710" s="174"/>
      <c r="E710" s="175"/>
      <c r="F710" s="171"/>
      <c r="G710"/>
      <c r="H710"/>
      <c r="I710"/>
      <c r="J710"/>
      <c r="K710"/>
      <c r="L710"/>
      <c r="M710"/>
      <c r="N710"/>
      <c r="O710"/>
      <c r="P710"/>
      <c r="Q710"/>
      <c r="R710"/>
      <c r="S710"/>
      <c r="T710"/>
      <c r="U710"/>
      <c r="V710"/>
      <c r="W710"/>
    </row>
    <row r="711" spans="2:23" outlineLevel="1">
      <c r="B711" s="167"/>
      <c r="C711" s="168"/>
      <c r="D711" s="169"/>
      <c r="E711" s="170"/>
      <c r="F711" s="171"/>
      <c r="G711"/>
      <c r="H711"/>
      <c r="I711"/>
      <c r="J711"/>
      <c r="K711"/>
      <c r="L711"/>
      <c r="M711"/>
      <c r="N711"/>
      <c r="O711"/>
      <c r="P711"/>
      <c r="Q711"/>
      <c r="R711"/>
      <c r="S711"/>
      <c r="T711"/>
      <c r="U711"/>
      <c r="V711"/>
      <c r="W711"/>
    </row>
    <row r="712" spans="2:23" outlineLevel="1">
      <c r="B712" s="172"/>
      <c r="C712" s="173"/>
      <c r="D712" s="174"/>
      <c r="E712" s="175"/>
      <c r="F712" s="171"/>
      <c r="G712"/>
      <c r="H712"/>
      <c r="I712"/>
      <c r="J712"/>
      <c r="K712"/>
      <c r="L712"/>
      <c r="M712"/>
      <c r="N712"/>
      <c r="O712"/>
      <c r="P712"/>
      <c r="Q712"/>
      <c r="R712"/>
      <c r="S712"/>
      <c r="T712"/>
      <c r="U712"/>
      <c r="V712"/>
      <c r="W712"/>
    </row>
    <row r="713" spans="2:23" outlineLevel="1">
      <c r="B713" s="167"/>
      <c r="C713" s="168"/>
      <c r="D713" s="169"/>
      <c r="E713" s="170"/>
      <c r="F713" s="171"/>
      <c r="G713"/>
      <c r="H713"/>
      <c r="I713"/>
      <c r="J713"/>
      <c r="K713"/>
      <c r="L713"/>
      <c r="M713"/>
      <c r="N713"/>
      <c r="O713"/>
      <c r="P713"/>
      <c r="Q713"/>
      <c r="R713"/>
      <c r="S713"/>
      <c r="T713"/>
      <c r="U713"/>
      <c r="V713"/>
      <c r="W713"/>
    </row>
    <row r="714" spans="2:23" outlineLevel="1">
      <c r="B714" s="172"/>
      <c r="C714" s="173"/>
      <c r="D714" s="174"/>
      <c r="E714" s="175"/>
      <c r="F714" s="171"/>
      <c r="G714"/>
      <c r="H714"/>
      <c r="I714"/>
      <c r="J714"/>
      <c r="K714"/>
      <c r="L714"/>
      <c r="M714"/>
      <c r="N714"/>
      <c r="O714"/>
      <c r="P714"/>
      <c r="Q714"/>
      <c r="R714"/>
      <c r="S714"/>
      <c r="T714"/>
      <c r="U714"/>
      <c r="V714"/>
      <c r="W714"/>
    </row>
    <row r="715" spans="2:23" outlineLevel="1">
      <c r="B715" s="167"/>
      <c r="C715" s="168"/>
      <c r="D715" s="169"/>
      <c r="E715" s="170"/>
      <c r="F715" s="171"/>
      <c r="G715"/>
      <c r="H715"/>
      <c r="I715"/>
      <c r="J715"/>
      <c r="K715"/>
      <c r="L715"/>
      <c r="M715"/>
      <c r="N715"/>
      <c r="O715"/>
      <c r="P715"/>
      <c r="Q715"/>
      <c r="R715"/>
      <c r="S715"/>
      <c r="T715"/>
      <c r="U715"/>
      <c r="V715"/>
      <c r="W715"/>
    </row>
    <row r="716" spans="2:23" outlineLevel="1">
      <c r="B716" s="172"/>
      <c r="C716" s="173"/>
      <c r="D716" s="174"/>
      <c r="E716" s="175"/>
      <c r="F716" s="171"/>
      <c r="G716"/>
      <c r="H716"/>
      <c r="I716"/>
      <c r="J716"/>
      <c r="K716"/>
      <c r="L716"/>
      <c r="M716"/>
      <c r="N716"/>
      <c r="O716"/>
      <c r="P716"/>
      <c r="Q716"/>
      <c r="R716"/>
      <c r="S716"/>
      <c r="T716"/>
      <c r="U716"/>
      <c r="V716"/>
      <c r="W716"/>
    </row>
    <row r="717" spans="2:23" outlineLevel="1">
      <c r="B717" s="167"/>
      <c r="C717" s="168"/>
      <c r="D717" s="169"/>
      <c r="E717" s="170"/>
      <c r="F717" s="171"/>
      <c r="G717"/>
      <c r="H717"/>
      <c r="I717"/>
      <c r="J717"/>
      <c r="K717"/>
      <c r="L717"/>
      <c r="M717"/>
      <c r="N717"/>
      <c r="O717"/>
      <c r="P717"/>
      <c r="Q717"/>
      <c r="R717"/>
      <c r="S717"/>
      <c r="T717"/>
      <c r="U717"/>
      <c r="V717"/>
      <c r="W717"/>
    </row>
    <row r="718" spans="2:23" outlineLevel="1">
      <c r="B718" s="172"/>
      <c r="C718" s="173"/>
      <c r="D718" s="174"/>
      <c r="E718" s="175"/>
      <c r="F718" s="171"/>
      <c r="G718"/>
      <c r="H718"/>
      <c r="I718"/>
      <c r="J718"/>
      <c r="K718"/>
      <c r="L718"/>
      <c r="M718"/>
      <c r="N718"/>
      <c r="O718"/>
      <c r="P718"/>
      <c r="Q718"/>
      <c r="R718"/>
      <c r="S718"/>
      <c r="T718"/>
      <c r="U718"/>
      <c r="V718"/>
      <c r="W718"/>
    </row>
    <row r="719" spans="2:23" outlineLevel="1">
      <c r="B719" s="167"/>
      <c r="C719" s="168"/>
      <c r="D719" s="169"/>
      <c r="E719" s="170"/>
      <c r="F719" s="171"/>
      <c r="G719"/>
      <c r="H719"/>
      <c r="I719"/>
      <c r="J719"/>
      <c r="K719"/>
      <c r="L719"/>
      <c r="M719"/>
      <c r="N719"/>
      <c r="O719"/>
      <c r="P719"/>
      <c r="Q719"/>
      <c r="R719"/>
      <c r="S719"/>
      <c r="T719"/>
      <c r="U719"/>
      <c r="V719"/>
      <c r="W719"/>
    </row>
    <row r="720" spans="2:23" outlineLevel="1">
      <c r="B720" s="172"/>
      <c r="C720" s="173"/>
      <c r="D720" s="174"/>
      <c r="E720" s="175"/>
      <c r="F720" s="171"/>
      <c r="G720"/>
      <c r="H720"/>
      <c r="I720"/>
      <c r="J720"/>
      <c r="K720"/>
      <c r="L720"/>
      <c r="M720"/>
      <c r="N720"/>
      <c r="O720"/>
      <c r="P720"/>
      <c r="Q720"/>
      <c r="R720"/>
      <c r="S720"/>
      <c r="T720"/>
      <c r="U720"/>
      <c r="V720"/>
      <c r="W720"/>
    </row>
    <row r="721" spans="2:23" outlineLevel="1">
      <c r="B721" s="167"/>
      <c r="C721" s="168"/>
      <c r="D721" s="169"/>
      <c r="E721" s="170"/>
      <c r="F721" s="171"/>
      <c r="G721"/>
      <c r="H721"/>
      <c r="I721"/>
      <c r="J721"/>
      <c r="K721"/>
      <c r="L721"/>
      <c r="M721"/>
      <c r="N721"/>
      <c r="O721"/>
      <c r="P721"/>
      <c r="Q721"/>
      <c r="R721"/>
      <c r="S721"/>
      <c r="T721"/>
      <c r="U721"/>
      <c r="V721"/>
      <c r="W721"/>
    </row>
    <row r="722" spans="2:23" outlineLevel="1">
      <c r="B722" s="172"/>
      <c r="C722" s="173"/>
      <c r="D722" s="174"/>
      <c r="E722" s="175"/>
      <c r="F722" s="171"/>
      <c r="G722"/>
      <c r="H722"/>
      <c r="I722"/>
      <c r="J722"/>
      <c r="K722"/>
      <c r="L722"/>
      <c r="M722"/>
      <c r="N722"/>
      <c r="O722"/>
      <c r="P722"/>
      <c r="Q722"/>
      <c r="R722"/>
      <c r="S722"/>
      <c r="T722"/>
      <c r="U722"/>
      <c r="V722"/>
      <c r="W722"/>
    </row>
    <row r="723" spans="2:23" outlineLevel="1">
      <c r="B723" s="167"/>
      <c r="C723" s="168"/>
      <c r="D723" s="169"/>
      <c r="E723" s="170"/>
      <c r="F723" s="171"/>
      <c r="G723"/>
      <c r="H723"/>
      <c r="I723"/>
      <c r="J723"/>
      <c r="K723"/>
      <c r="L723"/>
      <c r="M723"/>
      <c r="N723"/>
      <c r="O723"/>
      <c r="P723"/>
      <c r="Q723"/>
      <c r="R723"/>
      <c r="S723"/>
      <c r="T723"/>
      <c r="U723"/>
      <c r="V723"/>
      <c r="W723"/>
    </row>
    <row r="724" spans="2:23" outlineLevel="1">
      <c r="B724" s="172"/>
      <c r="C724" s="173"/>
      <c r="D724" s="174"/>
      <c r="E724" s="175"/>
      <c r="F724" s="171"/>
      <c r="G724"/>
      <c r="H724"/>
      <c r="I724"/>
      <c r="J724"/>
      <c r="K724"/>
      <c r="L724"/>
      <c r="M724"/>
      <c r="N724"/>
      <c r="O724"/>
      <c r="P724"/>
      <c r="Q724"/>
      <c r="R724"/>
      <c r="S724"/>
      <c r="T724"/>
      <c r="U724"/>
      <c r="V724"/>
      <c r="W724"/>
    </row>
    <row r="725" spans="2:23" outlineLevel="1">
      <c r="B725" s="167"/>
      <c r="C725" s="168"/>
      <c r="D725" s="169"/>
      <c r="E725" s="170"/>
      <c r="F725" s="171"/>
      <c r="G725"/>
      <c r="H725"/>
      <c r="I725"/>
      <c r="J725"/>
      <c r="K725"/>
      <c r="L725"/>
      <c r="M725"/>
      <c r="N725"/>
      <c r="O725"/>
      <c r="P725"/>
      <c r="Q725"/>
      <c r="R725"/>
      <c r="S725"/>
      <c r="T725"/>
      <c r="U725"/>
      <c r="V725"/>
      <c r="W725"/>
    </row>
    <row r="726" spans="2:23" outlineLevel="1">
      <c r="B726" s="172"/>
      <c r="C726" s="173"/>
      <c r="D726" s="174"/>
      <c r="E726" s="175"/>
      <c r="F726" s="171"/>
      <c r="G726"/>
      <c r="H726"/>
      <c r="I726"/>
      <c r="J726"/>
      <c r="K726"/>
      <c r="L726"/>
      <c r="M726"/>
      <c r="N726"/>
      <c r="O726"/>
      <c r="P726"/>
      <c r="Q726"/>
      <c r="R726"/>
      <c r="S726"/>
      <c r="T726"/>
      <c r="U726"/>
      <c r="V726"/>
      <c r="W726"/>
    </row>
    <row r="727" spans="2:23" outlineLevel="1">
      <c r="B727" s="167"/>
      <c r="C727" s="168"/>
      <c r="D727" s="169"/>
      <c r="E727" s="170"/>
      <c r="F727" s="171"/>
      <c r="G727"/>
      <c r="H727"/>
      <c r="I727"/>
      <c r="J727"/>
      <c r="K727"/>
      <c r="L727"/>
      <c r="M727"/>
      <c r="N727"/>
      <c r="O727"/>
      <c r="P727"/>
      <c r="Q727"/>
      <c r="R727"/>
      <c r="S727"/>
      <c r="T727"/>
      <c r="U727"/>
      <c r="V727"/>
      <c r="W727"/>
    </row>
    <row r="728" spans="2:23" outlineLevel="1">
      <c r="B728" s="172"/>
      <c r="C728" s="173"/>
      <c r="D728" s="174"/>
      <c r="E728" s="175"/>
      <c r="F728" s="171"/>
      <c r="G728"/>
      <c r="H728"/>
      <c r="I728"/>
      <c r="J728"/>
      <c r="K728"/>
      <c r="L728"/>
      <c r="M728"/>
      <c r="N728"/>
      <c r="O728"/>
      <c r="P728"/>
      <c r="Q728"/>
      <c r="R728"/>
      <c r="S728"/>
      <c r="T728"/>
      <c r="U728"/>
      <c r="V728"/>
      <c r="W728"/>
    </row>
    <row r="729" spans="2:23" outlineLevel="1">
      <c r="B729" s="167"/>
      <c r="C729" s="168"/>
      <c r="D729" s="169"/>
      <c r="E729" s="170"/>
      <c r="F729" s="171"/>
      <c r="G729"/>
      <c r="H729"/>
      <c r="I729"/>
      <c r="J729"/>
      <c r="K729"/>
      <c r="L729"/>
      <c r="M729"/>
      <c r="N729"/>
      <c r="O729"/>
      <c r="P729"/>
      <c r="Q729"/>
      <c r="R729"/>
      <c r="S729"/>
      <c r="T729"/>
      <c r="U729"/>
      <c r="V729"/>
      <c r="W729"/>
    </row>
    <row r="730" spans="2:23" outlineLevel="1">
      <c r="B730" s="172"/>
      <c r="C730" s="173"/>
      <c r="D730" s="174"/>
      <c r="E730" s="175"/>
      <c r="F730" s="171"/>
      <c r="G730"/>
      <c r="H730"/>
      <c r="I730"/>
      <c r="J730"/>
      <c r="K730"/>
      <c r="L730"/>
      <c r="M730"/>
      <c r="N730"/>
      <c r="O730"/>
      <c r="P730"/>
      <c r="Q730"/>
      <c r="R730"/>
      <c r="S730"/>
      <c r="T730"/>
      <c r="U730"/>
      <c r="V730"/>
      <c r="W730"/>
    </row>
    <row r="731" spans="2:23" outlineLevel="1">
      <c r="B731" s="167"/>
      <c r="C731" s="168"/>
      <c r="D731" s="169"/>
      <c r="E731" s="170"/>
      <c r="F731" s="171"/>
      <c r="G731"/>
      <c r="H731"/>
      <c r="I731"/>
      <c r="J731"/>
      <c r="K731"/>
      <c r="L731"/>
      <c r="M731"/>
      <c r="N731"/>
      <c r="O731"/>
      <c r="P731"/>
      <c r="Q731"/>
      <c r="R731"/>
      <c r="S731"/>
      <c r="T731"/>
      <c r="U731"/>
      <c r="V731"/>
      <c r="W731"/>
    </row>
    <row r="732" spans="2:23" outlineLevel="1">
      <c r="B732" s="172"/>
      <c r="C732" s="173"/>
      <c r="D732" s="174"/>
      <c r="E732" s="175"/>
      <c r="F732" s="171"/>
      <c r="G732"/>
      <c r="H732"/>
      <c r="I732"/>
      <c r="J732"/>
      <c r="K732"/>
      <c r="L732"/>
      <c r="M732"/>
      <c r="N732"/>
      <c r="O732"/>
      <c r="P732"/>
      <c r="Q732"/>
      <c r="R732"/>
      <c r="S732"/>
      <c r="T732"/>
      <c r="U732"/>
      <c r="V732"/>
      <c r="W732"/>
    </row>
    <row r="733" spans="2:23" outlineLevel="1">
      <c r="B733" s="167"/>
      <c r="C733" s="168"/>
      <c r="D733" s="169"/>
      <c r="E733" s="170"/>
      <c r="F733" s="171"/>
      <c r="G733"/>
      <c r="H733"/>
      <c r="I733"/>
      <c r="J733"/>
      <c r="K733"/>
      <c r="L733"/>
      <c r="M733"/>
      <c r="N733"/>
      <c r="O733"/>
      <c r="P733"/>
      <c r="Q733"/>
      <c r="R733"/>
      <c r="S733"/>
      <c r="T733"/>
      <c r="U733"/>
      <c r="V733"/>
      <c r="W733"/>
    </row>
    <row r="734" spans="2:23" outlineLevel="1">
      <c r="B734" s="172"/>
      <c r="C734" s="173"/>
      <c r="D734" s="174"/>
      <c r="E734" s="175"/>
      <c r="F734" s="171"/>
      <c r="G734"/>
      <c r="H734"/>
      <c r="I734"/>
      <c r="J734"/>
      <c r="K734"/>
      <c r="L734"/>
      <c r="M734"/>
      <c r="N734"/>
      <c r="O734"/>
      <c r="P734"/>
      <c r="Q734"/>
      <c r="R734"/>
      <c r="S734"/>
      <c r="T734"/>
      <c r="U734"/>
      <c r="V734"/>
      <c r="W734"/>
    </row>
    <row r="735" spans="2:23" outlineLevel="1">
      <c r="B735" s="167"/>
      <c r="C735" s="168"/>
      <c r="D735" s="169"/>
      <c r="E735" s="170"/>
      <c r="F735" s="171"/>
      <c r="G735"/>
      <c r="H735"/>
      <c r="I735"/>
      <c r="J735"/>
      <c r="K735"/>
      <c r="L735"/>
      <c r="M735"/>
      <c r="N735"/>
      <c r="O735"/>
      <c r="P735"/>
      <c r="Q735"/>
      <c r="R735"/>
      <c r="S735"/>
      <c r="T735"/>
      <c r="U735"/>
      <c r="V735"/>
      <c r="W735"/>
    </row>
    <row r="736" spans="2:23" outlineLevel="1">
      <c r="B736" s="172"/>
      <c r="C736" s="173"/>
      <c r="D736" s="174"/>
      <c r="E736" s="175"/>
      <c r="F736" s="171"/>
      <c r="G736"/>
      <c r="H736"/>
      <c r="I736"/>
      <c r="J736"/>
      <c r="K736"/>
      <c r="L736"/>
      <c r="M736"/>
      <c r="N736"/>
      <c r="O736"/>
      <c r="P736"/>
      <c r="Q736"/>
      <c r="R736"/>
      <c r="S736"/>
      <c r="T736"/>
      <c r="U736"/>
      <c r="V736"/>
      <c r="W736"/>
    </row>
    <row r="737" spans="2:23" outlineLevel="1">
      <c r="B737" s="167"/>
      <c r="C737" s="168"/>
      <c r="D737" s="169"/>
      <c r="E737" s="170"/>
      <c r="F737" s="171"/>
      <c r="G737"/>
      <c r="H737"/>
      <c r="I737"/>
      <c r="J737"/>
      <c r="K737"/>
      <c r="L737"/>
      <c r="M737"/>
      <c r="N737"/>
      <c r="O737"/>
      <c r="P737"/>
      <c r="Q737"/>
      <c r="R737"/>
      <c r="S737"/>
      <c r="T737"/>
      <c r="U737"/>
      <c r="V737"/>
      <c r="W737"/>
    </row>
    <row r="738" spans="2:23" outlineLevel="1">
      <c r="B738" s="172"/>
      <c r="C738" s="173"/>
      <c r="D738" s="174"/>
      <c r="E738" s="175"/>
      <c r="F738" s="171"/>
      <c r="G738"/>
      <c r="H738"/>
      <c r="I738"/>
      <c r="J738"/>
      <c r="K738"/>
      <c r="L738"/>
      <c r="M738"/>
      <c r="N738"/>
      <c r="O738"/>
      <c r="P738"/>
      <c r="Q738"/>
      <c r="R738"/>
      <c r="S738"/>
      <c r="T738"/>
      <c r="U738"/>
      <c r="V738"/>
      <c r="W738"/>
    </row>
    <row r="739" spans="2:23" outlineLevel="1">
      <c r="B739" s="167"/>
      <c r="C739" s="168"/>
      <c r="D739" s="169"/>
      <c r="E739" s="170"/>
      <c r="F739" s="171"/>
      <c r="G739"/>
      <c r="H739"/>
      <c r="I739"/>
      <c r="J739"/>
      <c r="K739"/>
      <c r="L739"/>
      <c r="M739"/>
      <c r="N739"/>
      <c r="O739"/>
      <c r="P739"/>
      <c r="Q739"/>
      <c r="R739"/>
      <c r="S739"/>
      <c r="T739"/>
      <c r="U739"/>
      <c r="V739"/>
      <c r="W739"/>
    </row>
    <row r="740" spans="2:23" outlineLevel="1">
      <c r="B740" s="172"/>
      <c r="C740" s="173"/>
      <c r="D740" s="174"/>
      <c r="E740" s="175"/>
      <c r="F740" s="171"/>
      <c r="G740"/>
      <c r="H740"/>
      <c r="I740"/>
      <c r="J740"/>
      <c r="K740"/>
      <c r="L740"/>
      <c r="M740"/>
      <c r="N740"/>
      <c r="O740"/>
      <c r="P740"/>
      <c r="Q740"/>
      <c r="R740"/>
      <c r="S740"/>
      <c r="T740"/>
      <c r="U740"/>
      <c r="V740"/>
      <c r="W740"/>
    </row>
    <row r="741" spans="2:23" outlineLevel="1">
      <c r="B741" s="167"/>
      <c r="C741" s="168"/>
      <c r="D741" s="169"/>
      <c r="E741" s="170"/>
      <c r="F741" s="171"/>
      <c r="G741"/>
      <c r="H741"/>
      <c r="I741"/>
      <c r="J741"/>
      <c r="K741"/>
      <c r="L741"/>
      <c r="M741"/>
      <c r="N741"/>
      <c r="O741"/>
      <c r="P741"/>
      <c r="Q741"/>
      <c r="R741"/>
      <c r="S741"/>
      <c r="T741"/>
      <c r="U741"/>
      <c r="V741"/>
      <c r="W741"/>
    </row>
    <row r="742" spans="2:23" outlineLevel="1">
      <c r="B742" s="172"/>
      <c r="C742" s="173"/>
      <c r="D742" s="174"/>
      <c r="E742" s="175"/>
      <c r="F742" s="171"/>
      <c r="G742"/>
      <c r="H742"/>
      <c r="I742"/>
      <c r="J742"/>
      <c r="K742"/>
      <c r="L742"/>
      <c r="M742"/>
      <c r="N742"/>
      <c r="O742"/>
      <c r="P742"/>
      <c r="Q742"/>
      <c r="R742"/>
      <c r="S742"/>
      <c r="T742"/>
      <c r="U742"/>
      <c r="V742"/>
      <c r="W742"/>
    </row>
    <row r="743" spans="2:23" outlineLevel="1">
      <c r="B743" s="167"/>
      <c r="C743" s="168"/>
      <c r="D743" s="169"/>
      <c r="E743" s="170"/>
      <c r="F743" s="171"/>
      <c r="G743"/>
      <c r="H743"/>
      <c r="I743"/>
      <c r="J743"/>
      <c r="K743"/>
      <c r="L743"/>
      <c r="M743"/>
      <c r="N743"/>
      <c r="O743"/>
      <c r="P743"/>
      <c r="Q743"/>
      <c r="R743"/>
      <c r="S743"/>
      <c r="T743"/>
      <c r="U743"/>
      <c r="V743"/>
      <c r="W743"/>
    </row>
    <row r="744" spans="2:23" outlineLevel="1">
      <c r="B744" s="172"/>
      <c r="C744" s="173"/>
      <c r="D744" s="174"/>
      <c r="E744" s="175"/>
      <c r="F744" s="171"/>
      <c r="G744"/>
      <c r="H744"/>
      <c r="I744"/>
      <c r="J744"/>
      <c r="K744"/>
      <c r="L744"/>
      <c r="M744"/>
      <c r="N744"/>
      <c r="O744"/>
      <c r="P744"/>
      <c r="Q744"/>
      <c r="R744"/>
      <c r="S744"/>
      <c r="T744"/>
      <c r="U744"/>
      <c r="V744"/>
      <c r="W744"/>
    </row>
    <row r="745" spans="2:23" outlineLevel="1">
      <c r="B745" s="167"/>
      <c r="C745" s="168"/>
      <c r="D745" s="169"/>
      <c r="E745" s="170"/>
      <c r="F745" s="171"/>
      <c r="G745"/>
      <c r="H745"/>
      <c r="I745"/>
      <c r="J745"/>
      <c r="K745"/>
      <c r="L745"/>
      <c r="M745"/>
      <c r="N745"/>
      <c r="O745"/>
      <c r="P745"/>
      <c r="Q745"/>
      <c r="R745"/>
      <c r="S745"/>
      <c r="T745"/>
      <c r="U745"/>
      <c r="V745"/>
      <c r="W745"/>
    </row>
    <row r="746" spans="2:23" outlineLevel="1">
      <c r="B746" s="172"/>
      <c r="C746" s="173"/>
      <c r="D746" s="174"/>
      <c r="E746" s="175"/>
      <c r="F746" s="171"/>
      <c r="G746"/>
      <c r="H746"/>
      <c r="I746"/>
      <c r="J746"/>
      <c r="K746"/>
      <c r="L746"/>
      <c r="M746"/>
      <c r="N746"/>
      <c r="O746"/>
      <c r="P746"/>
      <c r="Q746"/>
      <c r="R746"/>
      <c r="S746"/>
      <c r="T746"/>
      <c r="U746"/>
      <c r="V746"/>
      <c r="W746"/>
    </row>
    <row r="747" spans="2:23" outlineLevel="1">
      <c r="B747" s="167"/>
      <c r="C747" s="168"/>
      <c r="D747" s="169"/>
      <c r="E747" s="170"/>
      <c r="F747" s="171"/>
      <c r="G747"/>
      <c r="H747"/>
      <c r="I747"/>
      <c r="J747"/>
      <c r="K747"/>
      <c r="L747"/>
      <c r="M747"/>
      <c r="N747"/>
      <c r="O747"/>
      <c r="P747"/>
      <c r="Q747"/>
      <c r="R747"/>
      <c r="S747"/>
      <c r="T747"/>
      <c r="U747"/>
      <c r="V747"/>
      <c r="W747"/>
    </row>
    <row r="748" spans="2:23" outlineLevel="1">
      <c r="B748" s="172"/>
      <c r="C748" s="173"/>
      <c r="D748" s="174"/>
      <c r="E748" s="175"/>
      <c r="F748" s="171"/>
      <c r="G748"/>
      <c r="H748"/>
      <c r="I748"/>
      <c r="J748"/>
      <c r="K748"/>
      <c r="L748"/>
      <c r="M748"/>
      <c r="N748"/>
      <c r="O748"/>
      <c r="P748"/>
      <c r="Q748"/>
      <c r="R748"/>
      <c r="S748"/>
      <c r="T748"/>
      <c r="U748"/>
      <c r="V748"/>
      <c r="W748"/>
    </row>
    <row r="749" spans="2:23" outlineLevel="1">
      <c r="B749" s="167"/>
      <c r="C749" s="168"/>
      <c r="D749" s="169"/>
      <c r="E749" s="170"/>
      <c r="F749" s="171"/>
      <c r="G749"/>
      <c r="H749"/>
      <c r="I749"/>
      <c r="J749"/>
      <c r="K749"/>
      <c r="L749"/>
      <c r="M749"/>
      <c r="N749"/>
      <c r="O749"/>
      <c r="P749"/>
      <c r="Q749"/>
      <c r="R749"/>
      <c r="S749"/>
      <c r="T749"/>
      <c r="U749"/>
      <c r="V749"/>
      <c r="W749"/>
    </row>
    <row r="750" spans="2:23" outlineLevel="1">
      <c r="B750" s="172"/>
      <c r="C750" s="173"/>
      <c r="D750" s="174"/>
      <c r="E750" s="175"/>
      <c r="F750" s="171"/>
      <c r="G750"/>
      <c r="H750"/>
      <c r="I750"/>
      <c r="J750"/>
      <c r="K750"/>
      <c r="L750"/>
      <c r="M750"/>
      <c r="N750"/>
      <c r="O750"/>
      <c r="P750"/>
      <c r="Q750"/>
      <c r="R750"/>
      <c r="S750"/>
      <c r="T750"/>
      <c r="U750"/>
      <c r="V750"/>
      <c r="W750"/>
    </row>
    <row r="751" spans="2:23" outlineLevel="1">
      <c r="B751" s="167"/>
      <c r="C751" s="168"/>
      <c r="D751" s="169"/>
      <c r="E751" s="170"/>
      <c r="F751" s="171"/>
      <c r="G751"/>
      <c r="H751"/>
      <c r="I751"/>
      <c r="J751"/>
      <c r="K751"/>
      <c r="L751"/>
      <c r="M751"/>
      <c r="N751"/>
      <c r="O751"/>
      <c r="P751"/>
      <c r="Q751"/>
      <c r="R751"/>
      <c r="S751"/>
      <c r="T751"/>
      <c r="U751"/>
      <c r="V751"/>
      <c r="W751"/>
    </row>
    <row r="752" spans="2:23" outlineLevel="1">
      <c r="B752" s="172"/>
      <c r="C752" s="173"/>
      <c r="D752" s="174"/>
      <c r="E752" s="175"/>
      <c r="F752" s="171"/>
      <c r="G752"/>
      <c r="H752"/>
      <c r="I752"/>
      <c r="J752"/>
      <c r="K752"/>
      <c r="L752"/>
      <c r="M752"/>
      <c r="N752"/>
      <c r="O752"/>
      <c r="P752"/>
      <c r="Q752"/>
      <c r="R752"/>
      <c r="S752"/>
      <c r="T752"/>
      <c r="U752"/>
      <c r="V752"/>
      <c r="W752"/>
    </row>
    <row r="753" spans="2:23" outlineLevel="1">
      <c r="B753" s="167"/>
      <c r="C753" s="168"/>
      <c r="D753" s="169"/>
      <c r="E753" s="170"/>
      <c r="F753" s="171"/>
      <c r="G753"/>
      <c r="H753"/>
      <c r="I753"/>
      <c r="J753"/>
      <c r="K753"/>
      <c r="L753"/>
      <c r="M753"/>
      <c r="N753"/>
      <c r="O753"/>
      <c r="P753"/>
      <c r="Q753"/>
      <c r="R753"/>
      <c r="S753"/>
      <c r="T753"/>
      <c r="U753"/>
      <c r="V753"/>
      <c r="W753"/>
    </row>
    <row r="754" spans="2:23" outlineLevel="1">
      <c r="B754" s="172"/>
      <c r="C754" s="173"/>
      <c r="D754" s="174"/>
      <c r="E754" s="175"/>
      <c r="F754" s="171"/>
      <c r="G754"/>
      <c r="H754"/>
      <c r="I754"/>
      <c r="J754"/>
      <c r="K754"/>
      <c r="L754"/>
      <c r="M754"/>
      <c r="N754"/>
      <c r="O754"/>
      <c r="P754"/>
      <c r="Q754"/>
      <c r="R754"/>
      <c r="S754"/>
      <c r="T754"/>
      <c r="U754"/>
      <c r="V754"/>
      <c r="W754"/>
    </row>
    <row r="755" spans="2:23" outlineLevel="1">
      <c r="B755" s="167"/>
      <c r="C755" s="168"/>
      <c r="D755" s="169"/>
      <c r="E755" s="170"/>
      <c r="F755" s="171"/>
      <c r="G755"/>
      <c r="H755"/>
      <c r="I755"/>
      <c r="J755"/>
      <c r="K755"/>
      <c r="L755"/>
      <c r="M755"/>
      <c r="N755"/>
      <c r="O755"/>
      <c r="P755"/>
      <c r="Q755"/>
      <c r="R755"/>
      <c r="S755"/>
      <c r="T755"/>
      <c r="U755"/>
      <c r="V755"/>
      <c r="W755"/>
    </row>
    <row r="756" spans="2:23" outlineLevel="1">
      <c r="B756" s="172"/>
      <c r="C756" s="173"/>
      <c r="D756" s="174"/>
      <c r="E756" s="175"/>
      <c r="F756" s="171"/>
      <c r="G756"/>
      <c r="H756"/>
      <c r="I756"/>
      <c r="J756"/>
      <c r="K756"/>
      <c r="L756"/>
      <c r="M756"/>
      <c r="N756"/>
      <c r="O756"/>
      <c r="P756"/>
      <c r="Q756"/>
      <c r="R756"/>
      <c r="S756"/>
      <c r="T756"/>
      <c r="U756"/>
      <c r="V756"/>
      <c r="W756"/>
    </row>
    <row r="757" spans="2:23" outlineLevel="1">
      <c r="B757" s="167"/>
      <c r="C757" s="168"/>
      <c r="D757" s="169"/>
      <c r="E757" s="170"/>
      <c r="F757" s="171"/>
      <c r="G757"/>
      <c r="H757"/>
      <c r="I757"/>
      <c r="J757"/>
      <c r="K757"/>
      <c r="L757"/>
      <c r="M757"/>
      <c r="N757"/>
      <c r="O757"/>
      <c r="P757"/>
      <c r="Q757"/>
      <c r="R757"/>
      <c r="S757"/>
      <c r="T757"/>
      <c r="U757"/>
      <c r="V757"/>
      <c r="W757"/>
    </row>
    <row r="758" spans="2:23" outlineLevel="1">
      <c r="B758" s="172"/>
      <c r="C758" s="173"/>
      <c r="D758" s="174"/>
      <c r="E758" s="175"/>
      <c r="F758" s="171"/>
      <c r="G758"/>
      <c r="H758"/>
      <c r="I758"/>
      <c r="J758"/>
      <c r="K758"/>
      <c r="L758"/>
      <c r="M758"/>
      <c r="N758"/>
      <c r="O758"/>
      <c r="P758"/>
      <c r="Q758"/>
      <c r="R758"/>
      <c r="S758"/>
      <c r="T758"/>
      <c r="U758"/>
      <c r="V758"/>
      <c r="W758"/>
    </row>
    <row r="759" spans="2:23" outlineLevel="1">
      <c r="B759" s="167"/>
      <c r="C759" s="168"/>
      <c r="D759" s="169"/>
      <c r="E759" s="170"/>
      <c r="F759" s="171"/>
      <c r="G759"/>
      <c r="H759"/>
      <c r="I759"/>
      <c r="J759"/>
      <c r="K759"/>
      <c r="L759"/>
      <c r="M759"/>
      <c r="N759"/>
      <c r="O759"/>
      <c r="P759"/>
      <c r="Q759"/>
      <c r="R759"/>
      <c r="S759"/>
      <c r="T759"/>
      <c r="U759"/>
      <c r="V759"/>
      <c r="W759"/>
    </row>
    <row r="760" spans="2:23" outlineLevel="1">
      <c r="B760" s="172"/>
      <c r="C760" s="173"/>
      <c r="D760" s="174"/>
      <c r="E760" s="175"/>
      <c r="F760" s="171"/>
      <c r="G760"/>
      <c r="H760"/>
      <c r="I760"/>
      <c r="J760"/>
      <c r="K760"/>
      <c r="L760"/>
      <c r="M760"/>
      <c r="N760"/>
      <c r="O760"/>
      <c r="P760"/>
      <c r="Q760"/>
      <c r="R760"/>
      <c r="S760"/>
      <c r="T760"/>
      <c r="U760"/>
      <c r="V760"/>
      <c r="W760"/>
    </row>
    <row r="761" spans="2:23" outlineLevel="1">
      <c r="B761" s="167"/>
      <c r="C761" s="168"/>
      <c r="D761" s="169"/>
      <c r="E761" s="170"/>
      <c r="F761" s="171"/>
      <c r="G761"/>
      <c r="H761"/>
      <c r="I761"/>
      <c r="J761"/>
      <c r="K761"/>
      <c r="L761"/>
      <c r="M761"/>
      <c r="N761"/>
      <c r="O761"/>
      <c r="P761"/>
      <c r="Q761"/>
      <c r="R761"/>
      <c r="S761"/>
      <c r="T761"/>
      <c r="U761"/>
      <c r="V761"/>
      <c r="W761"/>
    </row>
    <row r="762" spans="2:23" outlineLevel="1">
      <c r="B762" s="172"/>
      <c r="C762" s="173"/>
      <c r="D762" s="174"/>
      <c r="E762" s="175"/>
      <c r="F762" s="171"/>
      <c r="G762"/>
      <c r="H762"/>
      <c r="I762"/>
      <c r="J762"/>
      <c r="K762"/>
      <c r="L762"/>
      <c r="M762"/>
      <c r="N762"/>
      <c r="O762"/>
      <c r="P762"/>
      <c r="Q762"/>
      <c r="R762"/>
      <c r="S762"/>
      <c r="T762"/>
      <c r="U762"/>
      <c r="V762"/>
      <c r="W762"/>
    </row>
    <row r="763" spans="2:23" outlineLevel="1">
      <c r="B763" s="167"/>
      <c r="C763" s="168"/>
      <c r="D763" s="169"/>
      <c r="E763" s="170"/>
      <c r="F763" s="171"/>
      <c r="G763"/>
      <c r="H763"/>
      <c r="I763"/>
      <c r="J763"/>
      <c r="K763"/>
      <c r="L763"/>
      <c r="M763"/>
      <c r="N763"/>
      <c r="O763"/>
      <c r="P763"/>
      <c r="Q763"/>
      <c r="R763"/>
      <c r="S763"/>
      <c r="T763"/>
      <c r="U763"/>
      <c r="V763"/>
      <c r="W763"/>
    </row>
    <row r="764" spans="2:23" outlineLevel="1">
      <c r="B764" s="172"/>
      <c r="C764" s="173"/>
      <c r="D764" s="174"/>
      <c r="E764" s="175"/>
      <c r="F764" s="171"/>
      <c r="G764"/>
      <c r="H764"/>
      <c r="I764"/>
      <c r="J764"/>
      <c r="K764"/>
      <c r="L764"/>
      <c r="M764"/>
      <c r="N764"/>
      <c r="O764"/>
      <c r="P764"/>
      <c r="Q764"/>
      <c r="R764"/>
      <c r="S764"/>
      <c r="T764"/>
      <c r="U764"/>
      <c r="V764"/>
      <c r="W764"/>
    </row>
    <row r="765" spans="2:23" outlineLevel="1">
      <c r="B765" s="167"/>
      <c r="C765" s="168"/>
      <c r="D765" s="169"/>
      <c r="E765" s="170"/>
      <c r="F765" s="171"/>
      <c r="G765"/>
      <c r="H765"/>
      <c r="I765"/>
      <c r="J765"/>
      <c r="K765"/>
      <c r="L765"/>
      <c r="M765"/>
      <c r="N765"/>
      <c r="O765"/>
      <c r="P765"/>
      <c r="Q765"/>
      <c r="R765"/>
      <c r="S765"/>
      <c r="T765"/>
      <c r="U765"/>
      <c r="V765"/>
      <c r="W765"/>
    </row>
    <row r="766" spans="2:23" outlineLevel="1">
      <c r="B766" s="172"/>
      <c r="C766" s="173"/>
      <c r="D766" s="174"/>
      <c r="E766" s="175"/>
      <c r="F766" s="171"/>
      <c r="G766"/>
      <c r="H766"/>
      <c r="I766"/>
      <c r="J766"/>
      <c r="K766"/>
      <c r="L766"/>
      <c r="M766"/>
      <c r="N766"/>
      <c r="O766"/>
      <c r="P766"/>
      <c r="Q766"/>
      <c r="R766"/>
      <c r="S766"/>
      <c r="T766"/>
      <c r="U766"/>
      <c r="V766"/>
      <c r="W766"/>
    </row>
    <row r="767" spans="2:23" outlineLevel="1">
      <c r="B767" s="167"/>
      <c r="C767" s="168"/>
      <c r="D767" s="169"/>
      <c r="E767" s="170"/>
      <c r="F767" s="171"/>
      <c r="G767"/>
      <c r="H767"/>
      <c r="I767"/>
      <c r="J767"/>
      <c r="K767"/>
      <c r="L767"/>
      <c r="M767"/>
      <c r="N767"/>
      <c r="O767"/>
      <c r="P767"/>
      <c r="Q767"/>
      <c r="R767"/>
      <c r="S767"/>
      <c r="T767"/>
      <c r="U767"/>
      <c r="V767"/>
      <c r="W767"/>
    </row>
    <row r="768" spans="2:23" outlineLevel="1">
      <c r="B768" s="172"/>
      <c r="C768" s="173"/>
      <c r="D768" s="174"/>
      <c r="E768" s="175"/>
      <c r="F768" s="171"/>
      <c r="G768"/>
      <c r="H768"/>
      <c r="I768"/>
      <c r="J768"/>
      <c r="K768"/>
      <c r="L768"/>
      <c r="M768"/>
      <c r="N768"/>
      <c r="O768"/>
      <c r="P768"/>
      <c r="Q768"/>
      <c r="R768"/>
      <c r="S768"/>
      <c r="T768"/>
      <c r="U768"/>
      <c r="V768"/>
      <c r="W768"/>
    </row>
    <row r="769" spans="2:23" outlineLevel="1">
      <c r="B769" s="167"/>
      <c r="C769" s="168"/>
      <c r="D769" s="169"/>
      <c r="E769" s="170"/>
      <c r="F769" s="171"/>
      <c r="G769"/>
      <c r="H769"/>
      <c r="I769"/>
      <c r="J769"/>
      <c r="K769"/>
      <c r="L769"/>
      <c r="M769"/>
      <c r="N769"/>
      <c r="O769"/>
      <c r="P769"/>
      <c r="Q769"/>
      <c r="R769"/>
      <c r="S769"/>
      <c r="T769"/>
      <c r="U769"/>
      <c r="V769"/>
      <c r="W769"/>
    </row>
    <row r="770" spans="2:23" outlineLevel="1">
      <c r="B770" s="172"/>
      <c r="C770" s="173"/>
      <c r="D770" s="174"/>
      <c r="E770" s="175"/>
      <c r="F770" s="171"/>
      <c r="G770"/>
      <c r="H770"/>
      <c r="I770"/>
      <c r="J770"/>
      <c r="K770"/>
      <c r="L770"/>
      <c r="M770"/>
      <c r="N770"/>
      <c r="O770"/>
      <c r="P770"/>
      <c r="Q770"/>
      <c r="R770"/>
      <c r="S770"/>
      <c r="T770"/>
      <c r="U770"/>
      <c r="V770"/>
      <c r="W770"/>
    </row>
    <row r="771" spans="2:23" outlineLevel="1">
      <c r="B771" s="167"/>
      <c r="C771" s="168"/>
      <c r="D771" s="169"/>
      <c r="E771" s="170"/>
      <c r="F771" s="171"/>
      <c r="G771"/>
      <c r="H771"/>
      <c r="I771"/>
      <c r="J771"/>
      <c r="K771"/>
      <c r="L771"/>
      <c r="M771"/>
      <c r="N771"/>
      <c r="O771"/>
      <c r="P771"/>
      <c r="Q771"/>
      <c r="R771"/>
      <c r="S771"/>
      <c r="T771"/>
      <c r="U771"/>
      <c r="V771"/>
      <c r="W771"/>
    </row>
    <row r="772" spans="2:23" outlineLevel="1">
      <c r="B772" s="172"/>
      <c r="C772" s="173"/>
      <c r="D772" s="174"/>
      <c r="E772" s="175"/>
      <c r="F772" s="171"/>
      <c r="G772"/>
      <c r="H772"/>
      <c r="I772"/>
      <c r="J772"/>
      <c r="K772"/>
      <c r="L772"/>
      <c r="M772"/>
      <c r="N772"/>
      <c r="O772"/>
      <c r="P772"/>
      <c r="Q772"/>
      <c r="R772"/>
      <c r="S772"/>
      <c r="T772"/>
      <c r="U772"/>
      <c r="V772"/>
      <c r="W772"/>
    </row>
    <row r="773" spans="2:23" outlineLevel="1">
      <c r="B773" s="167"/>
      <c r="C773" s="168"/>
      <c r="D773" s="169"/>
      <c r="E773" s="170"/>
      <c r="F773" s="171"/>
      <c r="G773"/>
      <c r="H773"/>
      <c r="I773"/>
      <c r="J773"/>
      <c r="K773"/>
      <c r="L773"/>
      <c r="M773"/>
      <c r="N773"/>
      <c r="O773"/>
      <c r="P773"/>
      <c r="Q773"/>
      <c r="R773"/>
      <c r="S773"/>
      <c r="T773"/>
      <c r="U773"/>
      <c r="V773"/>
      <c r="W773"/>
    </row>
    <row r="774" spans="2:23" outlineLevel="1">
      <c r="B774" s="172"/>
      <c r="C774" s="173"/>
      <c r="D774" s="174"/>
      <c r="E774" s="175"/>
      <c r="F774" s="171"/>
      <c r="G774"/>
      <c r="H774"/>
      <c r="I774"/>
      <c r="J774"/>
      <c r="K774"/>
      <c r="L774"/>
      <c r="M774"/>
      <c r="N774"/>
      <c r="O774"/>
      <c r="P774"/>
      <c r="Q774"/>
      <c r="R774"/>
      <c r="S774"/>
      <c r="T774"/>
      <c r="U774"/>
      <c r="V774"/>
      <c r="W774"/>
    </row>
    <row r="775" spans="2:23" outlineLevel="1">
      <c r="B775" s="167"/>
      <c r="C775" s="168"/>
      <c r="D775" s="169"/>
      <c r="E775" s="170"/>
      <c r="F775" s="171"/>
      <c r="G775"/>
      <c r="H775"/>
      <c r="I775"/>
      <c r="J775"/>
      <c r="K775"/>
      <c r="L775"/>
      <c r="M775"/>
      <c r="N775"/>
      <c r="O775"/>
      <c r="P775"/>
      <c r="Q775"/>
      <c r="R775"/>
      <c r="S775"/>
      <c r="T775"/>
      <c r="U775"/>
      <c r="V775"/>
      <c r="W775"/>
    </row>
    <row r="776" spans="2:23" outlineLevel="1">
      <c r="B776" s="172"/>
      <c r="C776" s="173"/>
      <c r="D776" s="174"/>
      <c r="E776" s="175"/>
      <c r="F776" s="171"/>
      <c r="G776"/>
      <c r="H776"/>
      <c r="I776"/>
      <c r="J776"/>
      <c r="K776"/>
      <c r="L776"/>
      <c r="M776"/>
      <c r="N776"/>
      <c r="O776"/>
      <c r="P776"/>
      <c r="Q776"/>
      <c r="R776"/>
      <c r="S776"/>
      <c r="T776"/>
      <c r="U776"/>
      <c r="V776"/>
      <c r="W776"/>
    </row>
    <row r="777" spans="2:23" outlineLevel="1">
      <c r="B777" s="167"/>
      <c r="C777" s="168"/>
      <c r="D777" s="169"/>
      <c r="E777" s="170"/>
      <c r="F777" s="171"/>
      <c r="G777"/>
      <c r="H777"/>
      <c r="I777"/>
      <c r="J777"/>
      <c r="K777"/>
      <c r="L777"/>
      <c r="M777"/>
      <c r="N777"/>
      <c r="O777"/>
      <c r="P777"/>
      <c r="Q777"/>
      <c r="R777"/>
      <c r="S777"/>
      <c r="T777"/>
      <c r="U777"/>
      <c r="V777"/>
      <c r="W777"/>
    </row>
    <row r="778" spans="2:23">
      <c r="B778" s="16" t="s">
        <v>15</v>
      </c>
      <c r="C778" s="5"/>
      <c r="D778" s="14"/>
      <c r="E778" s="102"/>
      <c r="F778" s="36"/>
      <c r="G778"/>
    </row>
    <row r="779" spans="2:23">
      <c r="B779"/>
    </row>
  </sheetData>
  <sheetProtection algorithmName="SHA-512" hashValue="rH1xUvUQaUeMbcXblSSgYal4kTMpAHexO4vYeQTYn9O/e2OFqGcZ4GjyOXjvzMK4ByvxK9QC1VVkSUYSW6n2rw==" saltValue="taMnkH4ALMzClT873ZJe/w==" spinCount="100000" sheet="1" objects="1" scenarios="1"/>
  <mergeCells count="4">
    <mergeCell ref="Y191:Z191"/>
    <mergeCell ref="AA191:AB191"/>
    <mergeCell ref="Y190:Z190"/>
    <mergeCell ref="AA190:AB190"/>
  </mergeCells>
  <phoneticPr fontId="6"/>
  <dataValidations disablePrompts="1" count="8">
    <dataValidation type="list" allowBlank="1" showInputMessage="1" showErrorMessage="1" sqref="O17 K17 M17 K161 M161 O161">
      <formula1>"Enable,Disable"</formula1>
    </dataValidation>
    <dataValidation type="list" allowBlank="1" showInputMessage="1" showErrorMessage="1" sqref="I17 I161">
      <formula1>"eFuse, No"</formula1>
    </dataValidation>
    <dataValidation type="list" allowBlank="1" showInputMessage="1" showErrorMessage="1" sqref="W161 S161 U161">
      <formula1>"Auto Boot,No"</formula1>
    </dataValidation>
    <dataValidation type="list" allowBlank="1" showInputMessage="1" showErrorMessage="1" sqref="U222">
      <formula1>"VSYNC,HSYNC Count,Immediate"</formula1>
    </dataValidation>
    <dataValidation type="list" allowBlank="1" showInputMessage="1" showErrorMessage="1" sqref="I511:I512">
      <formula1>"With Video,No Video"</formula1>
    </dataValidation>
    <dataValidation type="list" allowBlank="1" showInputMessage="1" showErrorMessage="1" sqref="K175">
      <formula1>"Ready,Not Ready"</formula1>
    </dataValidation>
    <dataValidation type="list" allowBlank="1" showInputMessage="1" showErrorMessage="1" sqref="I175">
      <formula1>"No Error,Error"</formula1>
    </dataValidation>
    <dataValidation type="list" allowBlank="1" showInputMessage="1" showErrorMessage="1" sqref="I191">
      <formula1>"GPIO0,GPIO1,GPIO2,GPIO3"</formula1>
    </dataValidation>
  </dataValidations>
  <pageMargins left="0.75" right="0.75" top="1" bottom="1" header="0.5" footer="0.5"/>
  <pageSetup paperSize="9" orientation="portrait" verticalDpi="0" r:id="rId1"/>
</worksheet>
</file>

<file path=xl/worksheets/sheet5.xml><?xml version="1.0" encoding="utf-8"?>
<worksheet xmlns="http://schemas.openxmlformats.org/spreadsheetml/2006/main" xmlns:r="http://schemas.openxmlformats.org/officeDocument/2006/relationships">
  <sheetPr codeName="Sheet39">
    <tabColor rgb="FFCC00CC"/>
    <pageSetUpPr autoPageBreaks="0"/>
  </sheetPr>
  <dimension ref="A1:BI53"/>
  <sheetViews>
    <sheetView showGridLines="0" zoomScale="75" zoomScaleNormal="75" workbookViewId="0">
      <selection activeCell="B21" sqref="B21"/>
    </sheetView>
  </sheetViews>
  <sheetFormatPr defaultColWidth="9" defaultRowHeight="14.25" outlineLevelRow="1"/>
  <cols>
    <col min="1" max="1" width="3.375" style="3" customWidth="1"/>
    <col min="2" max="2" width="8.875" style="3" customWidth="1"/>
    <col min="3" max="3" width="33.25" style="3" customWidth="1"/>
    <col min="4" max="4" width="11" style="3" customWidth="1"/>
    <col min="5" max="5" width="12.625" style="95" customWidth="1"/>
    <col min="6" max="6" width="60.125" style="3" customWidth="1"/>
    <col min="7" max="7" width="4.875" style="3" customWidth="1"/>
    <col min="8" max="8" width="14" style="3" customWidth="1"/>
    <col min="9" max="9" width="13" style="3" customWidth="1"/>
    <col min="10" max="10" width="13.875" style="3" customWidth="1"/>
    <col min="11" max="11" width="14.375" style="3" customWidth="1"/>
    <col min="12" max="12" width="15.75" style="3" customWidth="1"/>
    <col min="13"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hidden="1" customWidth="1"/>
    <col min="25" max="30" width="5" style="129" hidden="1" customWidth="1"/>
    <col min="31" max="38" width="4" style="129" hidden="1" customWidth="1"/>
    <col min="39" max="39" width="5" style="129" hidden="1" customWidth="1"/>
    <col min="40" max="40" width="4" style="129" hidden="1" customWidth="1"/>
    <col min="41" max="46" width="5" style="129" hidden="1" customWidth="1"/>
    <col min="47" max="49" width="4" style="129" hidden="1" customWidth="1"/>
    <col min="50" max="50" width="3.75" style="129" hidden="1" customWidth="1"/>
    <col min="51" max="54" width="4" style="129" hidden="1" customWidth="1"/>
    <col min="55" max="55" width="3.125" style="129" hidden="1" customWidth="1"/>
    <col min="56" max="56" width="3.875" style="129" hidden="1" customWidth="1"/>
    <col min="57" max="57" width="11.375" style="129" customWidth="1"/>
    <col min="58" max="16384" width="9" style="3"/>
  </cols>
  <sheetData>
    <row r="1" spans="1:61" ht="18">
      <c r="B1" s="11" t="s">
        <v>1422</v>
      </c>
      <c r="C1" s="11"/>
      <c r="F1" s="114"/>
      <c r="G1" s="231" t="s">
        <v>1419</v>
      </c>
      <c r="H1" s="105" t="s">
        <v>81</v>
      </c>
      <c r="I1" s="18"/>
      <c r="J1" s="4"/>
      <c r="K1"/>
      <c r="L1" s="15"/>
    </row>
    <row r="2" spans="1:61" ht="18">
      <c r="B2" s="3" t="s">
        <v>123</v>
      </c>
      <c r="H2" s="114" t="s">
        <v>16</v>
      </c>
      <c r="I2"/>
      <c r="J2"/>
      <c r="K2"/>
      <c r="L2"/>
      <c r="M2"/>
      <c r="N2"/>
      <c r="O2"/>
      <c r="P2"/>
    </row>
    <row r="3" spans="1:61">
      <c r="B3" s="3" t="s">
        <v>420</v>
      </c>
      <c r="C3" s="10"/>
      <c r="D3" s="1"/>
      <c r="E3" s="96"/>
      <c r="F3" s="1"/>
      <c r="G3" s="1"/>
      <c r="H3" s="1"/>
      <c r="I3"/>
      <c r="J3"/>
      <c r="K3"/>
      <c r="L3"/>
      <c r="M3"/>
      <c r="N3"/>
      <c r="O3"/>
      <c r="P3"/>
      <c r="Q3"/>
      <c r="R3"/>
      <c r="S3"/>
      <c r="T3"/>
      <c r="U3"/>
      <c r="V3"/>
      <c r="W3"/>
      <c r="X3" s="222"/>
      <c r="AH3" s="222"/>
    </row>
    <row r="4" spans="1:61">
      <c r="C4" s="10"/>
      <c r="D4" s="1"/>
      <c r="E4" s="96"/>
      <c r="F4" s="1"/>
      <c r="G4" s="1"/>
      <c r="H4" s="1"/>
      <c r="I4"/>
      <c r="J4"/>
      <c r="K4"/>
      <c r="L4"/>
      <c r="M4"/>
      <c r="N4"/>
      <c r="O4"/>
      <c r="P4"/>
      <c r="Q4"/>
      <c r="R4"/>
      <c r="S4"/>
      <c r="T4"/>
      <c r="U4"/>
      <c r="V4"/>
      <c r="W4"/>
      <c r="X4" s="222"/>
      <c r="AH4" s="222"/>
    </row>
    <row r="5" spans="1:61">
      <c r="B5" s="284"/>
      <c r="C5" s="10" t="s">
        <v>380</v>
      </c>
      <c r="D5" s="1"/>
      <c r="E5" s="96"/>
      <c r="F5" s="1"/>
      <c r="G5" s="1"/>
      <c r="H5" s="1"/>
      <c r="I5"/>
      <c r="J5"/>
      <c r="K5"/>
      <c r="L5"/>
      <c r="M5"/>
      <c r="N5"/>
      <c r="O5"/>
      <c r="P5"/>
      <c r="Q5"/>
      <c r="R5"/>
      <c r="S5"/>
      <c r="T5"/>
      <c r="U5"/>
      <c r="V5"/>
      <c r="W5"/>
      <c r="X5" s="222"/>
      <c r="AH5" s="222"/>
    </row>
    <row r="6" spans="1:61" ht="15">
      <c r="B6" s="9"/>
      <c r="C6" s="10"/>
      <c r="D6" s="1"/>
      <c r="E6" s="96"/>
      <c r="F6" s="1"/>
      <c r="G6" s="1"/>
      <c r="H6" s="17"/>
      <c r="I6"/>
      <c r="J6"/>
      <c r="K6"/>
      <c r="L6"/>
      <c r="M6"/>
      <c r="N6"/>
      <c r="O6"/>
      <c r="P6"/>
      <c r="Q6"/>
      <c r="R6"/>
      <c r="S6"/>
      <c r="T6"/>
      <c r="U6"/>
      <c r="V6"/>
      <c r="W6"/>
      <c r="X6" s="222"/>
      <c r="AH6" s="222"/>
    </row>
    <row r="7" spans="1:61" ht="18.75">
      <c r="B7" s="88" t="s">
        <v>1056</v>
      </c>
      <c r="C7" s="86"/>
      <c r="D7" s="86"/>
      <c r="E7" s="97"/>
      <c r="F7" s="87"/>
      <c r="I7"/>
      <c r="J7"/>
      <c r="K7"/>
      <c r="L7"/>
      <c r="M7"/>
      <c r="N7"/>
      <c r="O7"/>
      <c r="P7"/>
      <c r="Q7"/>
      <c r="R7"/>
      <c r="S7"/>
      <c r="T7"/>
      <c r="U7"/>
      <c r="V7"/>
      <c r="W7"/>
      <c r="X7" s="222"/>
      <c r="AH7" s="222"/>
    </row>
    <row r="8" spans="1:61" ht="15">
      <c r="B8" s="84" t="s">
        <v>12</v>
      </c>
      <c r="C8" s="84" t="s">
        <v>0</v>
      </c>
      <c r="D8" s="84" t="s">
        <v>1</v>
      </c>
      <c r="E8" s="98" t="s">
        <v>13</v>
      </c>
      <c r="F8" s="85" t="s">
        <v>82</v>
      </c>
      <c r="G8" s="7"/>
      <c r="H8"/>
      <c r="I8"/>
      <c r="J8"/>
      <c r="K8"/>
      <c r="L8"/>
      <c r="M8"/>
      <c r="N8"/>
      <c r="O8"/>
      <c r="P8"/>
      <c r="Q8"/>
      <c r="R8"/>
      <c r="S8"/>
      <c r="T8"/>
      <c r="U8"/>
      <c r="V8"/>
      <c r="W8"/>
      <c r="X8" s="222"/>
      <c r="Y8" s="370" t="s">
        <v>402</v>
      </c>
      <c r="Z8" s="371" t="s">
        <v>401</v>
      </c>
      <c r="AA8" s="371" t="s">
        <v>400</v>
      </c>
      <c r="AB8" s="371" t="s">
        <v>399</v>
      </c>
      <c r="AC8" s="371" t="s">
        <v>398</v>
      </c>
      <c r="AD8" s="371" t="s">
        <v>397</v>
      </c>
      <c r="AE8" s="371" t="s">
        <v>396</v>
      </c>
      <c r="AF8" s="372" t="s">
        <v>395</v>
      </c>
      <c r="AG8" s="367" t="s">
        <v>394</v>
      </c>
      <c r="AH8" s="368" t="s">
        <v>393</v>
      </c>
      <c r="AI8" s="368" t="s">
        <v>392</v>
      </c>
      <c r="AJ8" s="368" t="s">
        <v>391</v>
      </c>
      <c r="AK8" s="368" t="s">
        <v>390</v>
      </c>
      <c r="AL8" s="368" t="s">
        <v>389</v>
      </c>
      <c r="AM8" s="368" t="s">
        <v>388</v>
      </c>
      <c r="AN8" s="369" t="s">
        <v>387</v>
      </c>
      <c r="AO8" s="370" t="s">
        <v>362</v>
      </c>
      <c r="AP8" s="371" t="s">
        <v>363</v>
      </c>
      <c r="AQ8" s="371" t="s">
        <v>364</v>
      </c>
      <c r="AR8" s="371" t="s">
        <v>365</v>
      </c>
      <c r="AS8" s="371" t="s">
        <v>366</v>
      </c>
      <c r="AT8" s="371" t="s">
        <v>367</v>
      </c>
      <c r="AU8" s="371" t="s">
        <v>368</v>
      </c>
      <c r="AV8" s="372" t="s">
        <v>369</v>
      </c>
      <c r="AW8" s="367" t="s">
        <v>370</v>
      </c>
      <c r="AX8" s="368" t="s">
        <v>371</v>
      </c>
      <c r="AY8" s="368" t="s">
        <v>372</v>
      </c>
      <c r="AZ8" s="368" t="s">
        <v>373</v>
      </c>
      <c r="BA8" s="368" t="s">
        <v>374</v>
      </c>
      <c r="BB8" s="368" t="s">
        <v>375</v>
      </c>
      <c r="BC8" s="368" t="s">
        <v>376</v>
      </c>
      <c r="BD8" s="369" t="s">
        <v>377</v>
      </c>
    </row>
    <row r="9" spans="1:61" ht="27.75" customHeight="1">
      <c r="B9" s="416" t="s">
        <v>14</v>
      </c>
      <c r="C9" s="417" t="s">
        <v>1430</v>
      </c>
      <c r="D9" s="417"/>
      <c r="E9" s="417"/>
      <c r="F9" s="417"/>
      <c r="G9"/>
      <c r="H9"/>
      <c r="I9"/>
      <c r="J9"/>
      <c r="K9"/>
      <c r="L9"/>
      <c r="M9"/>
      <c r="N9"/>
      <c r="O9"/>
      <c r="P9"/>
      <c r="Q9"/>
      <c r="R9"/>
      <c r="S9"/>
      <c r="T9"/>
      <c r="U9"/>
      <c r="V9"/>
      <c r="W9"/>
      <c r="X9" s="222"/>
    </row>
    <row r="10" spans="1:61" s="129" customFormat="1" ht="15">
      <c r="A10" s="3"/>
      <c r="B10" s="280" t="s">
        <v>14</v>
      </c>
      <c r="C10" s="281" t="s">
        <v>1057</v>
      </c>
      <c r="D10" s="282"/>
      <c r="E10" s="278"/>
      <c r="F10" s="279"/>
      <c r="G10"/>
      <c r="H10"/>
      <c r="I10"/>
      <c r="J10"/>
      <c r="K10"/>
      <c r="L10"/>
      <c r="M10"/>
      <c r="N10"/>
      <c r="O10"/>
      <c r="P10"/>
      <c r="Q10"/>
      <c r="R10"/>
      <c r="S10"/>
      <c r="T10"/>
      <c r="U10"/>
      <c r="V10"/>
      <c r="W10"/>
      <c r="BF10" s="3"/>
      <c r="BG10" s="3"/>
      <c r="BH10" s="3"/>
      <c r="BI10" s="3"/>
    </row>
    <row r="11" spans="1:61" s="129" customFormat="1" outlineLevel="1">
      <c r="A11" s="3"/>
      <c r="B11" s="167" t="s">
        <v>14</v>
      </c>
      <c r="C11" s="168" t="s">
        <v>1052</v>
      </c>
      <c r="D11" s="169"/>
      <c r="E11" s="170"/>
      <c r="F11" s="171"/>
      <c r="G11"/>
      <c r="H11"/>
      <c r="I11"/>
      <c r="J11"/>
      <c r="K11"/>
      <c r="L11"/>
      <c r="M11"/>
      <c r="N11"/>
      <c r="O11"/>
      <c r="P11"/>
      <c r="Q11"/>
      <c r="R11"/>
      <c r="S11"/>
      <c r="T11"/>
      <c r="U11"/>
      <c r="V11"/>
      <c r="W11"/>
      <c r="BF11" s="3"/>
      <c r="BG11" s="3"/>
      <c r="BH11" s="3"/>
      <c r="BI11" s="3"/>
    </row>
    <row r="12" spans="1:61" s="129" customFormat="1" outlineLevel="1">
      <c r="A12" s="3"/>
      <c r="B12" s="167" t="s">
        <v>290</v>
      </c>
      <c r="C12" s="168" t="s">
        <v>1009</v>
      </c>
      <c r="D12" s="311" t="str">
        <f>IF(Main_Parameters!$C$41="TX0/1 Enable","42FC","22FC")</f>
        <v>42FC</v>
      </c>
      <c r="E12" s="170" t="s">
        <v>1051</v>
      </c>
      <c r="F12" s="171" t="s">
        <v>1008</v>
      </c>
      <c r="G12"/>
      <c r="H12"/>
      <c r="I12"/>
      <c r="J12"/>
      <c r="K12"/>
      <c r="L12"/>
      <c r="M12"/>
      <c r="N12"/>
      <c r="O12"/>
      <c r="P12"/>
      <c r="Q12"/>
      <c r="R12"/>
      <c r="S12"/>
      <c r="T12"/>
      <c r="U12"/>
      <c r="V12"/>
      <c r="W12"/>
      <c r="BF12" s="3"/>
      <c r="BG12" s="3"/>
      <c r="BH12" s="3"/>
      <c r="BI12" s="3"/>
    </row>
    <row r="13" spans="1:61" s="129" customFormat="1" outlineLevel="1">
      <c r="A13" s="3"/>
      <c r="B13" s="167" t="s">
        <v>425</v>
      </c>
      <c r="C13" s="168"/>
      <c r="D13" s="170">
        <v>34000</v>
      </c>
      <c r="E13" s="170"/>
      <c r="F13" s="171" t="s">
        <v>1053</v>
      </c>
      <c r="G13"/>
      <c r="H13"/>
      <c r="I13"/>
      <c r="J13"/>
      <c r="K13"/>
      <c r="L13"/>
      <c r="M13"/>
      <c r="N13"/>
      <c r="O13"/>
      <c r="P13"/>
      <c r="Q13"/>
      <c r="R13"/>
      <c r="S13"/>
      <c r="T13"/>
      <c r="U13"/>
      <c r="V13"/>
      <c r="W13"/>
      <c r="BF13" s="3"/>
      <c r="BG13" s="3"/>
      <c r="BH13" s="3"/>
      <c r="BI13" s="3"/>
    </row>
    <row r="14" spans="1:61" s="129" customFormat="1" outlineLevel="1">
      <c r="A14" s="3"/>
      <c r="B14" s="167" t="s">
        <v>298</v>
      </c>
      <c r="C14" s="168" t="s">
        <v>1010</v>
      </c>
      <c r="D14" s="311" t="str">
        <f>IF(Main_Parameters!$C$41="TX0/1 Enable","4200","2200")</f>
        <v>4200</v>
      </c>
      <c r="E14" s="286" t="s">
        <v>167</v>
      </c>
      <c r="F14" s="171"/>
      <c r="G14"/>
      <c r="H14"/>
      <c r="I14"/>
      <c r="J14"/>
      <c r="K14"/>
      <c r="L14"/>
      <c r="M14"/>
      <c r="N14"/>
      <c r="O14"/>
      <c r="P14"/>
      <c r="Q14"/>
      <c r="R14"/>
      <c r="S14"/>
      <c r="T14"/>
      <c r="U14"/>
      <c r="V14"/>
      <c r="W14"/>
      <c r="BF14" s="3"/>
      <c r="BG14" s="3"/>
      <c r="BH14" s="3"/>
      <c r="BI14" s="3"/>
    </row>
    <row r="15" spans="1:61" s="129" customFormat="1" outlineLevel="1">
      <c r="A15" s="3"/>
      <c r="B15" s="268" t="s">
        <v>419</v>
      </c>
      <c r="C15" s="269" t="s">
        <v>1011</v>
      </c>
      <c r="D15" s="270"/>
      <c r="E15" s="271"/>
      <c r="F15" s="269" t="s">
        <v>1012</v>
      </c>
      <c r="G15"/>
      <c r="H15"/>
      <c r="I15"/>
      <c r="J15"/>
      <c r="K15"/>
      <c r="L15"/>
      <c r="M15"/>
      <c r="N15"/>
      <c r="O15"/>
      <c r="P15"/>
      <c r="Q15"/>
      <c r="R15"/>
      <c r="S15"/>
      <c r="T15"/>
      <c r="U15"/>
      <c r="V15"/>
      <c r="W15"/>
      <c r="BF15" s="3"/>
      <c r="BG15" s="3"/>
      <c r="BH15" s="3"/>
      <c r="BI15" s="3"/>
    </row>
    <row r="16" spans="1:61" s="129" customFormat="1" outlineLevel="1">
      <c r="A16" s="3"/>
      <c r="B16" s="167" t="s">
        <v>14</v>
      </c>
      <c r="C16" s="168" t="s">
        <v>1054</v>
      </c>
      <c r="D16" s="169"/>
      <c r="E16" s="170"/>
      <c r="F16" s="171"/>
      <c r="G16"/>
      <c r="H16"/>
      <c r="I16"/>
      <c r="J16"/>
      <c r="K16"/>
      <c r="L16"/>
      <c r="M16"/>
      <c r="N16"/>
      <c r="O16"/>
      <c r="P16"/>
      <c r="Q16"/>
      <c r="R16"/>
      <c r="S16"/>
      <c r="T16"/>
      <c r="U16"/>
      <c r="V16"/>
      <c r="W16"/>
      <c r="BF16" s="3"/>
      <c r="BG16" s="3"/>
      <c r="BH16" s="3"/>
      <c r="BI16" s="3"/>
    </row>
    <row r="17" spans="1:61" s="129" customFormat="1" outlineLevel="1">
      <c r="A17" s="3"/>
      <c r="B17" s="167" t="s">
        <v>290</v>
      </c>
      <c r="C17" s="168" t="s">
        <v>1009</v>
      </c>
      <c r="D17" s="311" t="str">
        <f>IF(Main_Parameters!$C$41="TX0/1 Enable","42FC","22FC")</f>
        <v>42FC</v>
      </c>
      <c r="E17" s="170" t="s">
        <v>1055</v>
      </c>
      <c r="F17" s="171" t="s">
        <v>1008</v>
      </c>
      <c r="G17"/>
      <c r="H17"/>
      <c r="I17"/>
      <c r="J17"/>
      <c r="K17"/>
      <c r="L17"/>
      <c r="M17"/>
      <c r="N17"/>
      <c r="O17"/>
      <c r="P17"/>
      <c r="Q17"/>
      <c r="R17"/>
      <c r="S17"/>
      <c r="T17"/>
      <c r="U17"/>
      <c r="V17"/>
      <c r="W17"/>
      <c r="BF17" s="3"/>
      <c r="BG17" s="3"/>
      <c r="BH17" s="3"/>
      <c r="BI17" s="3"/>
    </row>
    <row r="18" spans="1:61" s="129" customFormat="1" outlineLevel="1">
      <c r="A18" s="3"/>
      <c r="B18" s="167" t="s">
        <v>425</v>
      </c>
      <c r="C18" s="168"/>
      <c r="D18" s="170">
        <v>200000</v>
      </c>
      <c r="E18" s="170"/>
      <c r="F18" s="171" t="s">
        <v>1068</v>
      </c>
      <c r="G18"/>
      <c r="H18"/>
      <c r="I18"/>
      <c r="J18"/>
      <c r="K18"/>
      <c r="L18"/>
      <c r="M18"/>
      <c r="N18"/>
      <c r="O18"/>
      <c r="P18"/>
      <c r="Q18"/>
      <c r="R18"/>
      <c r="S18"/>
      <c r="T18"/>
      <c r="U18"/>
      <c r="V18"/>
      <c r="W18"/>
      <c r="BF18" s="3"/>
      <c r="BG18" s="3"/>
      <c r="BH18" s="3"/>
      <c r="BI18" s="3"/>
    </row>
    <row r="19" spans="1:61" s="129" customFormat="1" outlineLevel="1">
      <c r="A19" s="3"/>
      <c r="B19" s="167" t="s">
        <v>298</v>
      </c>
      <c r="C19" s="168" t="s">
        <v>1010</v>
      </c>
      <c r="D19" s="311" t="str">
        <f>IF(Main_Parameters!$C$41="TX0/1 Enable","4200","2200")</f>
        <v>4200</v>
      </c>
      <c r="E19" s="286" t="s">
        <v>167</v>
      </c>
      <c r="F19" s="171"/>
      <c r="G19"/>
      <c r="H19"/>
      <c r="I19"/>
      <c r="J19"/>
      <c r="K19"/>
      <c r="L19"/>
      <c r="M19"/>
      <c r="N19"/>
      <c r="O19"/>
      <c r="P19"/>
      <c r="Q19"/>
      <c r="R19"/>
      <c r="S19"/>
      <c r="T19"/>
      <c r="U19"/>
      <c r="V19"/>
      <c r="W19"/>
      <c r="BF19" s="3"/>
      <c r="BG19" s="3"/>
      <c r="BH19" s="3"/>
      <c r="BI19" s="3"/>
    </row>
    <row r="20" spans="1:61" s="129" customFormat="1" outlineLevel="1">
      <c r="A20" s="3"/>
      <c r="B20" s="268" t="s">
        <v>419</v>
      </c>
      <c r="C20" s="269" t="s">
        <v>1011</v>
      </c>
      <c r="D20" s="270"/>
      <c r="E20" s="271"/>
      <c r="F20" s="269" t="s">
        <v>1012</v>
      </c>
      <c r="G20"/>
      <c r="H20"/>
      <c r="I20"/>
      <c r="J20"/>
      <c r="K20"/>
      <c r="L20"/>
      <c r="M20"/>
      <c r="N20"/>
      <c r="O20"/>
      <c r="P20"/>
      <c r="Q20"/>
      <c r="R20"/>
      <c r="S20"/>
      <c r="T20"/>
      <c r="U20"/>
      <c r="V20"/>
      <c r="W20"/>
      <c r="BF20" s="3"/>
      <c r="BG20" s="3"/>
      <c r="BH20" s="3"/>
      <c r="BI20" s="3"/>
    </row>
    <row r="21" spans="1:61" s="129" customFormat="1" outlineLevel="1">
      <c r="A21" s="3"/>
      <c r="B21" s="268"/>
      <c r="C21" s="269"/>
      <c r="D21" s="270"/>
      <c r="E21" s="271"/>
      <c r="F21" s="269"/>
      <c r="G21"/>
      <c r="H21"/>
      <c r="I21"/>
      <c r="J21"/>
      <c r="K21"/>
      <c r="L21"/>
      <c r="M21"/>
      <c r="N21"/>
      <c r="O21"/>
      <c r="P21"/>
      <c r="Q21"/>
      <c r="R21"/>
      <c r="S21"/>
      <c r="T21"/>
      <c r="U21"/>
      <c r="V21"/>
      <c r="W21"/>
      <c r="BF21" s="3"/>
      <c r="BG21" s="3"/>
      <c r="BH21" s="3"/>
      <c r="BI21" s="3"/>
    </row>
    <row r="22" spans="1:61" s="129" customFormat="1" outlineLevel="1">
      <c r="A22" s="3"/>
      <c r="B22" s="268"/>
      <c r="C22" s="269"/>
      <c r="D22" s="270"/>
      <c r="E22" s="271"/>
      <c r="F22" s="269"/>
      <c r="G22"/>
      <c r="H22"/>
      <c r="I22"/>
      <c r="J22"/>
      <c r="K22"/>
      <c r="L22"/>
      <c r="M22"/>
      <c r="N22"/>
      <c r="O22"/>
      <c r="P22"/>
      <c r="Q22"/>
      <c r="R22"/>
      <c r="S22"/>
      <c r="T22"/>
      <c r="U22"/>
      <c r="V22"/>
      <c r="W22"/>
      <c r="BF22" s="3"/>
      <c r="BG22" s="3"/>
      <c r="BH22" s="3"/>
      <c r="BI22" s="3"/>
    </row>
    <row r="23" spans="1:61" ht="27.75" customHeight="1">
      <c r="B23" s="416" t="s">
        <v>14</v>
      </c>
      <c r="C23" s="417" t="s">
        <v>1423</v>
      </c>
      <c r="D23" s="417"/>
      <c r="E23" s="417"/>
      <c r="F23" s="417"/>
      <c r="G23"/>
      <c r="H23"/>
      <c r="I23"/>
      <c r="J23"/>
      <c r="K23"/>
      <c r="L23"/>
      <c r="M23"/>
      <c r="N23"/>
      <c r="O23"/>
      <c r="P23"/>
      <c r="Q23"/>
      <c r="R23"/>
      <c r="S23"/>
      <c r="T23"/>
      <c r="U23"/>
      <c r="V23"/>
      <c r="W23"/>
      <c r="X23" s="222"/>
    </row>
    <row r="24" spans="1:61" s="129" customFormat="1" ht="15">
      <c r="A24" s="3"/>
      <c r="B24" s="280" t="s">
        <v>14</v>
      </c>
      <c r="C24" s="281" t="s">
        <v>1420</v>
      </c>
      <c r="D24" s="282"/>
      <c r="E24" s="278"/>
      <c r="F24" s="279"/>
      <c r="G24"/>
      <c r="H24"/>
      <c r="I24"/>
      <c r="J24"/>
      <c r="K24"/>
      <c r="L24"/>
      <c r="M24"/>
      <c r="N24"/>
      <c r="O24"/>
      <c r="P24"/>
      <c r="Q24"/>
      <c r="R24"/>
      <c r="S24"/>
      <c r="T24"/>
      <c r="U24"/>
      <c r="V24"/>
      <c r="W24"/>
      <c r="BF24" s="3"/>
      <c r="BG24" s="3"/>
      <c r="BH24" s="3"/>
      <c r="BI24" s="3"/>
    </row>
    <row r="25" spans="1:61">
      <c r="B25" s="306" t="s">
        <v>1304</v>
      </c>
      <c r="C25" s="307" t="s">
        <v>1310</v>
      </c>
      <c r="D25" s="308" t="s">
        <v>1311</v>
      </c>
      <c r="E25" s="308" t="s">
        <v>1313</v>
      </c>
      <c r="F25" s="309" t="s">
        <v>1421</v>
      </c>
      <c r="G25"/>
      <c r="H25"/>
      <c r="I25"/>
      <c r="J25"/>
      <c r="K25"/>
      <c r="L25"/>
      <c r="M25"/>
      <c r="N25"/>
      <c r="O25"/>
      <c r="P25"/>
      <c r="Q25"/>
      <c r="R25"/>
      <c r="S25"/>
      <c r="T25"/>
      <c r="U25"/>
      <c r="V25"/>
      <c r="W25"/>
    </row>
    <row r="26" spans="1:61">
      <c r="B26" s="306"/>
      <c r="C26" s="307"/>
      <c r="D26" s="310"/>
      <c r="E26" s="310"/>
      <c r="F26" s="309"/>
      <c r="G26"/>
      <c r="H26"/>
      <c r="I26"/>
      <c r="J26"/>
      <c r="K26"/>
      <c r="L26"/>
      <c r="M26"/>
      <c r="N26"/>
      <c r="O26"/>
      <c r="P26"/>
      <c r="Q26"/>
      <c r="R26"/>
      <c r="S26"/>
      <c r="T26"/>
      <c r="U26"/>
      <c r="V26"/>
      <c r="W26"/>
    </row>
    <row r="27" spans="1:61">
      <c r="B27" s="306"/>
      <c r="C27" s="307"/>
      <c r="D27" s="310"/>
      <c r="E27" s="310"/>
      <c r="F27" s="309"/>
      <c r="G27"/>
      <c r="H27"/>
      <c r="I27"/>
      <c r="J27"/>
      <c r="K27"/>
      <c r="L27"/>
      <c r="M27"/>
      <c r="N27"/>
      <c r="O27"/>
      <c r="P27"/>
      <c r="Q27"/>
      <c r="R27"/>
      <c r="S27"/>
      <c r="T27"/>
      <c r="U27"/>
      <c r="V27"/>
      <c r="W27"/>
    </row>
    <row r="28" spans="1:61">
      <c r="B28" s="306"/>
      <c r="C28" s="307"/>
      <c r="D28" s="310"/>
      <c r="E28" s="310"/>
      <c r="F28" s="309"/>
      <c r="G28"/>
      <c r="H28"/>
      <c r="I28"/>
      <c r="J28"/>
      <c r="K28"/>
      <c r="L28"/>
      <c r="M28"/>
      <c r="N28"/>
      <c r="O28"/>
      <c r="P28"/>
      <c r="Q28"/>
      <c r="R28"/>
      <c r="S28"/>
      <c r="T28"/>
      <c r="U28"/>
      <c r="V28"/>
      <c r="W28"/>
    </row>
    <row r="29" spans="1:61">
      <c r="B29" s="306"/>
      <c r="C29" s="307"/>
      <c r="D29" s="310"/>
      <c r="E29" s="310"/>
      <c r="F29" s="309"/>
      <c r="G29"/>
      <c r="H29"/>
      <c r="I29"/>
      <c r="J29"/>
      <c r="K29"/>
      <c r="L29"/>
      <c r="M29"/>
      <c r="N29"/>
      <c r="O29"/>
      <c r="P29"/>
      <c r="Q29"/>
      <c r="R29"/>
      <c r="S29"/>
      <c r="T29"/>
      <c r="U29"/>
      <c r="V29"/>
      <c r="W29"/>
    </row>
    <row r="30" spans="1:61" s="129" customFormat="1">
      <c r="A30" s="3"/>
      <c r="B30" s="16" t="s">
        <v>290</v>
      </c>
      <c r="C30" s="5" t="s">
        <v>443</v>
      </c>
      <c r="D30" s="14" t="s">
        <v>444</v>
      </c>
      <c r="E30" s="83" t="s">
        <v>634</v>
      </c>
      <c r="F30" s="36" t="s">
        <v>1058</v>
      </c>
      <c r="G30"/>
      <c r="H30"/>
      <c r="I30" s="2"/>
      <c r="J30" s="3"/>
      <c r="K30" s="3"/>
      <c r="L30" s="3"/>
      <c r="M30" s="3"/>
      <c r="N30" s="3"/>
      <c r="O30" s="3"/>
      <c r="P30" s="3"/>
      <c r="Q30" s="3"/>
      <c r="R30" s="3"/>
      <c r="S30" s="3"/>
      <c r="T30" s="3"/>
      <c r="U30" s="3"/>
      <c r="V30" s="3"/>
      <c r="W30" s="3"/>
      <c r="BF30" s="3"/>
      <c r="BG30" s="3"/>
      <c r="BH30" s="3"/>
      <c r="BI30" s="3"/>
    </row>
    <row r="31" spans="1:61" s="129" customFormat="1">
      <c r="A31" s="3"/>
      <c r="B31" s="16" t="s">
        <v>290</v>
      </c>
      <c r="C31" s="5" t="s">
        <v>432</v>
      </c>
      <c r="D31" s="14" t="s">
        <v>436</v>
      </c>
      <c r="E31" s="83" t="s">
        <v>634</v>
      </c>
      <c r="F31" s="36" t="s">
        <v>1060</v>
      </c>
      <c r="G31"/>
      <c r="H31"/>
      <c r="I31" s="2"/>
      <c r="J31" s="3"/>
      <c r="K31" s="3"/>
      <c r="L31" s="3"/>
      <c r="M31" s="3"/>
      <c r="N31" s="3"/>
      <c r="O31" s="3"/>
      <c r="P31" s="3"/>
      <c r="Q31" s="3"/>
      <c r="R31" s="3"/>
      <c r="S31" s="3"/>
      <c r="T31" s="3"/>
      <c r="U31" s="3"/>
      <c r="V31" s="3"/>
      <c r="W31" s="3"/>
      <c r="BF31" s="3"/>
      <c r="BG31" s="3"/>
      <c r="BH31" s="3"/>
      <c r="BI31" s="3"/>
    </row>
    <row r="32" spans="1:61" s="129" customFormat="1">
      <c r="A32" s="3"/>
      <c r="B32" s="89" t="str">
        <f>IF(Main_Parameters!$C$41="TX0 Enable","REMnd","WR32")</f>
        <v>WR32</v>
      </c>
      <c r="C32" s="5" t="s">
        <v>433</v>
      </c>
      <c r="D32" s="14" t="s">
        <v>437</v>
      </c>
      <c r="E32" s="83" t="s">
        <v>634</v>
      </c>
      <c r="F32" s="36" t="s">
        <v>1061</v>
      </c>
      <c r="G32"/>
      <c r="H32"/>
      <c r="I32" s="2"/>
      <c r="J32" s="3"/>
      <c r="K32" s="3"/>
      <c r="L32" s="3"/>
      <c r="M32" s="3"/>
      <c r="N32" s="3"/>
      <c r="O32" s="3"/>
      <c r="P32" s="3"/>
      <c r="Q32" s="3"/>
      <c r="R32" s="3"/>
      <c r="S32" s="3"/>
      <c r="T32" s="3"/>
      <c r="U32" s="3"/>
      <c r="V32" s="3"/>
      <c r="W32" s="3"/>
      <c r="BF32" s="3"/>
      <c r="BG32" s="3"/>
      <c r="BH32" s="3"/>
      <c r="BI32" s="3"/>
    </row>
    <row r="33" spans="1:61" s="129" customFormat="1">
      <c r="A33" s="3"/>
      <c r="B33" s="16" t="s">
        <v>290</v>
      </c>
      <c r="C33" s="5" t="s">
        <v>431</v>
      </c>
      <c r="D33" s="14" t="s">
        <v>434</v>
      </c>
      <c r="E33" s="100" t="str">
        <f>DEC2HEX(Y33*2^31+Z33*2^30+AA33*2^29+AB33*2^28+AC33*2^27+AD33*2^26+AE33*2^25+AF33*2^24+AG33*2^23+AH33*2^22+AI33*2^21+AJ33*2^20+AK33*2^19+AL33*2^18+AM33*2^17+AN33*2^16+AO33*2^15+AP33*2^14+AQ33*2^13+AR33*2^12+AS33*2^11+AT33*2^10+AU33*2^9+AV33*2^8+AW33*2^7+AX33*2^6+AY33*2^5+AZ33*2^4+BA33*2^3+BB33*2^2+BC33*2^1+BD33*2^0,8)</f>
        <v>00040010</v>
      </c>
      <c r="F33" s="36" t="s">
        <v>1062</v>
      </c>
      <c r="G33"/>
      <c r="H33" s="188" t="s">
        <v>440</v>
      </c>
      <c r="I33" s="392" t="s">
        <v>1059</v>
      </c>
      <c r="J33" s="192"/>
      <c r="K33" s="191"/>
      <c r="L33" s="191"/>
      <c r="M33" s="191"/>
      <c r="N33" s="191"/>
      <c r="O33" s="189"/>
      <c r="P33" s="191"/>
      <c r="Q33" s="288" t="s">
        <v>439</v>
      </c>
      <c r="R33" s="289" t="str">
        <f>IF(AND(S33&gt;0,S33&lt;2^13),"OK","NG")</f>
        <v>OK</v>
      </c>
      <c r="S33" s="305">
        <v>4</v>
      </c>
      <c r="T33" s="206"/>
      <c r="U33" s="288" t="s">
        <v>438</v>
      </c>
      <c r="V33" s="289" t="str">
        <f>IF(AND(W33&gt;1,W33&lt;2^13),"OK","NG")</f>
        <v>OK</v>
      </c>
      <c r="W33" s="305">
        <v>16</v>
      </c>
      <c r="Y33" s="362">
        <f>IF(I33="With Video",1,0)</f>
        <v>0</v>
      </c>
      <c r="Z33" s="360">
        <v>0</v>
      </c>
      <c r="AA33" s="360">
        <v>0</v>
      </c>
      <c r="AB33" s="360">
        <v>0</v>
      </c>
      <c r="AC33" s="360">
        <v>0</v>
      </c>
      <c r="AD33" s="360">
        <v>0</v>
      </c>
      <c r="AE33" s="360">
        <v>0</v>
      </c>
      <c r="AF33" s="361">
        <v>0</v>
      </c>
      <c r="AG33" s="359">
        <v>0</v>
      </c>
      <c r="AH33" s="360">
        <v>0</v>
      </c>
      <c r="AI33" s="360">
        <v>0</v>
      </c>
      <c r="AJ33" s="360">
        <v>0</v>
      </c>
      <c r="AK33" s="360">
        <v>0</v>
      </c>
      <c r="AL33" s="360">
        <v>0</v>
      </c>
      <c r="AM33" s="360">
        <v>0</v>
      </c>
      <c r="AN33" s="364">
        <f>S33</f>
        <v>4</v>
      </c>
      <c r="AO33" s="359">
        <v>0</v>
      </c>
      <c r="AP33" s="360">
        <v>0</v>
      </c>
      <c r="AQ33" s="360">
        <v>0</v>
      </c>
      <c r="AR33" s="360">
        <v>0</v>
      </c>
      <c r="AS33" s="360">
        <v>0</v>
      </c>
      <c r="AT33" s="360">
        <v>0</v>
      </c>
      <c r="AU33" s="360">
        <v>0</v>
      </c>
      <c r="AV33" s="361">
        <v>0</v>
      </c>
      <c r="AW33" s="359">
        <v>0</v>
      </c>
      <c r="AX33" s="360">
        <v>0</v>
      </c>
      <c r="AY33" s="360">
        <v>0</v>
      </c>
      <c r="AZ33" s="360">
        <v>0</v>
      </c>
      <c r="BA33" s="360">
        <v>0</v>
      </c>
      <c r="BB33" s="360">
        <v>0</v>
      </c>
      <c r="BC33" s="360">
        <v>0</v>
      </c>
      <c r="BD33" s="364">
        <f>W33</f>
        <v>16</v>
      </c>
      <c r="BF33" s="3"/>
      <c r="BG33" s="3"/>
      <c r="BH33" s="3"/>
      <c r="BI33" s="3"/>
    </row>
    <row r="34" spans="1:61" s="129" customFormat="1">
      <c r="A34" s="3"/>
      <c r="B34" s="89" t="str">
        <f>IF(Main_Parameters!$C$41="TX0 Enable","REMnd","WR32")</f>
        <v>WR32</v>
      </c>
      <c r="C34" s="5" t="s">
        <v>430</v>
      </c>
      <c r="D34" s="14" t="s">
        <v>435</v>
      </c>
      <c r="E34" s="100" t="str">
        <f>DEC2HEX(Y34*2^31+Z34*2^30+AA34*2^29+AB34*2^28+AC34*2^27+AD34*2^26+AE34*2^25+AF34*2^24+AG34*2^23+AH34*2^22+AI34*2^21+AJ34*2^20+AK34*2^19+AL34*2^18+AM34*2^17+AN34*2^16+AO34*2^15+AP34*2^14+AQ34*2^13+AR34*2^12+AS34*2^11+AT34*2^10+AU34*2^9+AV34*2^8+AW34*2^7+AX34*2^6+AY34*2^5+AZ34*2^4+BA34*2^3+BB34*2^2+BC34*2^1+BD34*2^0,8)</f>
        <v>00040010</v>
      </c>
      <c r="F34" s="36" t="s">
        <v>1063</v>
      </c>
      <c r="G34"/>
      <c r="H34" s="188" t="s">
        <v>440</v>
      </c>
      <c r="I34" s="392" t="s">
        <v>1059</v>
      </c>
      <c r="J34" s="192"/>
      <c r="K34" s="191"/>
      <c r="L34" s="191"/>
      <c r="M34" s="191"/>
      <c r="N34" s="191"/>
      <c r="O34" s="189"/>
      <c r="P34" s="191"/>
      <c r="Q34" s="288" t="s">
        <v>439</v>
      </c>
      <c r="R34" s="289" t="str">
        <f>IF(AND(S34&gt;0,S34&lt;2^13),"OK","NG")</f>
        <v>OK</v>
      </c>
      <c r="S34" s="305">
        <v>4</v>
      </c>
      <c r="T34" s="206"/>
      <c r="U34" s="288" t="s">
        <v>438</v>
      </c>
      <c r="V34" s="289" t="str">
        <f>IF(AND(W34&gt;1,W34&lt;2^13),"OK","NG")</f>
        <v>OK</v>
      </c>
      <c r="W34" s="305">
        <v>16</v>
      </c>
      <c r="Y34" s="362">
        <f>IF(I34="With Video",1,0)</f>
        <v>0</v>
      </c>
      <c r="Z34" s="360">
        <v>0</v>
      </c>
      <c r="AA34" s="360">
        <v>0</v>
      </c>
      <c r="AB34" s="360">
        <v>0</v>
      </c>
      <c r="AC34" s="360">
        <v>0</v>
      </c>
      <c r="AD34" s="360">
        <v>0</v>
      </c>
      <c r="AE34" s="360">
        <v>0</v>
      </c>
      <c r="AF34" s="361">
        <v>0</v>
      </c>
      <c r="AG34" s="359">
        <v>0</v>
      </c>
      <c r="AH34" s="360">
        <v>0</v>
      </c>
      <c r="AI34" s="360">
        <v>0</v>
      </c>
      <c r="AJ34" s="360">
        <v>0</v>
      </c>
      <c r="AK34" s="360">
        <v>0</v>
      </c>
      <c r="AL34" s="360">
        <v>0</v>
      </c>
      <c r="AM34" s="360">
        <v>0</v>
      </c>
      <c r="AN34" s="364">
        <f>S34</f>
        <v>4</v>
      </c>
      <c r="AO34" s="359">
        <v>0</v>
      </c>
      <c r="AP34" s="360">
        <v>0</v>
      </c>
      <c r="AQ34" s="360">
        <v>0</v>
      </c>
      <c r="AR34" s="360">
        <v>0</v>
      </c>
      <c r="AS34" s="360">
        <v>0</v>
      </c>
      <c r="AT34" s="360">
        <v>0</v>
      </c>
      <c r="AU34" s="360">
        <v>0</v>
      </c>
      <c r="AV34" s="361">
        <v>0</v>
      </c>
      <c r="AW34" s="359">
        <v>0</v>
      </c>
      <c r="AX34" s="360">
        <v>0</v>
      </c>
      <c r="AY34" s="360">
        <v>0</v>
      </c>
      <c r="AZ34" s="360">
        <v>0</v>
      </c>
      <c r="BA34" s="360">
        <v>0</v>
      </c>
      <c r="BB34" s="360">
        <v>0</v>
      </c>
      <c r="BC34" s="360">
        <v>0</v>
      </c>
      <c r="BD34" s="364">
        <f>W34</f>
        <v>16</v>
      </c>
      <c r="BF34" s="3"/>
      <c r="BG34" s="3"/>
      <c r="BH34" s="3"/>
      <c r="BI34" s="3"/>
    </row>
    <row r="35" spans="1:61" s="129" customFormat="1">
      <c r="A35" s="3"/>
      <c r="B35" s="16" t="s">
        <v>290</v>
      </c>
      <c r="C35" s="5" t="s">
        <v>1019</v>
      </c>
      <c r="D35" s="14" t="s">
        <v>1018</v>
      </c>
      <c r="E35" s="83" t="s">
        <v>634</v>
      </c>
      <c r="F35" s="36"/>
      <c r="G35"/>
      <c r="H35"/>
      <c r="I35" s="2"/>
      <c r="J35" s="3"/>
      <c r="K35" s="3"/>
      <c r="L35" s="3"/>
      <c r="M35" s="3"/>
      <c r="N35" s="3"/>
      <c r="O35" s="3"/>
      <c r="P35" s="3"/>
      <c r="Q35" s="3"/>
      <c r="R35" s="3"/>
      <c r="S35" s="3"/>
      <c r="T35" s="3"/>
      <c r="U35" s="3"/>
      <c r="V35" s="3"/>
      <c r="W35" s="3"/>
      <c r="BF35" s="3"/>
      <c r="BG35" s="3"/>
      <c r="BH35" s="3"/>
      <c r="BI35" s="3"/>
    </row>
    <row r="36" spans="1:61" s="129" customFormat="1">
      <c r="A36" s="3"/>
      <c r="B36" s="16" t="s">
        <v>290</v>
      </c>
      <c r="C36" s="5" t="s">
        <v>1021</v>
      </c>
      <c r="D36" s="14" t="s">
        <v>1020</v>
      </c>
      <c r="E36" s="83" t="s">
        <v>1024</v>
      </c>
      <c r="F36" s="36" t="s">
        <v>1069</v>
      </c>
      <c r="G36"/>
      <c r="H36"/>
      <c r="I36" s="2"/>
      <c r="J36" s="3"/>
      <c r="K36" s="3"/>
      <c r="L36" s="3"/>
      <c r="M36" s="3"/>
      <c r="N36" s="3"/>
      <c r="O36" s="3"/>
      <c r="P36" s="3"/>
      <c r="Q36" s="3"/>
      <c r="R36" s="3"/>
      <c r="S36" s="3"/>
      <c r="T36" s="3"/>
      <c r="U36" s="3"/>
      <c r="V36" s="3"/>
      <c r="W36" s="3"/>
      <c r="BF36" s="3"/>
      <c r="BG36" s="3"/>
      <c r="BH36" s="3"/>
      <c r="BI36" s="3"/>
    </row>
    <row r="37" spans="1:61" s="129" customFormat="1">
      <c r="A37" s="3"/>
      <c r="B37" s="16" t="s">
        <v>290</v>
      </c>
      <c r="C37" s="5" t="s">
        <v>1027</v>
      </c>
      <c r="D37" s="14" t="s">
        <v>1022</v>
      </c>
      <c r="E37" s="83" t="s">
        <v>1025</v>
      </c>
      <c r="F37" s="36" t="s">
        <v>1069</v>
      </c>
      <c r="G37"/>
      <c r="H37"/>
      <c r="I37" s="2"/>
      <c r="J37" s="3"/>
      <c r="K37" s="3"/>
      <c r="L37" s="3"/>
      <c r="M37" s="3"/>
      <c r="N37" s="3"/>
      <c r="O37" s="3"/>
      <c r="P37" s="3"/>
      <c r="Q37" s="3"/>
      <c r="R37" s="3"/>
      <c r="S37" s="3"/>
      <c r="T37" s="3"/>
      <c r="U37" s="3"/>
      <c r="V37" s="3"/>
      <c r="W37" s="3"/>
      <c r="BF37" s="3"/>
      <c r="BG37" s="3"/>
      <c r="BH37" s="3"/>
      <c r="BI37" s="3"/>
    </row>
    <row r="38" spans="1:61" s="129" customFormat="1">
      <c r="A38" s="3"/>
      <c r="B38" s="16" t="s">
        <v>290</v>
      </c>
      <c r="C38" s="5" t="s">
        <v>1028</v>
      </c>
      <c r="D38" s="14" t="s">
        <v>1023</v>
      </c>
      <c r="E38" s="83" t="s">
        <v>1026</v>
      </c>
      <c r="F38" s="36" t="s">
        <v>1070</v>
      </c>
      <c r="G38"/>
      <c r="H38"/>
      <c r="I38" s="2"/>
      <c r="J38" s="3"/>
      <c r="K38" s="3"/>
      <c r="L38" s="3"/>
      <c r="M38" s="3"/>
      <c r="N38" s="3"/>
      <c r="O38" s="3"/>
      <c r="P38" s="3"/>
      <c r="Q38" s="3"/>
      <c r="R38" s="3"/>
      <c r="S38" s="3"/>
      <c r="T38" s="3"/>
      <c r="U38" s="3"/>
      <c r="V38" s="3"/>
      <c r="W38" s="3"/>
      <c r="BF38" s="3"/>
      <c r="BG38" s="3"/>
      <c r="BH38" s="3"/>
      <c r="BI38" s="3"/>
    </row>
    <row r="39" spans="1:61" s="129" customFormat="1">
      <c r="A39" s="3"/>
      <c r="B39" s="16" t="s">
        <v>290</v>
      </c>
      <c r="C39" s="5" t="s">
        <v>321</v>
      </c>
      <c r="D39" s="285" t="str">
        <f>IF(Main_Parameters!$C$41="TX0/1 Enable","401C","201C")</f>
        <v>401C</v>
      </c>
      <c r="E39" s="14" t="s">
        <v>634</v>
      </c>
      <c r="F39" s="36" t="s">
        <v>1064</v>
      </c>
      <c r="G39"/>
      <c r="H39"/>
      <c r="I39" s="2"/>
      <c r="J39" s="3"/>
      <c r="K39" s="3"/>
      <c r="L39" s="3"/>
      <c r="M39" s="3"/>
      <c r="N39" s="3"/>
      <c r="O39" s="3"/>
      <c r="P39" s="3"/>
      <c r="Q39" s="3"/>
      <c r="R39" s="3"/>
      <c r="S39" s="3"/>
      <c r="T39" s="3"/>
      <c r="U39" s="3"/>
      <c r="V39" s="3"/>
      <c r="W39" s="3"/>
      <c r="BF39" s="3"/>
      <c r="BG39" s="3"/>
      <c r="BH39" s="3"/>
      <c r="BI39" s="3"/>
    </row>
    <row r="40" spans="1:61" s="129" customFormat="1">
      <c r="A40" s="3"/>
      <c r="B40" s="16" t="s">
        <v>290</v>
      </c>
      <c r="C40" s="5" t="s">
        <v>1030</v>
      </c>
      <c r="D40" s="14" t="s">
        <v>1029</v>
      </c>
      <c r="E40" s="83" t="s">
        <v>1031</v>
      </c>
      <c r="F40" s="36" t="s">
        <v>1065</v>
      </c>
      <c r="G40"/>
      <c r="H40"/>
      <c r="I40" s="2"/>
      <c r="J40" s="3"/>
      <c r="K40" s="3"/>
      <c r="L40" s="3"/>
      <c r="M40" s="3"/>
      <c r="N40" s="3"/>
      <c r="O40" s="3"/>
      <c r="P40" s="3"/>
      <c r="Q40" s="3"/>
      <c r="R40" s="3"/>
      <c r="S40" s="3"/>
      <c r="T40" s="3"/>
      <c r="U40" s="3"/>
      <c r="V40" s="3"/>
      <c r="W40" s="3"/>
      <c r="BF40" s="3"/>
      <c r="BG40" s="3"/>
      <c r="BH40" s="3"/>
      <c r="BI40" s="3"/>
    </row>
    <row r="41" spans="1:61" s="129" customFormat="1">
      <c r="A41" s="3"/>
      <c r="B41" s="16" t="s">
        <v>290</v>
      </c>
      <c r="C41" s="5" t="s">
        <v>1033</v>
      </c>
      <c r="D41" s="14" t="s">
        <v>1032</v>
      </c>
      <c r="E41" s="83" t="s">
        <v>1034</v>
      </c>
      <c r="F41" s="36"/>
      <c r="G41"/>
      <c r="H41"/>
      <c r="I41" s="2"/>
      <c r="J41" s="3"/>
      <c r="K41" s="3"/>
      <c r="L41" s="3"/>
      <c r="M41" s="3"/>
      <c r="N41" s="3"/>
      <c r="O41" s="3"/>
      <c r="P41" s="3"/>
      <c r="Q41" s="3"/>
      <c r="R41" s="3"/>
      <c r="S41" s="3"/>
      <c r="T41" s="3"/>
      <c r="U41" s="3"/>
      <c r="V41" s="3"/>
      <c r="W41" s="3"/>
      <c r="BF41" s="3"/>
      <c r="BG41" s="3"/>
      <c r="BH41" s="3"/>
      <c r="BI41" s="3"/>
    </row>
    <row r="42" spans="1:61" s="129" customFormat="1">
      <c r="A42" s="3"/>
      <c r="B42" s="16" t="s">
        <v>290</v>
      </c>
      <c r="C42" s="5" t="s">
        <v>1036</v>
      </c>
      <c r="D42" s="14" t="s">
        <v>1035</v>
      </c>
      <c r="E42" s="83" t="s">
        <v>1034</v>
      </c>
      <c r="F42" s="36" t="s">
        <v>1071</v>
      </c>
      <c r="G42"/>
      <c r="H42"/>
      <c r="I42" s="2"/>
      <c r="J42" s="3"/>
      <c r="K42" s="3"/>
      <c r="L42" s="3"/>
      <c r="M42" s="3"/>
      <c r="N42" s="3"/>
      <c r="O42" s="3"/>
      <c r="P42" s="3"/>
      <c r="Q42" s="3"/>
      <c r="R42" s="3"/>
      <c r="S42" s="3"/>
      <c r="T42" s="3"/>
      <c r="U42" s="3"/>
      <c r="V42" s="3"/>
      <c r="W42" s="3"/>
      <c r="BF42" s="3"/>
      <c r="BG42" s="3"/>
      <c r="BH42" s="3"/>
      <c r="BI42" s="3"/>
    </row>
    <row r="43" spans="1:61" s="129" customFormat="1">
      <c r="A43" s="3"/>
      <c r="B43" s="16" t="s">
        <v>290</v>
      </c>
      <c r="C43" s="5" t="s">
        <v>1037</v>
      </c>
      <c r="D43" s="14" t="s">
        <v>1038</v>
      </c>
      <c r="E43" s="83" t="s">
        <v>1034</v>
      </c>
      <c r="F43" s="36" t="s">
        <v>1071</v>
      </c>
      <c r="G43"/>
      <c r="H43"/>
      <c r="I43" s="2"/>
      <c r="J43" s="3"/>
      <c r="K43" s="3"/>
      <c r="L43" s="3"/>
      <c r="M43" s="3"/>
      <c r="N43" s="3"/>
      <c r="O43" s="3"/>
      <c r="P43" s="3"/>
      <c r="Q43" s="3"/>
      <c r="R43" s="3"/>
      <c r="S43" s="3"/>
      <c r="T43" s="3"/>
      <c r="U43" s="3"/>
      <c r="V43" s="3"/>
      <c r="W43" s="3"/>
      <c r="BF43" s="3"/>
      <c r="BG43" s="3"/>
      <c r="BH43" s="3"/>
      <c r="BI43" s="3"/>
    </row>
    <row r="44" spans="1:61" s="129" customFormat="1">
      <c r="A44" s="3"/>
      <c r="B44" s="16" t="s">
        <v>1040</v>
      </c>
      <c r="C44" s="5" t="s">
        <v>1042</v>
      </c>
      <c r="D44" s="14" t="s">
        <v>1039</v>
      </c>
      <c r="E44" s="83" t="s">
        <v>1041</v>
      </c>
      <c r="F44" s="36" t="s">
        <v>1072</v>
      </c>
      <c r="G44"/>
      <c r="H44"/>
      <c r="I44" s="2"/>
      <c r="J44" s="3"/>
      <c r="K44" s="3"/>
      <c r="L44" s="3"/>
      <c r="M44" s="3"/>
      <c r="N44" s="3"/>
      <c r="O44" s="3"/>
      <c r="P44" s="3"/>
      <c r="Q44" s="3"/>
      <c r="R44" s="3"/>
      <c r="S44" s="3"/>
      <c r="T44" s="3"/>
      <c r="U44" s="3"/>
      <c r="V44" s="3"/>
      <c r="W44" s="3"/>
      <c r="BF44" s="3"/>
      <c r="BG44" s="3"/>
      <c r="BH44" s="3"/>
      <c r="BI44" s="3"/>
    </row>
    <row r="45" spans="1:61" s="129" customFormat="1">
      <c r="A45" s="3"/>
      <c r="B45" s="16" t="s">
        <v>290</v>
      </c>
      <c r="C45" s="5" t="s">
        <v>1044</v>
      </c>
      <c r="D45" s="14" t="s">
        <v>1043</v>
      </c>
      <c r="E45" s="83" t="s">
        <v>1034</v>
      </c>
      <c r="F45" s="235"/>
      <c r="G45"/>
      <c r="H45"/>
      <c r="I45" s="2"/>
      <c r="J45" s="3"/>
      <c r="K45" s="3"/>
      <c r="L45" s="3"/>
      <c r="M45" s="3"/>
      <c r="N45" s="3"/>
      <c r="O45" s="3"/>
      <c r="P45" s="3"/>
      <c r="Q45" s="3"/>
      <c r="R45" s="3"/>
      <c r="S45" s="3"/>
      <c r="T45" s="3"/>
      <c r="U45" s="3"/>
      <c r="V45" s="3"/>
      <c r="W45" s="3"/>
      <c r="BF45" s="3"/>
      <c r="BG45" s="3"/>
      <c r="BH45" s="3"/>
      <c r="BI45" s="3"/>
    </row>
    <row r="46" spans="1:61" s="129" customFormat="1">
      <c r="A46" s="3"/>
      <c r="B46" s="16" t="s">
        <v>290</v>
      </c>
      <c r="C46" s="5" t="s">
        <v>1046</v>
      </c>
      <c r="D46" s="14" t="s">
        <v>1045</v>
      </c>
      <c r="E46" s="83" t="s">
        <v>167</v>
      </c>
      <c r="F46" s="36" t="s">
        <v>1066</v>
      </c>
      <c r="G46"/>
      <c r="H46"/>
      <c r="I46" s="2"/>
      <c r="J46" s="3"/>
      <c r="K46" s="3"/>
      <c r="L46" s="3"/>
      <c r="M46" s="3"/>
      <c r="N46" s="3"/>
      <c r="O46" s="3"/>
      <c r="P46" s="3"/>
      <c r="Q46" s="3"/>
      <c r="R46" s="3"/>
      <c r="S46" s="3"/>
      <c r="T46" s="3"/>
      <c r="U46" s="3"/>
      <c r="V46" s="3"/>
      <c r="W46" s="3"/>
      <c r="BF46" s="3"/>
      <c r="BG46" s="3"/>
      <c r="BH46" s="3"/>
      <c r="BI46" s="3"/>
    </row>
    <row r="47" spans="1:61" s="129" customFormat="1">
      <c r="A47" s="3"/>
      <c r="B47" s="16" t="s">
        <v>1040</v>
      </c>
      <c r="C47" s="5" t="s">
        <v>1048</v>
      </c>
      <c r="D47" s="14" t="s">
        <v>1047</v>
      </c>
      <c r="E47" s="83" t="s">
        <v>880</v>
      </c>
      <c r="F47" s="36" t="s">
        <v>1067</v>
      </c>
      <c r="G47"/>
      <c r="H47"/>
      <c r="I47" s="2"/>
      <c r="J47" s="3"/>
      <c r="K47" s="3"/>
      <c r="L47" s="3"/>
      <c r="M47" s="3"/>
      <c r="N47" s="3"/>
      <c r="O47" s="3"/>
      <c r="P47" s="3"/>
      <c r="Q47" s="3"/>
      <c r="R47" s="3"/>
      <c r="S47" s="3"/>
      <c r="T47" s="3"/>
      <c r="U47" s="3"/>
      <c r="V47" s="3"/>
      <c r="W47" s="3"/>
      <c r="BF47" s="3"/>
      <c r="BG47" s="3"/>
      <c r="BH47" s="3"/>
      <c r="BI47" s="3"/>
    </row>
    <row r="48" spans="1:61" s="129" customFormat="1">
      <c r="A48" s="3"/>
      <c r="B48" s="16" t="s">
        <v>1040</v>
      </c>
      <c r="C48" s="5" t="s">
        <v>1049</v>
      </c>
      <c r="D48" s="14" t="s">
        <v>1050</v>
      </c>
      <c r="E48" s="83" t="s">
        <v>799</v>
      </c>
      <c r="F48" s="36" t="s">
        <v>1067</v>
      </c>
      <c r="G48"/>
      <c r="H48"/>
      <c r="I48" s="2"/>
      <c r="J48" s="3"/>
      <c r="K48" s="3"/>
      <c r="L48" s="3"/>
      <c r="M48" s="3"/>
      <c r="N48" s="3"/>
      <c r="O48" s="3"/>
      <c r="P48" s="3"/>
      <c r="Q48" s="3"/>
      <c r="R48" s="3"/>
      <c r="S48" s="3"/>
      <c r="T48" s="3"/>
      <c r="U48" s="3"/>
      <c r="V48" s="3"/>
      <c r="W48" s="3"/>
      <c r="BF48" s="3"/>
      <c r="BG48" s="3"/>
      <c r="BH48" s="3"/>
      <c r="BI48" s="3"/>
    </row>
    <row r="49" spans="1:61">
      <c r="B49" s="16" t="s">
        <v>290</v>
      </c>
      <c r="C49" s="333" t="s">
        <v>949</v>
      </c>
      <c r="D49" s="89" t="str">
        <f>IF(OR(I49="GPIO0",I49="GPIO1"),"5010","5014")</f>
        <v>5010</v>
      </c>
      <c r="E49" s="100" t="str">
        <f>IF(OR(I49="GPIO0",I49="GPIO2"),"0000009C","009C0000")</f>
        <v>009C0000</v>
      </c>
      <c r="F49" s="135"/>
      <c r="G49"/>
      <c r="H49" s="91" t="s">
        <v>945</v>
      </c>
      <c r="I49" s="89" t="str">
        <f>Source_DPeDP_Startup!$I$191</f>
        <v>GPIO1</v>
      </c>
      <c r="J49" s="418" t="s">
        <v>1433</v>
      </c>
    </row>
    <row r="50" spans="1:61" ht="15" customHeight="1">
      <c r="B50" s="16" t="s">
        <v>290</v>
      </c>
      <c r="C50" s="333" t="s">
        <v>947</v>
      </c>
      <c r="D50" s="334" t="s">
        <v>946</v>
      </c>
      <c r="E50" s="100" t="str">
        <f>IF(I49="GPIO0","00000004",IF(I49="GPIO1","00000040",IF(I49="GPIO2","00000400","00004000")))</f>
        <v>00000040</v>
      </c>
      <c r="F50" s="386"/>
      <c r="G50"/>
      <c r="H50"/>
      <c r="I50" s="2"/>
    </row>
    <row r="51" spans="1:61" ht="14.25" customHeight="1">
      <c r="B51" s="16" t="s">
        <v>290</v>
      </c>
      <c r="C51" s="333" t="s">
        <v>452</v>
      </c>
      <c r="D51" s="334" t="s">
        <v>453</v>
      </c>
      <c r="E51" s="100" t="str">
        <f>IF(I49="GPIO0","00000001",IF(I49="GPIO1","00000002",IF(I49="GPIO2","00000004","00000008")))</f>
        <v>00000002</v>
      </c>
      <c r="F51" s="386"/>
      <c r="G51"/>
      <c r="H51"/>
      <c r="I51" s="2"/>
    </row>
    <row r="52" spans="1:61" s="129" customFormat="1">
      <c r="A52" s="3"/>
      <c r="B52" s="16" t="s">
        <v>15</v>
      </c>
      <c r="C52" s="5"/>
      <c r="D52" s="14"/>
      <c r="E52" s="102"/>
      <c r="F52" s="36"/>
      <c r="G52"/>
      <c r="H52" s="3"/>
      <c r="I52" s="3"/>
      <c r="J52" s="3"/>
      <c r="K52" s="3"/>
      <c r="L52" s="3"/>
      <c r="M52" s="3"/>
      <c r="N52" s="3"/>
      <c r="O52" s="3"/>
      <c r="P52" s="3"/>
      <c r="Q52" s="3"/>
      <c r="R52" s="3"/>
      <c r="S52" s="3"/>
      <c r="T52" s="3"/>
      <c r="U52" s="3"/>
      <c r="V52" s="3"/>
      <c r="W52" s="3"/>
      <c r="BF52" s="3"/>
      <c r="BG52" s="3"/>
      <c r="BH52" s="3"/>
      <c r="BI52" s="3"/>
    </row>
    <row r="53" spans="1:61" s="129" customFormat="1">
      <c r="A53" s="3"/>
      <c r="B53"/>
      <c r="C53" s="3"/>
      <c r="D53" s="3"/>
      <c r="E53" s="95"/>
      <c r="F53" s="3"/>
      <c r="G53" s="3"/>
      <c r="H53" s="3"/>
      <c r="I53" s="3"/>
      <c r="J53" s="3"/>
      <c r="K53" s="3"/>
      <c r="L53" s="3"/>
      <c r="M53" s="3"/>
      <c r="N53" s="3"/>
      <c r="O53" s="3"/>
      <c r="P53" s="3"/>
      <c r="Q53" s="3"/>
      <c r="R53" s="3"/>
      <c r="S53" s="3"/>
      <c r="T53" s="3"/>
      <c r="U53" s="3"/>
      <c r="V53" s="3"/>
      <c r="W53" s="3"/>
      <c r="BF53" s="3"/>
      <c r="BG53" s="3"/>
      <c r="BH53" s="3"/>
      <c r="BI53" s="3"/>
    </row>
  </sheetData>
  <sheetProtection algorithmName="SHA-512" hashValue="PJva36lmlNFS6RaffTAaf48Ae4TT1ncQi3GDiH9qt5wvX9JADUlXxMwGYmnLunndUVZyDRaABXutm881O4GrtA==" saltValue="Tl/sWbW95lNR/4b3nF+kOQ==" spinCount="100000" sheet="1" objects="1" scenarios="1"/>
  <phoneticPr fontId="39"/>
  <pageMargins left="0.75" right="0.75" top="1" bottom="1" header="0.5" footer="0.5"/>
  <pageSetup paperSize="9" orientation="portrait" verticalDpi="0" r:id="rId1"/>
</worksheet>
</file>

<file path=xl/worksheets/sheet6.xml><?xml version="1.0" encoding="utf-8"?>
<worksheet xmlns="http://schemas.openxmlformats.org/spreadsheetml/2006/main" xmlns:r="http://schemas.openxmlformats.org/officeDocument/2006/relationships">
  <sheetPr codeName="Sheet40">
    <tabColor rgb="FFCC00CC"/>
    <pageSetUpPr autoPageBreaks="0"/>
  </sheetPr>
  <dimension ref="A1:BI88"/>
  <sheetViews>
    <sheetView showGridLines="0" topLeftCell="A37" zoomScale="75" zoomScaleNormal="75" workbookViewId="0">
      <selection activeCell="F66" sqref="F66"/>
    </sheetView>
  </sheetViews>
  <sheetFormatPr defaultColWidth="9" defaultRowHeight="14.25"/>
  <cols>
    <col min="1" max="1" width="3.375" style="3" customWidth="1"/>
    <col min="2" max="2" width="8.875" style="3" customWidth="1"/>
    <col min="3" max="3" width="33.25" style="3" customWidth="1"/>
    <col min="4" max="4" width="11" style="3" customWidth="1"/>
    <col min="5" max="5" width="12.625" style="95" customWidth="1"/>
    <col min="6" max="6" width="60.125" style="3" customWidth="1"/>
    <col min="7" max="7" width="4.875" style="3" customWidth="1"/>
    <col min="8" max="8" width="14" style="3" customWidth="1"/>
    <col min="9" max="9" width="13" style="3" customWidth="1"/>
    <col min="10" max="10" width="13.875" style="3" customWidth="1"/>
    <col min="11" max="11" width="14.375" style="3" customWidth="1"/>
    <col min="12" max="12" width="15.75" style="3" customWidth="1"/>
    <col min="13"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hidden="1" customWidth="1"/>
    <col min="25" max="30" width="5" style="129" hidden="1" customWidth="1"/>
    <col min="31" max="38" width="4" style="129" hidden="1" customWidth="1"/>
    <col min="39" max="39" width="5" style="129" hidden="1" customWidth="1"/>
    <col min="40" max="40" width="4" style="129" hidden="1" customWidth="1"/>
    <col min="41" max="46" width="5" style="129" hidden="1" customWidth="1"/>
    <col min="47" max="49" width="4" style="129" hidden="1" customWidth="1"/>
    <col min="50" max="50" width="3.75" style="129" hidden="1" customWidth="1"/>
    <col min="51" max="54" width="4" style="129" hidden="1" customWidth="1"/>
    <col min="55" max="55" width="3.125" style="129" hidden="1" customWidth="1"/>
    <col min="56" max="56" width="3.875" style="129" hidden="1" customWidth="1"/>
    <col min="57" max="57" width="11.375" style="129" customWidth="1"/>
    <col min="58" max="16384" width="9" style="3"/>
  </cols>
  <sheetData>
    <row r="1" spans="1:61" ht="18">
      <c r="B1" s="11" t="s">
        <v>1435</v>
      </c>
      <c r="C1" s="11"/>
      <c r="F1" s="114"/>
      <c r="G1" s="231" t="s">
        <v>1475</v>
      </c>
      <c r="H1" s="105" t="s">
        <v>81</v>
      </c>
      <c r="I1" s="18"/>
      <c r="J1" s="4"/>
      <c r="K1"/>
      <c r="L1" s="15"/>
    </row>
    <row r="2" spans="1:61" ht="18">
      <c r="B2" s="3" t="s">
        <v>123</v>
      </c>
      <c r="H2" s="114" t="s">
        <v>16</v>
      </c>
      <c r="I2"/>
      <c r="J2"/>
      <c r="K2"/>
      <c r="L2"/>
      <c r="M2"/>
      <c r="N2"/>
      <c r="O2"/>
      <c r="P2"/>
    </row>
    <row r="3" spans="1:61">
      <c r="B3" s="3" t="s">
        <v>420</v>
      </c>
      <c r="C3" s="10"/>
      <c r="D3" s="1"/>
      <c r="E3" s="96"/>
      <c r="F3" s="1"/>
      <c r="G3" s="1"/>
      <c r="H3" s="1"/>
      <c r="I3"/>
      <c r="J3"/>
      <c r="K3"/>
      <c r="L3"/>
      <c r="M3"/>
      <c r="N3"/>
      <c r="O3"/>
      <c r="P3"/>
      <c r="Q3"/>
      <c r="R3"/>
      <c r="S3"/>
      <c r="T3"/>
      <c r="U3"/>
      <c r="V3"/>
      <c r="W3"/>
      <c r="X3" s="222"/>
      <c r="AH3" s="222"/>
    </row>
    <row r="4" spans="1:61">
      <c r="C4" s="10"/>
      <c r="D4" s="1"/>
      <c r="E4" s="96"/>
      <c r="F4" s="1"/>
      <c r="G4" s="1"/>
      <c r="H4" s="1"/>
      <c r="I4"/>
      <c r="J4"/>
      <c r="K4"/>
      <c r="L4"/>
      <c r="M4"/>
      <c r="N4"/>
      <c r="O4"/>
      <c r="P4"/>
      <c r="Q4"/>
      <c r="R4"/>
      <c r="S4"/>
      <c r="T4"/>
      <c r="U4"/>
      <c r="V4"/>
      <c r="W4"/>
      <c r="X4" s="222"/>
      <c r="AH4" s="222"/>
    </row>
    <row r="5" spans="1:61">
      <c r="B5" s="284"/>
      <c r="C5" s="10" t="s">
        <v>380</v>
      </c>
      <c r="D5" s="1"/>
      <c r="E5" s="96"/>
      <c r="F5" s="1"/>
      <c r="G5" s="1"/>
      <c r="H5" s="1"/>
      <c r="I5"/>
      <c r="J5"/>
      <c r="K5"/>
      <c r="L5"/>
      <c r="M5"/>
      <c r="N5"/>
      <c r="O5"/>
      <c r="P5"/>
      <c r="Q5"/>
      <c r="R5"/>
      <c r="S5"/>
      <c r="T5"/>
      <c r="U5"/>
      <c r="V5"/>
      <c r="W5"/>
      <c r="X5" s="222"/>
      <c r="AH5" s="222"/>
    </row>
    <row r="6" spans="1:61" ht="15">
      <c r="B6" s="9"/>
      <c r="C6" s="10"/>
      <c r="D6" s="1"/>
      <c r="E6" s="96"/>
      <c r="F6" s="1"/>
      <c r="G6" s="1"/>
      <c r="H6" s="17"/>
      <c r="I6"/>
      <c r="J6"/>
      <c r="K6"/>
      <c r="L6"/>
      <c r="M6"/>
      <c r="N6"/>
      <c r="O6"/>
      <c r="P6"/>
      <c r="Q6"/>
      <c r="R6"/>
      <c r="S6"/>
      <c r="T6"/>
      <c r="U6"/>
      <c r="V6"/>
      <c r="W6"/>
      <c r="X6" s="222"/>
      <c r="AH6" s="222"/>
    </row>
    <row r="7" spans="1:61" ht="18.75">
      <c r="B7" s="88" t="s">
        <v>1074</v>
      </c>
      <c r="C7" s="86"/>
      <c r="D7" s="86"/>
      <c r="E7" s="97"/>
      <c r="F7" s="87"/>
      <c r="I7"/>
      <c r="J7"/>
      <c r="K7"/>
      <c r="L7"/>
      <c r="M7"/>
      <c r="N7"/>
      <c r="O7"/>
      <c r="P7"/>
      <c r="Q7"/>
      <c r="R7"/>
      <c r="S7"/>
      <c r="T7"/>
      <c r="U7"/>
      <c r="V7"/>
      <c r="W7"/>
      <c r="X7" s="222"/>
      <c r="AH7" s="222"/>
    </row>
    <row r="8" spans="1:61" ht="15">
      <c r="B8" s="84" t="s">
        <v>12</v>
      </c>
      <c r="C8" s="84" t="s">
        <v>0</v>
      </c>
      <c r="D8" s="84" t="s">
        <v>1</v>
      </c>
      <c r="E8" s="98" t="s">
        <v>13</v>
      </c>
      <c r="F8" s="85" t="s">
        <v>82</v>
      </c>
      <c r="G8" s="7"/>
      <c r="H8"/>
      <c r="I8"/>
      <c r="J8"/>
      <c r="K8"/>
      <c r="L8"/>
      <c r="M8"/>
      <c r="N8"/>
      <c r="O8"/>
      <c r="P8"/>
      <c r="Q8"/>
      <c r="R8"/>
      <c r="S8"/>
      <c r="T8"/>
      <c r="U8"/>
      <c r="V8"/>
      <c r="W8"/>
      <c r="X8" s="222"/>
      <c r="Y8" s="370" t="s">
        <v>402</v>
      </c>
      <c r="Z8" s="371" t="s">
        <v>401</v>
      </c>
      <c r="AA8" s="371" t="s">
        <v>400</v>
      </c>
      <c r="AB8" s="371" t="s">
        <v>399</v>
      </c>
      <c r="AC8" s="371" t="s">
        <v>398</v>
      </c>
      <c r="AD8" s="371" t="s">
        <v>397</v>
      </c>
      <c r="AE8" s="371" t="s">
        <v>396</v>
      </c>
      <c r="AF8" s="372" t="s">
        <v>395</v>
      </c>
      <c r="AG8" s="367" t="s">
        <v>394</v>
      </c>
      <c r="AH8" s="368" t="s">
        <v>393</v>
      </c>
      <c r="AI8" s="368" t="s">
        <v>392</v>
      </c>
      <c r="AJ8" s="368" t="s">
        <v>391</v>
      </c>
      <c r="AK8" s="368" t="s">
        <v>390</v>
      </c>
      <c r="AL8" s="368" t="s">
        <v>389</v>
      </c>
      <c r="AM8" s="368" t="s">
        <v>388</v>
      </c>
      <c r="AN8" s="369" t="s">
        <v>387</v>
      </c>
      <c r="AO8" s="370" t="s">
        <v>362</v>
      </c>
      <c r="AP8" s="371" t="s">
        <v>363</v>
      </c>
      <c r="AQ8" s="371" t="s">
        <v>364</v>
      </c>
      <c r="AR8" s="371" t="s">
        <v>365</v>
      </c>
      <c r="AS8" s="371" t="s">
        <v>366</v>
      </c>
      <c r="AT8" s="371" t="s">
        <v>367</v>
      </c>
      <c r="AU8" s="371" t="s">
        <v>368</v>
      </c>
      <c r="AV8" s="372" t="s">
        <v>369</v>
      </c>
      <c r="AW8" s="367" t="s">
        <v>370</v>
      </c>
      <c r="AX8" s="368" t="s">
        <v>371</v>
      </c>
      <c r="AY8" s="368" t="s">
        <v>372</v>
      </c>
      <c r="AZ8" s="368" t="s">
        <v>373</v>
      </c>
      <c r="BA8" s="368" t="s">
        <v>374</v>
      </c>
      <c r="BB8" s="368" t="s">
        <v>375</v>
      </c>
      <c r="BC8" s="368" t="s">
        <v>376</v>
      </c>
      <c r="BD8" s="369" t="s">
        <v>377</v>
      </c>
    </row>
    <row r="9" spans="1:61" ht="25.5" customHeight="1">
      <c r="B9" s="416" t="s">
        <v>14</v>
      </c>
      <c r="C9" s="419" t="s">
        <v>1431</v>
      </c>
      <c r="D9" s="420"/>
      <c r="E9" s="421"/>
      <c r="F9" s="422"/>
      <c r="G9"/>
      <c r="H9"/>
      <c r="I9"/>
      <c r="J9"/>
      <c r="K9"/>
      <c r="L9"/>
      <c r="M9"/>
      <c r="N9"/>
      <c r="O9"/>
      <c r="P9"/>
      <c r="Q9"/>
      <c r="R9"/>
      <c r="S9"/>
      <c r="T9"/>
      <c r="U9"/>
      <c r="V9"/>
      <c r="W9"/>
    </row>
    <row r="10" spans="1:61" s="129" customFormat="1">
      <c r="A10" s="3"/>
      <c r="B10" s="16" t="s">
        <v>1040</v>
      </c>
      <c r="C10" s="5" t="s">
        <v>1048</v>
      </c>
      <c r="D10" s="14" t="s">
        <v>1047</v>
      </c>
      <c r="E10" s="83" t="s">
        <v>880</v>
      </c>
      <c r="F10" s="36" t="s">
        <v>1077</v>
      </c>
      <c r="G10"/>
      <c r="H10"/>
      <c r="I10" s="2"/>
      <c r="J10" s="3"/>
      <c r="K10" s="3"/>
      <c r="L10" s="3"/>
      <c r="M10" s="3"/>
      <c r="N10" s="3"/>
      <c r="O10" s="3"/>
      <c r="P10" s="3"/>
      <c r="Q10" s="3"/>
      <c r="R10" s="3"/>
      <c r="S10" s="3"/>
      <c r="T10" s="3"/>
      <c r="U10" s="3"/>
      <c r="V10" s="3"/>
      <c r="W10" s="3"/>
      <c r="BF10" s="3"/>
      <c r="BG10" s="3"/>
      <c r="BH10" s="3"/>
      <c r="BI10" s="3"/>
    </row>
    <row r="11" spans="1:61" s="129" customFormat="1">
      <c r="A11" s="3"/>
      <c r="B11" s="16" t="s">
        <v>1040</v>
      </c>
      <c r="C11" s="5" t="s">
        <v>1049</v>
      </c>
      <c r="D11" s="14" t="s">
        <v>1050</v>
      </c>
      <c r="E11" s="83" t="s">
        <v>1075</v>
      </c>
      <c r="F11" s="36" t="s">
        <v>1077</v>
      </c>
      <c r="G11"/>
      <c r="H11"/>
      <c r="I11" s="2"/>
      <c r="J11" s="3"/>
      <c r="K11" s="3"/>
      <c r="L11" s="3"/>
      <c r="M11" s="3"/>
      <c r="N11" s="3"/>
      <c r="O11" s="3"/>
      <c r="P11" s="3"/>
      <c r="Q11" s="3"/>
      <c r="R11" s="3"/>
      <c r="S11" s="3"/>
      <c r="T11" s="3"/>
      <c r="U11" s="3"/>
      <c r="V11" s="3"/>
      <c r="W11" s="3"/>
      <c r="BF11" s="3"/>
      <c r="BG11" s="3"/>
      <c r="BH11" s="3"/>
      <c r="BI11" s="3"/>
    </row>
    <row r="12" spans="1:61">
      <c r="B12" s="16" t="s">
        <v>290</v>
      </c>
      <c r="C12" s="5" t="s">
        <v>308</v>
      </c>
      <c r="D12" s="14" t="s">
        <v>296</v>
      </c>
      <c r="E12" s="83" t="s">
        <v>1076</v>
      </c>
      <c r="F12" s="36"/>
      <c r="G12"/>
      <c r="H12"/>
      <c r="I12"/>
      <c r="J12"/>
      <c r="K12"/>
      <c r="L12"/>
      <c r="M12"/>
      <c r="N12"/>
      <c r="O12"/>
      <c r="P12"/>
      <c r="Q12"/>
      <c r="R12"/>
      <c r="S12"/>
      <c r="T12"/>
      <c r="U12"/>
      <c r="V12"/>
      <c r="W12"/>
      <c r="Y12" s="359">
        <v>0</v>
      </c>
      <c r="Z12" s="360">
        <v>0</v>
      </c>
      <c r="AA12" s="360">
        <v>0</v>
      </c>
      <c r="AB12" s="360">
        <v>0</v>
      </c>
      <c r="AC12" s="360">
        <v>0</v>
      </c>
      <c r="AD12" s="360">
        <v>0</v>
      </c>
      <c r="AE12" s="360">
        <v>0</v>
      </c>
      <c r="AF12" s="361">
        <v>0</v>
      </c>
      <c r="AG12" s="359">
        <v>0</v>
      </c>
      <c r="AH12" s="360">
        <v>0</v>
      </c>
      <c r="AI12" s="360">
        <v>0</v>
      </c>
      <c r="AJ12" s="360">
        <v>0</v>
      </c>
      <c r="AK12" s="360">
        <v>0</v>
      </c>
      <c r="AL12" s="360">
        <v>0</v>
      </c>
      <c r="AM12" s="360">
        <v>0</v>
      </c>
      <c r="AN12" s="361">
        <v>0</v>
      </c>
      <c r="AO12" s="359">
        <v>0</v>
      </c>
      <c r="AP12" s="360">
        <v>0</v>
      </c>
      <c r="AQ12" s="360">
        <v>0</v>
      </c>
      <c r="AR12" s="360">
        <v>0</v>
      </c>
      <c r="AS12" s="360">
        <v>0</v>
      </c>
      <c r="AT12" s="360">
        <v>0</v>
      </c>
      <c r="AU12" s="360">
        <v>0</v>
      </c>
      <c r="AV12" s="361">
        <v>0</v>
      </c>
      <c r="AW12" s="362">
        <f>IF(I12="eFuse",1,0)</f>
        <v>0</v>
      </c>
      <c r="AX12" s="363">
        <f>IF(K12="Enable",1,0)</f>
        <v>0</v>
      </c>
      <c r="AY12" s="363">
        <f>IF(M12="Enable",1,0)</f>
        <v>0</v>
      </c>
      <c r="AZ12" s="363">
        <f>IF(O12="Enable",1,0)</f>
        <v>0</v>
      </c>
      <c r="BA12" s="360">
        <v>0</v>
      </c>
      <c r="BB12" s="363">
        <f>IF(S12="Auto Boot",1,0)</f>
        <v>0</v>
      </c>
      <c r="BC12" s="363">
        <f>IF(U12="Auto Boot",1,0)</f>
        <v>0</v>
      </c>
      <c r="BD12" s="364">
        <f>IF(W12="Auto Boot",1,0)</f>
        <v>0</v>
      </c>
    </row>
    <row r="13" spans="1:61">
      <c r="B13" s="89" t="str">
        <f ca="1">IF((COUNTIF(B18:B32,"WR8")+COUNTIF(B18:B32,"WR16")+COUNTIF(B18:B32,"WR32"))&gt;0,"WR32","REMnd")</f>
        <v>WR32</v>
      </c>
      <c r="C13" s="5" t="s">
        <v>308</v>
      </c>
      <c r="D13" s="14" t="s">
        <v>296</v>
      </c>
      <c r="E13" s="100" t="str">
        <f ca="1">DEC2HEX(Y13*2^31+Z13*2^30+AA13*2^29+AB13*2^28+AC13*2^27+AD13*2^26+AE13*2^25+AF13*2^24+AG13*2^23+AH13*2^22+AI13*2^21+AJ13*2^20+AK13*2^19+AL13*2^18+AM13*2^17+AN13*2^16+AO13*2^15+AP13*2^14+AQ13*2^13+AR13*2^12+AS13*2^11+AT13*2^10+AU13*2^9+AV13*2^8+AW13*2^7+AX13*2^6+AY13*2^5+AZ13*2^4+BA13*2^3+BB13*2^2+BC13*2^1+BD13*2^0,8)</f>
        <v>00000005</v>
      </c>
      <c r="F13" s="36" t="s">
        <v>454</v>
      </c>
      <c r="G13"/>
      <c r="H13" s="188" t="s">
        <v>354</v>
      </c>
      <c r="I13" s="193" t="s">
        <v>122</v>
      </c>
      <c r="J13" s="188" t="s">
        <v>355</v>
      </c>
      <c r="K13" s="193" t="s">
        <v>37</v>
      </c>
      <c r="L13" s="188" t="s">
        <v>356</v>
      </c>
      <c r="M13" s="193" t="s">
        <v>37</v>
      </c>
      <c r="N13" s="188" t="s">
        <v>357</v>
      </c>
      <c r="O13" s="194" t="s">
        <v>37</v>
      </c>
      <c r="P13" s="192"/>
      <c r="Q13" s="189"/>
      <c r="R13" s="264" t="s">
        <v>358</v>
      </c>
      <c r="S13" s="287" t="str">
        <f>IF((COUNTIF(B38:B63,"WR8")+COUNTIF(B38:B63,"WR16")+COUNTIF(B38:B63,"WR32"))&gt;0,"No","Auto Boot")</f>
        <v>Auto Boot</v>
      </c>
      <c r="T13" s="206" t="s">
        <v>359</v>
      </c>
      <c r="U13" s="287" t="str">
        <f ca="1">IF((COUNTIF(B18:B32,"WR8")+COUNTIF(B18:B32,"WR16")+COUNTIF(B18:B32,"WR32"))&gt;0,"No","Auto Boot")</f>
        <v>No</v>
      </c>
      <c r="V13" s="205" t="s">
        <v>360</v>
      </c>
      <c r="W13" s="335" t="s">
        <v>830</v>
      </c>
      <c r="Y13" s="359">
        <v>0</v>
      </c>
      <c r="Z13" s="360">
        <v>0</v>
      </c>
      <c r="AA13" s="360">
        <v>0</v>
      </c>
      <c r="AB13" s="360">
        <v>0</v>
      </c>
      <c r="AC13" s="360">
        <v>0</v>
      </c>
      <c r="AD13" s="360">
        <v>0</v>
      </c>
      <c r="AE13" s="360">
        <v>0</v>
      </c>
      <c r="AF13" s="361">
        <v>0</v>
      </c>
      <c r="AG13" s="359">
        <v>0</v>
      </c>
      <c r="AH13" s="360">
        <v>0</v>
      </c>
      <c r="AI13" s="360">
        <v>0</v>
      </c>
      <c r="AJ13" s="360">
        <v>0</v>
      </c>
      <c r="AK13" s="360">
        <v>0</v>
      </c>
      <c r="AL13" s="360">
        <v>0</v>
      </c>
      <c r="AM13" s="360">
        <v>0</v>
      </c>
      <c r="AN13" s="361">
        <v>0</v>
      </c>
      <c r="AO13" s="359">
        <v>0</v>
      </c>
      <c r="AP13" s="360">
        <v>0</v>
      </c>
      <c r="AQ13" s="360">
        <v>0</v>
      </c>
      <c r="AR13" s="360">
        <v>0</v>
      </c>
      <c r="AS13" s="360">
        <v>0</v>
      </c>
      <c r="AT13" s="360">
        <v>0</v>
      </c>
      <c r="AU13" s="360">
        <v>0</v>
      </c>
      <c r="AV13" s="361">
        <v>0</v>
      </c>
      <c r="AW13" s="362">
        <f>IF(I13="eFuse",1,0)</f>
        <v>0</v>
      </c>
      <c r="AX13" s="363">
        <f>IF(K13="Enable",1,0)</f>
        <v>0</v>
      </c>
      <c r="AY13" s="363">
        <f>IF(M13="Enable",1,0)</f>
        <v>0</v>
      </c>
      <c r="AZ13" s="363">
        <f>IF(O13="Enable",1,0)</f>
        <v>0</v>
      </c>
      <c r="BA13" s="360">
        <v>0</v>
      </c>
      <c r="BB13" s="363">
        <f>IF(S13="Auto Boot",1,0)</f>
        <v>1</v>
      </c>
      <c r="BC13" s="363">
        <f ca="1">IF(U13="Auto Boot",1,0)</f>
        <v>0</v>
      </c>
      <c r="BD13" s="364">
        <f>IF(W13="Auto Boot",1,0)</f>
        <v>1</v>
      </c>
    </row>
    <row r="14" spans="1:61">
      <c r="B14" s="89" t="str">
        <f ca="1">IF((COUNTIF(B18:B32,"WR8")+COUNTIF(B18:B32,"WR16")+COUNTIF(B18:B32,"WR32"))&gt;0,"delay","REMnd")</f>
        <v>delay</v>
      </c>
      <c r="C14" s="5"/>
      <c r="D14" s="14">
        <v>1000</v>
      </c>
      <c r="E14" s="207"/>
      <c r="F14" s="36" t="s">
        <v>446</v>
      </c>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61">
      <c r="B15" s="89" t="str">
        <f ca="1">IF((COUNTIF(B18:B32,"WR8")+COUNTIF(B18:B32,"WR16")+COUNTIF(B18:B32,"WR32"))&gt;0,"RD32","REMnd")</f>
        <v>RD32</v>
      </c>
      <c r="C15" s="5" t="s">
        <v>309</v>
      </c>
      <c r="D15" s="14" t="s">
        <v>297</v>
      </c>
      <c r="E15" s="294" t="str">
        <f ca="1">DEC2HEX(Y15*2^31+Z15*2^30+AA15*2^29+AB15*2^28+AC15*2^27+AD15*2^26+AE15*2^25+AF15*2^24+AG15*2^23+AH15*2^22+AI15*2^21+AJ15*2^20+AK15*2^19+AL15*2^18+AM15*2^17+AN15*2^16+AO15*2^15+AP15*2^14+AQ15*2^13+AR15*2^12+AS15*2^11+AT15*2^10+AU15*2^9+AV15*2^8+AW15*2^7+AX15*2^6+AY15*2^5+AZ15*2^4+BA15*2^3+BB15*2^2+BC15*2^1+BD15*2^0,8)</f>
        <v>00000002</v>
      </c>
      <c r="F15" s="36" t="s">
        <v>380</v>
      </c>
      <c r="G15"/>
      <c r="H15"/>
      <c r="I15"/>
      <c r="J15"/>
      <c r="K15"/>
      <c r="L15"/>
      <c r="M15"/>
      <c r="N15"/>
      <c r="O15"/>
      <c r="P15"/>
      <c r="Q15"/>
      <c r="R15"/>
      <c r="S15"/>
      <c r="T15"/>
      <c r="U15"/>
      <c r="V15"/>
      <c r="W15"/>
      <c r="X15"/>
      <c r="Y15" s="359">
        <v>0</v>
      </c>
      <c r="Z15" s="360">
        <v>0</v>
      </c>
      <c r="AA15" s="360">
        <v>0</v>
      </c>
      <c r="AB15" s="360">
        <v>0</v>
      </c>
      <c r="AC15" s="360">
        <v>0</v>
      </c>
      <c r="AD15" s="360">
        <v>0</v>
      </c>
      <c r="AE15" s="360">
        <v>0</v>
      </c>
      <c r="AF15" s="361">
        <v>0</v>
      </c>
      <c r="AG15" s="359">
        <v>0</v>
      </c>
      <c r="AH15" s="360">
        <v>0</v>
      </c>
      <c r="AI15" s="360">
        <v>0</v>
      </c>
      <c r="AJ15" s="360">
        <v>0</v>
      </c>
      <c r="AK15" s="360">
        <v>0</v>
      </c>
      <c r="AL15" s="360">
        <v>0</v>
      </c>
      <c r="AM15" s="360">
        <v>0</v>
      </c>
      <c r="AN15" s="361">
        <v>0</v>
      </c>
      <c r="AO15" s="359">
        <v>0</v>
      </c>
      <c r="AP15" s="360">
        <v>0</v>
      </c>
      <c r="AQ15" s="360">
        <v>0</v>
      </c>
      <c r="AR15" s="360">
        <v>0</v>
      </c>
      <c r="AS15" s="360">
        <v>0</v>
      </c>
      <c r="AT15" s="360">
        <v>0</v>
      </c>
      <c r="AU15" s="360">
        <v>0</v>
      </c>
      <c r="AV15" s="361">
        <v>0</v>
      </c>
      <c r="AW15" s="359">
        <v>0</v>
      </c>
      <c r="AX15" s="360">
        <v>0</v>
      </c>
      <c r="AY15" s="360">
        <v>0</v>
      </c>
      <c r="AZ15" s="360">
        <v>0</v>
      </c>
      <c r="BA15" s="360">
        <v>0</v>
      </c>
      <c r="BB15" s="365">
        <f ca="1">IF(AND(BD13=1,BC13=1),1,0)</f>
        <v>0</v>
      </c>
      <c r="BC15" s="365">
        <f>IF(BD13=1,1,0)</f>
        <v>1</v>
      </c>
      <c r="BD15" s="366">
        <f ca="1">IF(AND(BB13=1,BC13=1,BD13=1),1,0)</f>
        <v>0</v>
      </c>
      <c r="BE15"/>
      <c r="BF15"/>
      <c r="BG15"/>
      <c r="BH15"/>
      <c r="BI15"/>
    </row>
    <row r="16" spans="1:61">
      <c r="B16" s="432" t="str">
        <f ca="1">IF((COUNTIF(B18:B32,"WR8")+COUNTIF(B18:B32,"WR16")+COUNTIF(B18:B32,"WR32"))&gt;0,"CHECK","REMnd")</f>
        <v>CHECK</v>
      </c>
      <c r="C16" s="235" t="s">
        <v>931</v>
      </c>
      <c r="D16" s="236"/>
      <c r="E16" s="237"/>
      <c r="F16" s="235" t="s">
        <v>930</v>
      </c>
      <c r="G16"/>
      <c r="H16"/>
      <c r="I16" s="2"/>
    </row>
    <row r="17" spans="2:9">
      <c r="B17" s="80" t="str">
        <f>IF(Main_Parameters!$C$37=26,"REM","REMnd")</f>
        <v>REMnd</v>
      </c>
      <c r="C17" s="82" t="s">
        <v>1167</v>
      </c>
      <c r="D17" s="80"/>
      <c r="E17" s="101"/>
      <c r="F17" s="92"/>
      <c r="G17"/>
      <c r="H17"/>
      <c r="I17" s="2"/>
    </row>
    <row r="18" spans="2:9">
      <c r="B18" s="89" t="str">
        <f>IF(Main_Parameters!$C$37=26,"WR8","REMnd")</f>
        <v>REMnd</v>
      </c>
      <c r="C18" s="333" t="s">
        <v>1168</v>
      </c>
      <c r="D18" s="334" t="s">
        <v>1169</v>
      </c>
      <c r="E18" s="83" t="s">
        <v>1170</v>
      </c>
      <c r="F18" s="135"/>
      <c r="G18"/>
      <c r="H18"/>
      <c r="I18" s="2"/>
    </row>
    <row r="19" spans="2:9">
      <c r="B19" s="89" t="str">
        <f>IF(Main_Parameters!$C$37=26,"WR16","REMnd")</f>
        <v>REMnd</v>
      </c>
      <c r="C19" s="333" t="s">
        <v>1171</v>
      </c>
      <c r="D19" s="334" t="s">
        <v>1173</v>
      </c>
      <c r="E19" s="83" t="s">
        <v>1174</v>
      </c>
      <c r="F19" s="135"/>
      <c r="G19"/>
      <c r="H19"/>
      <c r="I19" s="2"/>
    </row>
    <row r="20" spans="2:9">
      <c r="B20" s="89" t="str">
        <f>IF(Main_Parameters!$C$37=26,"WR32","REMnd")</f>
        <v>REMnd</v>
      </c>
      <c r="C20" s="333" t="s">
        <v>1172</v>
      </c>
      <c r="D20" s="334" t="s">
        <v>1175</v>
      </c>
      <c r="E20" s="83" t="s">
        <v>1176</v>
      </c>
      <c r="F20" s="135"/>
      <c r="G20"/>
      <c r="H20"/>
      <c r="I20" s="2"/>
    </row>
    <row r="21" spans="2:9">
      <c r="B21" s="80" t="str">
        <f>IF(OR(Main_Parameters!$C$23&lt;&gt;"Preset",Main_Parameters!$C$37=26),"REM","REMnd")</f>
        <v>REM</v>
      </c>
      <c r="C21" s="82" t="s">
        <v>1177</v>
      </c>
      <c r="D21" s="80"/>
      <c r="E21" s="101"/>
      <c r="F21" s="92"/>
      <c r="G21"/>
      <c r="H21"/>
      <c r="I21" s="2"/>
    </row>
    <row r="22" spans="2:9">
      <c r="B22" s="89" t="str">
        <f>IF(OR(Main_Parameters!$C$23&lt;&gt;"Preset",Main_Parameters!$C$37=26),"WR8","REMnd")</f>
        <v>WR8</v>
      </c>
      <c r="C22" s="333" t="s">
        <v>841</v>
      </c>
      <c r="D22" s="334" t="s">
        <v>836</v>
      </c>
      <c r="E22" s="100" t="str">
        <f ca="1">Main_Parameters!$C$260</f>
        <v>0A</v>
      </c>
      <c r="F22" s="135"/>
      <c r="G22"/>
      <c r="H22"/>
      <c r="I22" s="2"/>
    </row>
    <row r="23" spans="2:9">
      <c r="B23" s="89" t="str">
        <f>IF(OR(Main_Parameters!$C$23&lt;&gt;"Preset",Main_Parameters!$C$37=26),"WR8","REMnd")</f>
        <v>WR8</v>
      </c>
      <c r="C23" s="333" t="s">
        <v>842</v>
      </c>
      <c r="D23" s="334" t="s">
        <v>837</v>
      </c>
      <c r="E23" s="100" t="str">
        <f ca="1">Main_Parameters!$C$261</f>
        <v>03</v>
      </c>
      <c r="F23" s="135"/>
      <c r="G23"/>
      <c r="H23"/>
      <c r="I23" s="2"/>
    </row>
    <row r="24" spans="2:9">
      <c r="B24" s="89" t="str">
        <f>IF(OR(Main_Parameters!$C$23&lt;&gt;"Preset",Main_Parameters!$C$37=26),"WR8","REMnd")</f>
        <v>WR8</v>
      </c>
      <c r="C24" s="333" t="s">
        <v>843</v>
      </c>
      <c r="D24" s="334" t="s">
        <v>838</v>
      </c>
      <c r="E24" s="100" t="str">
        <f ca="1">Main_Parameters!$C$262</f>
        <v>16</v>
      </c>
      <c r="F24" s="135"/>
      <c r="G24"/>
      <c r="H24"/>
      <c r="I24" s="2"/>
    </row>
    <row r="25" spans="2:9">
      <c r="B25" s="89" t="str">
        <f>IF(OR(Main_Parameters!$C$23&lt;&gt;"Preset",Main_Parameters!$C$37=26),"WR8","REMnd")</f>
        <v>WR8</v>
      </c>
      <c r="C25" s="333" t="s">
        <v>844</v>
      </c>
      <c r="D25" s="334" t="s">
        <v>839</v>
      </c>
      <c r="E25" s="100" t="str">
        <f ca="1">Main_Parameters!$C$263</f>
        <v>00</v>
      </c>
      <c r="F25" s="135"/>
      <c r="G25"/>
      <c r="H25"/>
      <c r="I25" s="2"/>
    </row>
    <row r="26" spans="2:9">
      <c r="B26" s="89" t="str">
        <f>IF(OR(Main_Parameters!$C$23&lt;&gt;"Preset",Main_Parameters!$C$37=26),"WR8","REMnd")</f>
        <v>WR8</v>
      </c>
      <c r="C26" s="333" t="s">
        <v>845</v>
      </c>
      <c r="D26" s="334" t="s">
        <v>839</v>
      </c>
      <c r="E26" s="100" t="str">
        <f ca="1">Main_Parameters!$C$264</f>
        <v>21</v>
      </c>
      <c r="F26" s="135"/>
      <c r="G26"/>
      <c r="H26"/>
      <c r="I26" s="2"/>
    </row>
    <row r="27" spans="2:9">
      <c r="B27" s="89" t="str">
        <f>IF(OR(Main_Parameters!$C$23&lt;&gt;"Preset",Main_Parameters!$C$37=26),"WR8","REMnd")</f>
        <v>WR8</v>
      </c>
      <c r="C27" s="333" t="s">
        <v>846</v>
      </c>
      <c r="D27" s="334" t="s">
        <v>840</v>
      </c>
      <c r="E27" s="100" t="str">
        <f ca="1">Main_Parameters!$C$265</f>
        <v>07</v>
      </c>
      <c r="F27" s="135"/>
      <c r="G27"/>
      <c r="H27"/>
      <c r="I27" s="2"/>
    </row>
    <row r="28" spans="2:9">
      <c r="B28" s="80" t="str">
        <f ca="1">IF(OR(Main_Parameters!$BA$40="Original",Main_Parameters!$C$37=26),"REM","REMnd")</f>
        <v>REM</v>
      </c>
      <c r="C28" s="82" t="s">
        <v>1178</v>
      </c>
      <c r="D28" s="80"/>
      <c r="E28" s="101"/>
      <c r="F28" s="92"/>
      <c r="G28"/>
      <c r="H28"/>
      <c r="I28" s="2"/>
    </row>
    <row r="29" spans="2:9">
      <c r="B29" s="89" t="str">
        <f ca="1">IF(OR(Main_Parameters!$BA$40="Original",Main_Parameters!$C$37=26),"WR32","REMnd")</f>
        <v>WR32</v>
      </c>
      <c r="C29" s="333" t="s">
        <v>849</v>
      </c>
      <c r="D29" s="334" t="s">
        <v>852</v>
      </c>
      <c r="E29" s="100" t="str">
        <f ca="1">Main_Parameters!$C$275</f>
        <v>00002624</v>
      </c>
      <c r="F29" s="135"/>
      <c r="G29"/>
      <c r="H29"/>
      <c r="I29" s="2"/>
    </row>
    <row r="30" spans="2:9">
      <c r="B30" s="89" t="str">
        <f ca="1">IF(OR(Main_Parameters!$BA$40="Original",Main_Parameters!$C$37=26),"WR32","REMnd")</f>
        <v>WR32</v>
      </c>
      <c r="C30" s="333" t="s">
        <v>850</v>
      </c>
      <c r="D30" s="334" t="s">
        <v>999</v>
      </c>
      <c r="E30" s="100" t="str">
        <f ca="1">Main_Parameters!$C$281</f>
        <v>00000A01</v>
      </c>
      <c r="F30" s="135"/>
      <c r="G30"/>
      <c r="H30"/>
      <c r="I30" s="2"/>
    </row>
    <row r="31" spans="2:9">
      <c r="B31" s="89" t="str">
        <f ca="1">IF(OR(Main_Parameters!$BA$40="Original",Main_Parameters!$C$37=26),"WR32","REMnd")</f>
        <v>WR32</v>
      </c>
      <c r="C31" s="333" t="s">
        <v>851</v>
      </c>
      <c r="D31" s="334" t="s">
        <v>1000</v>
      </c>
      <c r="E31" s="100" t="str">
        <f>Main_Parameters!$C$285</f>
        <v>00000030</v>
      </c>
      <c r="F31" s="135"/>
      <c r="G31"/>
      <c r="H31"/>
      <c r="I31" s="2"/>
    </row>
    <row r="32" spans="2:9">
      <c r="B32" s="89" t="str">
        <f>IF(Main_Parameters!$C$37=26,"WR32","REMnd")</f>
        <v>REMnd</v>
      </c>
      <c r="C32" s="333" t="s">
        <v>1252</v>
      </c>
      <c r="D32" s="334" t="s">
        <v>1253</v>
      </c>
      <c r="E32" s="83" t="s">
        <v>1254</v>
      </c>
      <c r="F32" s="135"/>
      <c r="G32"/>
      <c r="H32"/>
      <c r="I32" s="2"/>
    </row>
    <row r="33" spans="2:61">
      <c r="B33" s="89" t="str">
        <f>IF((COUNTIF(B38:B63,"WR8")+COUNTIF(B38:B63,"WR16")+COUNTIF(B38:B63,"WR32"))&gt;0,"WR32","REMnd")</f>
        <v>REMnd</v>
      </c>
      <c r="C33" s="5" t="s">
        <v>308</v>
      </c>
      <c r="D33" s="14" t="s">
        <v>296</v>
      </c>
      <c r="E33" s="100" t="str">
        <f>DEC2HEX(Y33*2^31+Z33*2^30+AA33*2^29+AB33*2^28+AC33*2^27+AD33*2^26+AE33*2^25+AF33*2^24+AG33*2^23+AH33*2^22+AI33*2^21+AJ33*2^20+AK33*2^19+AL33*2^18+AM33*2^17+AN33*2^16+AO33*2^15+AP33*2^14+AQ33*2^13+AR33*2^12+AS33*2^11+AT33*2^10+AU33*2^9+AV33*2^8+AW33*2^7+AX33*2^6+AY33*2^5+AZ33*2^4+BA33*2^3+BB33*2^2+BC33*2^1+BD33*2^0,8)</f>
        <v>00000007</v>
      </c>
      <c r="F33" s="36" t="s">
        <v>454</v>
      </c>
      <c r="G33"/>
      <c r="H33" s="188" t="s">
        <v>354</v>
      </c>
      <c r="I33" s="335" t="s">
        <v>831</v>
      </c>
      <c r="J33" s="188" t="s">
        <v>355</v>
      </c>
      <c r="K33" s="335" t="s">
        <v>848</v>
      </c>
      <c r="L33" s="188" t="s">
        <v>356</v>
      </c>
      <c r="M33" s="335" t="s">
        <v>848</v>
      </c>
      <c r="N33" s="188" t="s">
        <v>357</v>
      </c>
      <c r="O33" s="335" t="s">
        <v>848</v>
      </c>
      <c r="P33" s="192"/>
      <c r="Q33" s="189"/>
      <c r="R33" s="264" t="s">
        <v>358</v>
      </c>
      <c r="S33" s="89" t="str">
        <f>IF((COUNTIF(B38:B63,"WR8")+COUNTIF(B38:B63,"WR16")+COUNTIF(B38:B63,"WR32"))&gt;0,"No","Auto Boot")</f>
        <v>Auto Boot</v>
      </c>
      <c r="T33" s="206" t="s">
        <v>359</v>
      </c>
      <c r="U33" s="335" t="s">
        <v>830</v>
      </c>
      <c r="V33" s="205" t="s">
        <v>360</v>
      </c>
      <c r="W33" s="335" t="s">
        <v>830</v>
      </c>
      <c r="Y33" s="359">
        <v>0</v>
      </c>
      <c r="Z33" s="360">
        <v>0</v>
      </c>
      <c r="AA33" s="360">
        <v>0</v>
      </c>
      <c r="AB33" s="360">
        <v>0</v>
      </c>
      <c r="AC33" s="360">
        <v>0</v>
      </c>
      <c r="AD33" s="360">
        <v>0</v>
      </c>
      <c r="AE33" s="360">
        <v>0</v>
      </c>
      <c r="AF33" s="361">
        <v>0</v>
      </c>
      <c r="AG33" s="359">
        <v>0</v>
      </c>
      <c r="AH33" s="360">
        <v>0</v>
      </c>
      <c r="AI33" s="360">
        <v>0</v>
      </c>
      <c r="AJ33" s="360">
        <v>0</v>
      </c>
      <c r="AK33" s="360">
        <v>0</v>
      </c>
      <c r="AL33" s="360">
        <v>0</v>
      </c>
      <c r="AM33" s="360">
        <v>0</v>
      </c>
      <c r="AN33" s="361">
        <v>0</v>
      </c>
      <c r="AO33" s="359">
        <v>0</v>
      </c>
      <c r="AP33" s="360">
        <v>0</v>
      </c>
      <c r="AQ33" s="360">
        <v>0</v>
      </c>
      <c r="AR33" s="360">
        <v>0</v>
      </c>
      <c r="AS33" s="360">
        <v>0</v>
      </c>
      <c r="AT33" s="360">
        <v>0</v>
      </c>
      <c r="AU33" s="360">
        <v>0</v>
      </c>
      <c r="AV33" s="361">
        <v>0</v>
      </c>
      <c r="AW33" s="362">
        <f>IF(I33="eFuse",1,0)</f>
        <v>0</v>
      </c>
      <c r="AX33" s="363">
        <f>IF(K33="Enable",1,0)</f>
        <v>0</v>
      </c>
      <c r="AY33" s="363">
        <f>IF(M33="Enable",1,0)</f>
        <v>0</v>
      </c>
      <c r="AZ33" s="363">
        <f>IF(O33="Enable",1,0)</f>
        <v>0</v>
      </c>
      <c r="BA33" s="360">
        <v>0</v>
      </c>
      <c r="BB33" s="363">
        <f>IF(S33="Auto Boot",1,0)</f>
        <v>1</v>
      </c>
      <c r="BC33" s="363">
        <f>IF(U33="Auto Boot",1,0)</f>
        <v>1</v>
      </c>
      <c r="BD33" s="364">
        <f>IF(W33="Auto Boot",1,0)</f>
        <v>1</v>
      </c>
    </row>
    <row r="34" spans="2:61">
      <c r="B34" s="89" t="str">
        <f>IF((COUNTIF(B38:B63,"WR8")+COUNTIF(B38:B63,"WR16")+COUNTIF(B38:B63,"WR32"))&gt;0,"delay","REMnd")</f>
        <v>REMnd</v>
      </c>
      <c r="C34" s="5"/>
      <c r="D34" s="14">
        <v>1000</v>
      </c>
      <c r="E34" s="207"/>
      <c r="F34" s="36" t="s">
        <v>446</v>
      </c>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61">
      <c r="B35" s="89" t="str">
        <f>IF((COUNTIF(B38:B63,"WR8")+COUNTIF(B38:B63,"WR16")+COUNTIF(B38:B63,"WR32"))&gt;0,"RD32","REMnd")</f>
        <v>REMnd</v>
      </c>
      <c r="C35" s="5" t="s">
        <v>309</v>
      </c>
      <c r="D35" s="14" t="s">
        <v>297</v>
      </c>
      <c r="E35" s="294" t="str">
        <f>DEC2HEX(Y35*2^31+Z35*2^30+AA35*2^29+AB35*2^28+AC35*2^27+AD35*2^26+AE35*2^25+AF35*2^24+AG35*2^23+AH35*2^22+AI35*2^21+AJ35*2^20+AK35*2^19+AL35*2^18+AM35*2^17+AN35*2^16+AO35*2^15+AP35*2^14+AQ35*2^13+AR35*2^12+AS35*2^11+AT35*2^10+AU35*2^9+AV35*2^8+AW35*2^7+AX35*2^6+AY35*2^5+AZ35*2^4+BA35*2^3+BB35*2^2+BC35*2^1+BD35*2^0,8)</f>
        <v>00000007</v>
      </c>
      <c r="F35" s="36" t="s">
        <v>380</v>
      </c>
      <c r="G35"/>
      <c r="H35"/>
      <c r="I35"/>
      <c r="J35"/>
      <c r="K35"/>
      <c r="L35"/>
      <c r="M35"/>
      <c r="N35"/>
      <c r="O35"/>
      <c r="P35"/>
      <c r="Q35"/>
      <c r="R35"/>
      <c r="S35"/>
      <c r="T35"/>
      <c r="U35"/>
      <c r="V35"/>
      <c r="W35"/>
      <c r="X35"/>
      <c r="Y35" s="359">
        <v>0</v>
      </c>
      <c r="Z35" s="360">
        <v>0</v>
      </c>
      <c r="AA35" s="360">
        <v>0</v>
      </c>
      <c r="AB35" s="360">
        <v>0</v>
      </c>
      <c r="AC35" s="360">
        <v>0</v>
      </c>
      <c r="AD35" s="360">
        <v>0</v>
      </c>
      <c r="AE35" s="360">
        <v>0</v>
      </c>
      <c r="AF35" s="361">
        <v>0</v>
      </c>
      <c r="AG35" s="359">
        <v>0</v>
      </c>
      <c r="AH35" s="360">
        <v>0</v>
      </c>
      <c r="AI35" s="360">
        <v>0</v>
      </c>
      <c r="AJ35" s="360">
        <v>0</v>
      </c>
      <c r="AK35" s="360">
        <v>0</v>
      </c>
      <c r="AL35" s="360">
        <v>0</v>
      </c>
      <c r="AM35" s="360">
        <v>0</v>
      </c>
      <c r="AN35" s="361">
        <v>0</v>
      </c>
      <c r="AO35" s="359">
        <v>0</v>
      </c>
      <c r="AP35" s="360">
        <v>0</v>
      </c>
      <c r="AQ35" s="360">
        <v>0</v>
      </c>
      <c r="AR35" s="360">
        <v>0</v>
      </c>
      <c r="AS35" s="360">
        <v>0</v>
      </c>
      <c r="AT35" s="360">
        <v>0</v>
      </c>
      <c r="AU35" s="360">
        <v>0</v>
      </c>
      <c r="AV35" s="361">
        <v>0</v>
      </c>
      <c r="AW35" s="359">
        <v>0</v>
      </c>
      <c r="AX35" s="360">
        <v>0</v>
      </c>
      <c r="AY35" s="360">
        <v>0</v>
      </c>
      <c r="AZ35" s="360">
        <v>0</v>
      </c>
      <c r="BA35" s="360">
        <v>0</v>
      </c>
      <c r="BB35" s="365">
        <f>IF(AND(BD33=1,BC33=1),1,0)</f>
        <v>1</v>
      </c>
      <c r="BC35" s="365">
        <f>IF(BD33=1,1,0)</f>
        <v>1</v>
      </c>
      <c r="BD35" s="366">
        <f>IF(AND(BB33=1,BC33=1,BD33=1),1,0)</f>
        <v>1</v>
      </c>
      <c r="BE35"/>
      <c r="BF35"/>
      <c r="BG35"/>
      <c r="BH35"/>
      <c r="BI35"/>
    </row>
    <row r="36" spans="2:61">
      <c r="B36" s="354" t="str">
        <f>IF((COUNTIF(B38:B63,"WR8")+COUNTIF(B38:B63,"WR16")+COUNTIF(B38:B63,"WR32"))&gt;0,"CHECK","REMnd")</f>
        <v>REMnd</v>
      </c>
      <c r="C36" s="235" t="s">
        <v>931</v>
      </c>
      <c r="D36" s="236"/>
      <c r="E36" s="237"/>
      <c r="F36" s="235" t="s">
        <v>930</v>
      </c>
      <c r="G36"/>
      <c r="H36"/>
      <c r="I36" s="2"/>
    </row>
    <row r="37" spans="2:61">
      <c r="B37" s="80" t="str">
        <f>IF(Main_Parameters!$C$37=27,"REMnd","REM")</f>
        <v>REMnd</v>
      </c>
      <c r="C37" s="82" t="s">
        <v>416</v>
      </c>
      <c r="D37" s="80"/>
      <c r="E37" s="101"/>
      <c r="F37" s="92"/>
      <c r="G37"/>
      <c r="H37"/>
      <c r="I37"/>
      <c r="J37"/>
      <c r="K37"/>
      <c r="L37"/>
      <c r="M37"/>
      <c r="N37"/>
      <c r="O37"/>
      <c r="P37"/>
      <c r="Q37"/>
      <c r="R37"/>
      <c r="S37"/>
      <c r="T37"/>
      <c r="U37"/>
      <c r="V37"/>
      <c r="W37"/>
      <c r="X37" s="222"/>
    </row>
    <row r="38" spans="2:61">
      <c r="B38" s="89" t="str">
        <f>IF(Main_Parameters!$C$37=27,"REMnd","WR8")</f>
        <v>REMnd</v>
      </c>
      <c r="C38" s="5" t="s">
        <v>312</v>
      </c>
      <c r="D38" s="14" t="s">
        <v>301</v>
      </c>
      <c r="E38" s="83" t="s">
        <v>379</v>
      </c>
      <c r="F38" s="36" t="s">
        <v>589</v>
      </c>
      <c r="G38"/>
      <c r="H38"/>
      <c r="I38" s="2"/>
    </row>
    <row r="39" spans="2:61">
      <c r="B39" s="89" t="str">
        <f>IF(Main_Parameters!$C$37=26,"WR8","REMnd")</f>
        <v>REMnd</v>
      </c>
      <c r="C39" s="5" t="s">
        <v>1179</v>
      </c>
      <c r="D39" s="14" t="s">
        <v>1180</v>
      </c>
      <c r="E39" s="83" t="s">
        <v>1229</v>
      </c>
      <c r="F39" s="36"/>
      <c r="G39"/>
      <c r="H39"/>
      <c r="I39" s="2"/>
    </row>
    <row r="40" spans="2:61">
      <c r="B40" s="89" t="str">
        <f>IF(Main_Parameters!$C$37=26,"WR8","REMnd")</f>
        <v>REMnd</v>
      </c>
      <c r="C40" s="5" t="s">
        <v>1183</v>
      </c>
      <c r="D40" s="14" t="s">
        <v>1181</v>
      </c>
      <c r="E40" s="83" t="s">
        <v>1230</v>
      </c>
      <c r="F40" s="36"/>
      <c r="G40"/>
      <c r="H40"/>
      <c r="I40" s="2"/>
    </row>
    <row r="41" spans="2:61">
      <c r="B41" s="89" t="str">
        <f>IF(Main_Parameters!$C$37=26,"WR8","REMnd")</f>
        <v>REMnd</v>
      </c>
      <c r="C41" s="5" t="s">
        <v>1184</v>
      </c>
      <c r="D41" s="14" t="s">
        <v>1182</v>
      </c>
      <c r="E41" s="83" t="s">
        <v>1231</v>
      </c>
      <c r="F41" s="36"/>
      <c r="G41"/>
      <c r="H41"/>
      <c r="I41" s="2"/>
    </row>
    <row r="42" spans="2:61">
      <c r="B42" s="89" t="str">
        <f>IF(Main_Parameters!$C$37=26,"WR8","REMnd")</f>
        <v>REMnd</v>
      </c>
      <c r="C42" s="5" t="s">
        <v>1185</v>
      </c>
      <c r="D42" s="14" t="s">
        <v>1188</v>
      </c>
      <c r="E42" s="83" t="s">
        <v>1232</v>
      </c>
      <c r="F42" s="36"/>
      <c r="G42"/>
      <c r="H42"/>
      <c r="I42" s="2"/>
    </row>
    <row r="43" spans="2:61">
      <c r="B43" s="89" t="str">
        <f>IF(Main_Parameters!$C$37=26,"WR8","REMnd")</f>
        <v>REMnd</v>
      </c>
      <c r="C43" s="5" t="s">
        <v>1186</v>
      </c>
      <c r="D43" s="14" t="s">
        <v>1189</v>
      </c>
      <c r="E43" s="83" t="s">
        <v>1233</v>
      </c>
      <c r="F43" s="36"/>
      <c r="G43"/>
      <c r="H43"/>
      <c r="I43" s="2"/>
    </row>
    <row r="44" spans="2:61">
      <c r="B44" s="89" t="str">
        <f>IF(Main_Parameters!$C$37=26,"WR8","REMnd")</f>
        <v>REMnd</v>
      </c>
      <c r="C44" s="5" t="s">
        <v>1187</v>
      </c>
      <c r="D44" s="14" t="s">
        <v>1190</v>
      </c>
      <c r="E44" s="83" t="s">
        <v>1234</v>
      </c>
      <c r="F44" s="36"/>
      <c r="G44"/>
      <c r="H44"/>
      <c r="I44" s="2"/>
    </row>
    <row r="45" spans="2:61">
      <c r="B45" s="89" t="str">
        <f>IF(Main_Parameters!$C$37=26,"WR8","REMnd")</f>
        <v>REMnd</v>
      </c>
      <c r="C45" s="5" t="s">
        <v>1194</v>
      </c>
      <c r="D45" s="14" t="s">
        <v>1191</v>
      </c>
      <c r="E45" s="83" t="s">
        <v>1235</v>
      </c>
      <c r="F45" s="36"/>
      <c r="G45"/>
      <c r="H45"/>
      <c r="I45" s="2"/>
    </row>
    <row r="46" spans="2:61">
      <c r="B46" s="89" t="str">
        <f>IF(Main_Parameters!$C$37=26,"WR8","REMnd")</f>
        <v>REMnd</v>
      </c>
      <c r="C46" s="5" t="s">
        <v>1195</v>
      </c>
      <c r="D46" s="14" t="s">
        <v>1192</v>
      </c>
      <c r="E46" s="83" t="s">
        <v>1236</v>
      </c>
      <c r="F46" s="36"/>
      <c r="G46"/>
      <c r="H46"/>
      <c r="I46" s="2"/>
    </row>
    <row r="47" spans="2:61">
      <c r="B47" s="89" t="str">
        <f>IF(Main_Parameters!$C$37=26,"WR8","REMnd")</f>
        <v>REMnd</v>
      </c>
      <c r="C47" s="5" t="s">
        <v>1196</v>
      </c>
      <c r="D47" s="14" t="s">
        <v>1193</v>
      </c>
      <c r="E47" s="83" t="s">
        <v>1237</v>
      </c>
      <c r="F47" s="36"/>
      <c r="G47"/>
      <c r="H47"/>
      <c r="I47" s="2"/>
    </row>
    <row r="48" spans="2:61">
      <c r="B48" s="89" t="str">
        <f>IF(Main_Parameters!$C$37=26,"WR8","REMnd")</f>
        <v>REMnd</v>
      </c>
      <c r="C48" s="5" t="s">
        <v>1197</v>
      </c>
      <c r="D48" s="14" t="s">
        <v>1200</v>
      </c>
      <c r="E48" s="83" t="s">
        <v>1238</v>
      </c>
      <c r="F48" s="36"/>
      <c r="G48"/>
      <c r="H48"/>
      <c r="I48" s="2"/>
    </row>
    <row r="49" spans="2:56">
      <c r="B49" s="89" t="str">
        <f>IF(Main_Parameters!$C$37=26,"WR8","REMnd")</f>
        <v>REMnd</v>
      </c>
      <c r="C49" s="5" t="s">
        <v>1198</v>
      </c>
      <c r="D49" s="14" t="s">
        <v>1201</v>
      </c>
      <c r="E49" s="83" t="s">
        <v>1239</v>
      </c>
      <c r="F49" s="36"/>
      <c r="G49"/>
      <c r="H49"/>
      <c r="I49" s="2"/>
    </row>
    <row r="50" spans="2:56">
      <c r="B50" s="89" t="str">
        <f>IF(Main_Parameters!$C$37=26,"WR8","REMnd")</f>
        <v>REMnd</v>
      </c>
      <c r="C50" s="5" t="s">
        <v>1199</v>
      </c>
      <c r="D50" s="14" t="s">
        <v>1202</v>
      </c>
      <c r="E50" s="83" t="s">
        <v>1240</v>
      </c>
      <c r="F50" s="36"/>
      <c r="G50"/>
      <c r="H50"/>
      <c r="I50" s="2"/>
    </row>
    <row r="51" spans="2:56">
      <c r="B51" s="89" t="str">
        <f>IF(Main_Parameters!$C$37=26,"WR8","REMnd")</f>
        <v>REMnd</v>
      </c>
      <c r="C51" s="5" t="s">
        <v>1206</v>
      </c>
      <c r="D51" s="14" t="s">
        <v>1203</v>
      </c>
      <c r="E51" s="83" t="s">
        <v>1241</v>
      </c>
      <c r="F51" s="36"/>
      <c r="G51"/>
      <c r="H51"/>
      <c r="I51" s="2"/>
    </row>
    <row r="52" spans="2:56">
      <c r="B52" s="89" t="str">
        <f>IF(Main_Parameters!$C$37=26,"WR8","REMnd")</f>
        <v>REMnd</v>
      </c>
      <c r="C52" s="5" t="s">
        <v>1207</v>
      </c>
      <c r="D52" s="14" t="s">
        <v>1204</v>
      </c>
      <c r="E52" s="83" t="s">
        <v>1242</v>
      </c>
      <c r="F52" s="36"/>
      <c r="G52"/>
      <c r="H52"/>
      <c r="I52" s="2"/>
    </row>
    <row r="53" spans="2:56">
      <c r="B53" s="89" t="str">
        <f>IF(Main_Parameters!$C$37=26,"WR8","REMnd")</f>
        <v>REMnd</v>
      </c>
      <c r="C53" s="5" t="s">
        <v>1208</v>
      </c>
      <c r="D53" s="14" t="s">
        <v>1205</v>
      </c>
      <c r="E53" s="83" t="s">
        <v>1243</v>
      </c>
      <c r="F53" s="36"/>
      <c r="G53"/>
      <c r="H53"/>
      <c r="I53" s="2"/>
    </row>
    <row r="54" spans="2:56">
      <c r="B54" s="89" t="str">
        <f>IF(Main_Parameters!$C$37=26,"WR8","REMnd")</f>
        <v>REMnd</v>
      </c>
      <c r="C54" s="5" t="s">
        <v>1211</v>
      </c>
      <c r="D54" s="14" t="s">
        <v>1209</v>
      </c>
      <c r="E54" s="83" t="s">
        <v>1244</v>
      </c>
      <c r="F54" s="36"/>
      <c r="G54"/>
      <c r="H54"/>
      <c r="I54" s="2"/>
    </row>
    <row r="55" spans="2:56">
      <c r="B55" s="89" t="str">
        <f>IF(Main_Parameters!$C$37=26,"WR8","REMnd")</f>
        <v>REMnd</v>
      </c>
      <c r="C55" s="5" t="s">
        <v>1212</v>
      </c>
      <c r="D55" s="14" t="s">
        <v>1210</v>
      </c>
      <c r="E55" s="83" t="s">
        <v>1238</v>
      </c>
      <c r="F55" s="36"/>
      <c r="G55"/>
      <c r="H55"/>
      <c r="I55" s="2"/>
    </row>
    <row r="56" spans="2:56">
      <c r="B56" s="89" t="str">
        <f>IF(Main_Parameters!$C$37=26,"WR8","REMnd")</f>
        <v>REMnd</v>
      </c>
      <c r="C56" s="5" t="s">
        <v>1213</v>
      </c>
      <c r="D56" s="14" t="s">
        <v>1221</v>
      </c>
      <c r="E56" s="83" t="s">
        <v>1240</v>
      </c>
      <c r="F56" s="36"/>
      <c r="G56"/>
      <c r="H56"/>
      <c r="I56" s="2"/>
    </row>
    <row r="57" spans="2:56">
      <c r="B57" s="89" t="str">
        <f>IF(Main_Parameters!$C$37=26,"WR8","REMnd")</f>
        <v>REMnd</v>
      </c>
      <c r="C57" s="5" t="s">
        <v>1214</v>
      </c>
      <c r="D57" s="14" t="s">
        <v>1222</v>
      </c>
      <c r="E57" s="83" t="s">
        <v>1241</v>
      </c>
      <c r="F57" s="36"/>
      <c r="G57"/>
      <c r="H57"/>
      <c r="I57" s="2"/>
    </row>
    <row r="58" spans="2:56">
      <c r="B58" s="89" t="str">
        <f>IF(Main_Parameters!$C$37=26,"WR8","REMnd")</f>
        <v>REMnd</v>
      </c>
      <c r="C58" s="5" t="s">
        <v>1215</v>
      </c>
      <c r="D58" s="14" t="s">
        <v>1223</v>
      </c>
      <c r="E58" s="83" t="s">
        <v>1244</v>
      </c>
      <c r="F58" s="36"/>
      <c r="G58"/>
      <c r="H58"/>
      <c r="I58" s="2"/>
    </row>
    <row r="59" spans="2:56">
      <c r="B59" s="89" t="str">
        <f>IF(Main_Parameters!$C$37=26,"WR8","REMnd")</f>
        <v>REMnd</v>
      </c>
      <c r="C59" s="5" t="s">
        <v>1216</v>
      </c>
      <c r="D59" s="14" t="s">
        <v>1224</v>
      </c>
      <c r="E59" s="83" t="s">
        <v>1238</v>
      </c>
      <c r="F59" s="36"/>
      <c r="G59"/>
      <c r="H59"/>
      <c r="I59" s="2"/>
    </row>
    <row r="60" spans="2:56">
      <c r="B60" s="89" t="str">
        <f>IF(Main_Parameters!$C$37=26,"WR8","REMnd")</f>
        <v>REMnd</v>
      </c>
      <c r="C60" s="5" t="s">
        <v>1217</v>
      </c>
      <c r="D60" s="14" t="s">
        <v>1225</v>
      </c>
      <c r="E60" s="83" t="s">
        <v>1245</v>
      </c>
      <c r="F60" s="36"/>
      <c r="G60"/>
      <c r="H60"/>
      <c r="I60" s="2"/>
    </row>
    <row r="61" spans="2:56">
      <c r="B61" s="89" t="str">
        <f>IF(Main_Parameters!$C$37=26,"WR8","REMnd")</f>
        <v>REMnd</v>
      </c>
      <c r="C61" s="5" t="s">
        <v>1218</v>
      </c>
      <c r="D61" s="14" t="s">
        <v>1226</v>
      </c>
      <c r="E61" s="83" t="s">
        <v>1246</v>
      </c>
      <c r="F61" s="36"/>
      <c r="G61"/>
      <c r="H61"/>
      <c r="I61" s="2"/>
    </row>
    <row r="62" spans="2:56">
      <c r="B62" s="89" t="str">
        <f>IF(Main_Parameters!$C$37=26,"WR8","REMnd")</f>
        <v>REMnd</v>
      </c>
      <c r="C62" s="5" t="s">
        <v>1219</v>
      </c>
      <c r="D62" s="14" t="s">
        <v>1227</v>
      </c>
      <c r="E62" s="83" t="s">
        <v>1229</v>
      </c>
      <c r="F62" s="36"/>
      <c r="G62"/>
      <c r="H62"/>
      <c r="I62" s="2"/>
    </row>
    <row r="63" spans="2:56">
      <c r="B63" s="89" t="str">
        <f>IF(Main_Parameters!$C$37=26,"WR8","REMnd")</f>
        <v>REMnd</v>
      </c>
      <c r="C63" s="5" t="s">
        <v>1220</v>
      </c>
      <c r="D63" s="14" t="s">
        <v>1228</v>
      </c>
      <c r="E63" s="83" t="s">
        <v>1240</v>
      </c>
      <c r="F63" s="36"/>
      <c r="G63"/>
      <c r="H63"/>
      <c r="I63" s="2"/>
    </row>
    <row r="64" spans="2:56">
      <c r="B64" s="16" t="s">
        <v>290</v>
      </c>
      <c r="C64" s="5" t="s">
        <v>308</v>
      </c>
      <c r="D64" s="14" t="s">
        <v>296</v>
      </c>
      <c r="E64" s="100" t="str">
        <f>DEC2HEX(Y64*2^31+Z64*2^30+AA64*2^29+AB64*2^28+AC64*2^27+AD64*2^26+AE64*2^25+AF64*2^24+AG64*2^23+AH64*2^22+AI64*2^21+AJ64*2^20+AK64*2^19+AL64*2^18+AM64*2^17+AN64*2^16+AO64*2^15+AP64*2^14+AQ64*2^13+AR64*2^12+AS64*2^11+AT64*2^10+AU64*2^9+AV64*2^8+AW64*2^7+AX64*2^6+AY64*2^5+AZ64*2^4+BA64*2^3+BB64*2^2+BC64*2^1+BD64*2^0,8)</f>
        <v>00000007</v>
      </c>
      <c r="F64" s="36" t="s">
        <v>455</v>
      </c>
      <c r="G64"/>
      <c r="H64" s="188" t="s">
        <v>354</v>
      </c>
      <c r="I64" s="335" t="s">
        <v>831</v>
      </c>
      <c r="J64" s="188" t="s">
        <v>355</v>
      </c>
      <c r="K64" s="335" t="s">
        <v>848</v>
      </c>
      <c r="L64" s="188" t="s">
        <v>356</v>
      </c>
      <c r="M64" s="335" t="s">
        <v>848</v>
      </c>
      <c r="N64" s="188" t="s">
        <v>357</v>
      </c>
      <c r="O64" s="335" t="s">
        <v>848</v>
      </c>
      <c r="P64" s="192"/>
      <c r="Q64" s="189"/>
      <c r="R64" s="264" t="s">
        <v>358</v>
      </c>
      <c r="S64" s="335" t="s">
        <v>830</v>
      </c>
      <c r="T64" s="206" t="s">
        <v>359</v>
      </c>
      <c r="U64" s="335" t="s">
        <v>830</v>
      </c>
      <c r="V64" s="205" t="s">
        <v>360</v>
      </c>
      <c r="W64" s="335" t="s">
        <v>830</v>
      </c>
      <c r="Y64" s="359">
        <v>0</v>
      </c>
      <c r="Z64" s="360">
        <v>0</v>
      </c>
      <c r="AA64" s="360">
        <v>0</v>
      </c>
      <c r="AB64" s="360">
        <v>0</v>
      </c>
      <c r="AC64" s="360">
        <v>0</v>
      </c>
      <c r="AD64" s="360">
        <v>0</v>
      </c>
      <c r="AE64" s="360">
        <v>0</v>
      </c>
      <c r="AF64" s="361">
        <v>0</v>
      </c>
      <c r="AG64" s="359">
        <v>0</v>
      </c>
      <c r="AH64" s="360">
        <v>0</v>
      </c>
      <c r="AI64" s="360">
        <v>0</v>
      </c>
      <c r="AJ64" s="360">
        <v>0</v>
      </c>
      <c r="AK64" s="360">
        <v>0</v>
      </c>
      <c r="AL64" s="360">
        <v>0</v>
      </c>
      <c r="AM64" s="360">
        <v>0</v>
      </c>
      <c r="AN64" s="361">
        <v>0</v>
      </c>
      <c r="AO64" s="359">
        <v>0</v>
      </c>
      <c r="AP64" s="360">
        <v>0</v>
      </c>
      <c r="AQ64" s="360">
        <v>0</v>
      </c>
      <c r="AR64" s="360">
        <v>0</v>
      </c>
      <c r="AS64" s="360">
        <v>0</v>
      </c>
      <c r="AT64" s="360">
        <v>0</v>
      </c>
      <c r="AU64" s="360">
        <v>0</v>
      </c>
      <c r="AV64" s="361">
        <v>0</v>
      </c>
      <c r="AW64" s="362">
        <f>IF(I64="eFuse",1,0)</f>
        <v>0</v>
      </c>
      <c r="AX64" s="363">
        <f>IF(K64="Enable",1,0)</f>
        <v>0</v>
      </c>
      <c r="AY64" s="363">
        <f>IF(M64="Enable",1,0)</f>
        <v>0</v>
      </c>
      <c r="AZ64" s="363">
        <f>IF(O64="Enable",1,0)</f>
        <v>0</v>
      </c>
      <c r="BA64" s="360">
        <v>0</v>
      </c>
      <c r="BB64" s="363">
        <f>IF(S64="Auto Boot",1,0)</f>
        <v>1</v>
      </c>
      <c r="BC64" s="363">
        <f>IF(U64="Auto Boot",1,0)</f>
        <v>1</v>
      </c>
      <c r="BD64" s="364">
        <f>IF(W64="Auto Boot",1,0)</f>
        <v>1</v>
      </c>
    </row>
    <row r="65" spans="2:56">
      <c r="B65" s="16" t="s">
        <v>425</v>
      </c>
      <c r="C65" s="5"/>
      <c r="D65" s="14">
        <v>1000</v>
      </c>
      <c r="E65" s="207"/>
      <c r="F65" s="36" t="s">
        <v>446</v>
      </c>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c r="B66" s="16" t="s">
        <v>298</v>
      </c>
      <c r="C66" s="5" t="s">
        <v>309</v>
      </c>
      <c r="D66" s="14" t="s">
        <v>297</v>
      </c>
      <c r="E66" s="294" t="str">
        <f>DEC2HEX(Y66*2^31+Z66*2^30+AA66*2^29+AB66*2^28+AC66*2^27+AD66*2^26+AE66*2^25+AF66*2^24+AG66*2^23+AH66*2^22+AI66*2^21+AJ66*2^20+AK66*2^19+AL66*2^18+AM66*2^17+AN66*2^16+AO66*2^15+AP66*2^14+AQ66*2^13+AR66*2^12+AS66*2^11+AT66*2^10+AU66*2^9+AV66*2^8+AW66*2^7+AX66*2^6+AY66*2^5+AZ66*2^4+BA66*2^3+BB66*2^2+BC66*2^1+BD66*2^0,8)</f>
        <v>00000007</v>
      </c>
      <c r="F66" s="36" t="s">
        <v>418</v>
      </c>
      <c r="G66"/>
      <c r="H66"/>
      <c r="I66"/>
      <c r="J66"/>
      <c r="K66"/>
      <c r="L66"/>
      <c r="M66"/>
      <c r="Y66" s="359">
        <v>0</v>
      </c>
      <c r="Z66" s="360">
        <v>0</v>
      </c>
      <c r="AA66" s="360">
        <v>0</v>
      </c>
      <c r="AB66" s="360">
        <v>0</v>
      </c>
      <c r="AC66" s="360">
        <v>0</v>
      </c>
      <c r="AD66" s="360">
        <v>0</v>
      </c>
      <c r="AE66" s="360">
        <v>0</v>
      </c>
      <c r="AF66" s="361">
        <v>0</v>
      </c>
      <c r="AG66" s="359">
        <v>0</v>
      </c>
      <c r="AH66" s="360">
        <v>0</v>
      </c>
      <c r="AI66" s="360">
        <v>0</v>
      </c>
      <c r="AJ66" s="360">
        <v>0</v>
      </c>
      <c r="AK66" s="360">
        <v>0</v>
      </c>
      <c r="AL66" s="360">
        <v>0</v>
      </c>
      <c r="AM66" s="360">
        <v>0</v>
      </c>
      <c r="AN66" s="361">
        <v>0</v>
      </c>
      <c r="AO66" s="359">
        <v>0</v>
      </c>
      <c r="AP66" s="360">
        <v>0</v>
      </c>
      <c r="AQ66" s="360">
        <v>0</v>
      </c>
      <c r="AR66" s="360">
        <v>0</v>
      </c>
      <c r="AS66" s="360">
        <v>0</v>
      </c>
      <c r="AT66" s="360">
        <v>0</v>
      </c>
      <c r="AU66" s="360">
        <v>0</v>
      </c>
      <c r="AV66" s="361">
        <v>0</v>
      </c>
      <c r="AW66" s="359">
        <v>0</v>
      </c>
      <c r="AX66" s="360">
        <v>0</v>
      </c>
      <c r="AY66" s="360">
        <v>0</v>
      </c>
      <c r="AZ66" s="360">
        <v>0</v>
      </c>
      <c r="BA66" s="360">
        <v>0</v>
      </c>
      <c r="BB66" s="365">
        <f>IF(AND(BD64=1,BC64=1),1,0)</f>
        <v>1</v>
      </c>
      <c r="BC66" s="365">
        <f>IF(BD64=1,1,0)</f>
        <v>1</v>
      </c>
      <c r="BD66" s="366">
        <f>IF(AND(BB64=1,BC64=1,BD64=1),1,0)</f>
        <v>1</v>
      </c>
    </row>
    <row r="67" spans="2:56">
      <c r="B67" s="234" t="s">
        <v>419</v>
      </c>
      <c r="C67" s="235" t="s">
        <v>931</v>
      </c>
      <c r="D67" s="236"/>
      <c r="E67" s="237"/>
      <c r="F67" s="235" t="s">
        <v>930</v>
      </c>
      <c r="G67"/>
      <c r="H67"/>
      <c r="I67" s="2"/>
    </row>
    <row r="68" spans="2:56">
      <c r="B68" s="80" t="str">
        <f>IF(Main_Parameters!$B$20="Original","REM","REMnd")</f>
        <v>REM</v>
      </c>
      <c r="C68" s="82" t="s">
        <v>835</v>
      </c>
      <c r="D68" s="80"/>
      <c r="E68" s="101"/>
      <c r="F68" s="92"/>
      <c r="G68"/>
      <c r="H68"/>
      <c r="I68" s="2"/>
    </row>
    <row r="69" spans="2:56">
      <c r="B69" s="89" t="str">
        <f>IF(AND(Main_Parameters!$B$20="Original",Main_Parameters!$C$41="TX0/1 Enable"),"WR32","REMnd")</f>
        <v>WR32</v>
      </c>
      <c r="C69" s="333" t="s">
        <v>827</v>
      </c>
      <c r="D69" s="334" t="s">
        <v>824</v>
      </c>
      <c r="E69" s="100" t="str">
        <f ca="1">Main_Parameters!$C$289</f>
        <v>0000021C</v>
      </c>
      <c r="F69" s="135"/>
      <c r="G69"/>
      <c r="H69"/>
      <c r="I69" s="2"/>
    </row>
    <row r="70" spans="2:56">
      <c r="B70" s="89" t="str">
        <f>IF(AND(Main_Parameters!$B$20="Original",Main_Parameters!$C$41="TX0/1 Enable"),"WR32","REMnd")</f>
        <v>WR32</v>
      </c>
      <c r="C70" s="333" t="s">
        <v>828</v>
      </c>
      <c r="D70" s="334" t="s">
        <v>825</v>
      </c>
      <c r="E70" s="100" t="str">
        <f ca="1">Main_Parameters!$C$291</f>
        <v>0000021C</v>
      </c>
      <c r="F70" s="135"/>
      <c r="G70"/>
      <c r="H70"/>
      <c r="I70" s="2"/>
    </row>
    <row r="71" spans="2:56">
      <c r="B71" s="89" t="str">
        <f>IF(Main_Parameters!$B$20="Original","WR32","REMnd")</f>
        <v>WR32</v>
      </c>
      <c r="C71" s="333" t="s">
        <v>829</v>
      </c>
      <c r="D71" s="334" t="s">
        <v>826</v>
      </c>
      <c r="E71" s="100" t="str">
        <f ca="1">Main_Parameters!$C$293</f>
        <v>00000438</v>
      </c>
      <c r="F71" s="135"/>
      <c r="G71"/>
      <c r="H71"/>
      <c r="I71" s="2"/>
    </row>
    <row r="72" spans="2:56">
      <c r="B72" s="89" t="str">
        <f>IF(Main_Parameters!$B$20="Original","WR32","REMnd")</f>
        <v>WR32</v>
      </c>
      <c r="C72" s="333" t="s">
        <v>819</v>
      </c>
      <c r="D72" s="334" t="s">
        <v>820</v>
      </c>
      <c r="E72" s="100" t="str">
        <f ca="1">Main_Parameters!$C$300</f>
        <v>3E0B0654</v>
      </c>
      <c r="F72" s="135"/>
      <c r="G72"/>
      <c r="H72"/>
      <c r="I72" s="2"/>
    </row>
    <row r="73" spans="2:56">
      <c r="B73" s="89" t="str">
        <f>IF(AND(Main_Parameters!$B$20="Original",Main_Parameters!$C$41="TX0/1 Enable"),"WR32","REMnd")</f>
        <v>WR32</v>
      </c>
      <c r="C73" s="333" t="s">
        <v>823</v>
      </c>
      <c r="D73" s="334" t="s">
        <v>822</v>
      </c>
      <c r="E73" s="100" t="str">
        <f ca="1">Main_Parameters!$C$302</f>
        <v>3E0B0654</v>
      </c>
      <c r="F73" s="135"/>
      <c r="G73"/>
      <c r="H73"/>
      <c r="I73" s="2"/>
    </row>
    <row r="74" spans="2:56">
      <c r="B74" s="80" t="s">
        <v>14</v>
      </c>
      <c r="C74" s="82" t="s">
        <v>417</v>
      </c>
      <c r="D74" s="80"/>
      <c r="E74" s="101"/>
      <c r="F74" s="92"/>
      <c r="G74"/>
      <c r="H74"/>
      <c r="I74"/>
      <c r="J74"/>
      <c r="K74"/>
      <c r="L74"/>
      <c r="M74"/>
      <c r="N74"/>
      <c r="O74"/>
      <c r="P74"/>
      <c r="Q74"/>
      <c r="R74"/>
      <c r="S74"/>
      <c r="T74"/>
      <c r="U74"/>
      <c r="V74"/>
      <c r="W74"/>
      <c r="X74" s="222"/>
    </row>
    <row r="75" spans="2:56">
      <c r="B75" s="16" t="s">
        <v>286</v>
      </c>
      <c r="C75" s="5" t="s">
        <v>311</v>
      </c>
      <c r="D75" s="14" t="s">
        <v>299</v>
      </c>
      <c r="E75" s="93" t="str">
        <f>IF(Main_Parameters!$C$30="Always Full","01","41")</f>
        <v>41</v>
      </c>
      <c r="F75" s="36" t="s">
        <v>405</v>
      </c>
      <c r="G75"/>
      <c r="H75"/>
      <c r="I75" s="2"/>
    </row>
    <row r="76" spans="2:56">
      <c r="B76" s="16" t="s">
        <v>286</v>
      </c>
      <c r="C76" s="5" t="s">
        <v>310</v>
      </c>
      <c r="D76" s="14" t="s">
        <v>300</v>
      </c>
      <c r="E76" s="100" t="str">
        <f>DEC2HEX(AW76*2^7+AX76*2^6+AY76*2^5+AZ76*2^4+BA76*2^3+BB76*2^2+BC76*2^1+BD76*2^0,2)</f>
        <v>0D</v>
      </c>
      <c r="F76" s="36" t="s">
        <v>980</v>
      </c>
      <c r="G76"/>
      <c r="H76"/>
      <c r="I76"/>
      <c r="J76"/>
      <c r="K76"/>
      <c r="L76"/>
      <c r="M76"/>
      <c r="N76"/>
      <c r="O76"/>
      <c r="P76"/>
      <c r="Q76"/>
      <c r="R76"/>
      <c r="S76"/>
      <c r="T76"/>
      <c r="U76"/>
      <c r="V76"/>
      <c r="W76"/>
      <c r="Y76" s="359">
        <v>0</v>
      </c>
      <c r="Z76" s="360">
        <v>0</v>
      </c>
      <c r="AA76" s="360">
        <v>0</v>
      </c>
      <c r="AB76" s="360">
        <v>0</v>
      </c>
      <c r="AC76" s="360">
        <v>0</v>
      </c>
      <c r="AD76" s="360">
        <v>0</v>
      </c>
      <c r="AE76" s="360">
        <v>0</v>
      </c>
      <c r="AF76" s="361">
        <v>0</v>
      </c>
      <c r="AG76" s="359">
        <v>0</v>
      </c>
      <c r="AH76" s="360">
        <v>0</v>
      </c>
      <c r="AI76" s="360">
        <v>0</v>
      </c>
      <c r="AJ76" s="360">
        <v>0</v>
      </c>
      <c r="AK76" s="360">
        <v>0</v>
      </c>
      <c r="AL76" s="360">
        <v>0</v>
      </c>
      <c r="AM76" s="360">
        <v>0</v>
      </c>
      <c r="AN76" s="361">
        <v>0</v>
      </c>
      <c r="AO76" s="359">
        <v>0</v>
      </c>
      <c r="AP76" s="360">
        <v>0</v>
      </c>
      <c r="AQ76" s="360">
        <v>0</v>
      </c>
      <c r="AR76" s="360">
        <v>0</v>
      </c>
      <c r="AS76" s="360">
        <v>0</v>
      </c>
      <c r="AT76" s="360">
        <v>0</v>
      </c>
      <c r="AU76" s="360">
        <v>0</v>
      </c>
      <c r="AV76" s="361">
        <v>0</v>
      </c>
      <c r="AW76" s="359">
        <v>0</v>
      </c>
      <c r="AX76" s="360">
        <v>0</v>
      </c>
      <c r="AY76" s="360">
        <v>0</v>
      </c>
      <c r="AZ76" s="360">
        <v>0</v>
      </c>
      <c r="BA76" s="360">
        <v>0</v>
      </c>
      <c r="BB76" s="363">
        <f>IF(Main_Parameters!$C$30="Always Both",2,3)</f>
        <v>3</v>
      </c>
      <c r="BC76" s="360">
        <v>0</v>
      </c>
      <c r="BD76" s="364">
        <f>IF(Main_Parameters!$C$30="Always Full",0,1)</f>
        <v>1</v>
      </c>
    </row>
    <row r="77" spans="2:56">
      <c r="B77" s="16" t="s">
        <v>578</v>
      </c>
      <c r="C77" s="5" t="s">
        <v>579</v>
      </c>
      <c r="D77" s="14" t="s">
        <v>580</v>
      </c>
      <c r="E77" s="272" t="str">
        <f>DEC2HEX(Y77*2^31+Z77*2^30+AA77*2^29+AB77*2^28+AC77*2^27+AD77*2^26+AE77*2^25+AF77*2^24+AG77*2^23+AH77*2^22+AI77*2^21+AJ77*2^20+AK77*2^19+AL77*2^18+AM77*2^17+AN77*2^16+AO77*2^15+AP77*2^14+AQ77*2^13+AR77*2^12+AS77*2^11+AT77*2^10+AU77*2^9+AV77*2^8+AW77*2^7+AX77*2^6+AY77*2^5+AZ77*2^4+BA77*2^3+BB77*2^2+BC77*2^1+BD77*2^0,2)</f>
        <v>01</v>
      </c>
      <c r="F77" s="36" t="s">
        <v>581</v>
      </c>
      <c r="G77"/>
      <c r="H77" s="91" t="s">
        <v>582</v>
      </c>
      <c r="I77" s="193" t="s">
        <v>381</v>
      </c>
      <c r="J77" s="91" t="s">
        <v>583</v>
      </c>
      <c r="K77" s="193" t="s">
        <v>382</v>
      </c>
      <c r="Y77" s="359">
        <v>0</v>
      </c>
      <c r="Z77" s="360">
        <v>0</v>
      </c>
      <c r="AA77" s="360">
        <v>0</v>
      </c>
      <c r="AB77" s="360">
        <v>0</v>
      </c>
      <c r="AC77" s="360">
        <v>0</v>
      </c>
      <c r="AD77" s="360">
        <v>0</v>
      </c>
      <c r="AE77" s="360">
        <v>0</v>
      </c>
      <c r="AF77" s="361">
        <v>0</v>
      </c>
      <c r="AG77" s="359">
        <v>0</v>
      </c>
      <c r="AH77" s="360">
        <v>0</v>
      </c>
      <c r="AI77" s="360">
        <v>0</v>
      </c>
      <c r="AJ77" s="360">
        <v>0</v>
      </c>
      <c r="AK77" s="360">
        <v>0</v>
      </c>
      <c r="AL77" s="360">
        <v>0</v>
      </c>
      <c r="AM77" s="360">
        <v>0</v>
      </c>
      <c r="AN77" s="361">
        <v>0</v>
      </c>
      <c r="AO77" s="359">
        <v>0</v>
      </c>
      <c r="AP77" s="360">
        <v>0</v>
      </c>
      <c r="AQ77" s="360">
        <v>0</v>
      </c>
      <c r="AR77" s="360">
        <v>0</v>
      </c>
      <c r="AS77" s="360">
        <v>0</v>
      </c>
      <c r="AT77" s="360">
        <v>0</v>
      </c>
      <c r="AU77" s="360">
        <v>0</v>
      </c>
      <c r="AV77" s="361">
        <v>0</v>
      </c>
      <c r="AW77" s="359">
        <v>0</v>
      </c>
      <c r="AX77" s="360">
        <v>0</v>
      </c>
      <c r="AY77" s="360">
        <v>0</v>
      </c>
      <c r="AZ77" s="360">
        <v>0</v>
      </c>
      <c r="BA77" s="360">
        <v>0</v>
      </c>
      <c r="BB77" s="360">
        <v>0</v>
      </c>
      <c r="BC77" s="363">
        <f>IF(I77="Error",1,0)</f>
        <v>0</v>
      </c>
      <c r="BD77" s="364">
        <f>IF(K77="Ready",1,0)</f>
        <v>1</v>
      </c>
    </row>
    <row r="78" spans="2:56">
      <c r="B78" s="234" t="s">
        <v>584</v>
      </c>
      <c r="C78" s="235" t="s">
        <v>585</v>
      </c>
      <c r="D78" s="236"/>
      <c r="E78" s="237"/>
      <c r="F78" s="235" t="s">
        <v>586</v>
      </c>
      <c r="G78"/>
      <c r="H78"/>
      <c r="I78" s="2"/>
    </row>
    <row r="79" spans="2:56">
      <c r="B79" s="80" t="str">
        <f>IF(Main_Parameters!$C$37=26,"REM","REMnd")</f>
        <v>REMnd</v>
      </c>
      <c r="C79" s="82" t="s">
        <v>1248</v>
      </c>
      <c r="D79" s="80"/>
      <c r="E79" s="101"/>
      <c r="F79" s="92"/>
      <c r="G79"/>
      <c r="H79"/>
      <c r="I79" s="2"/>
    </row>
    <row r="80" spans="2:56">
      <c r="B80" s="89" t="str">
        <f>IF(Main_Parameters!$C$37=26,"WR32","REMnd")</f>
        <v>REMnd</v>
      </c>
      <c r="C80" s="333" t="s">
        <v>1247</v>
      </c>
      <c r="D80" s="388" t="str">
        <f>IF(Main_Parameters!$C$41="TX0/1 Enable","4020","2020")</f>
        <v>4020</v>
      </c>
      <c r="E80" s="83" t="s">
        <v>1249</v>
      </c>
      <c r="F80" s="135"/>
      <c r="G80"/>
      <c r="H80"/>
      <c r="I80" s="2"/>
    </row>
    <row r="81" spans="1:61">
      <c r="B81" s="89" t="str">
        <f>IF(Main_Parameters!$C$37=26,"WR32","REMnd")</f>
        <v>REMnd</v>
      </c>
      <c r="C81" s="333" t="s">
        <v>1250</v>
      </c>
      <c r="D81" s="388" t="str">
        <f>IF(Main_Parameters!$C$41="TX0/1 Enable","4170","2170")</f>
        <v>4170</v>
      </c>
      <c r="E81" s="83" t="s">
        <v>1251</v>
      </c>
      <c r="F81" s="135"/>
      <c r="G81"/>
      <c r="H81"/>
      <c r="I81" s="2"/>
    </row>
    <row r="82" spans="1:61">
      <c r="B82" s="375" t="str">
        <f>IF(Main_Parameters!$C$29="DP","REM","REMnd")</f>
        <v>REM</v>
      </c>
      <c r="C82" s="376" t="s">
        <v>944</v>
      </c>
      <c r="D82" s="375"/>
      <c r="E82" s="375"/>
      <c r="F82" s="377"/>
      <c r="G82"/>
      <c r="H82"/>
      <c r="I82" s="2"/>
      <c r="Y82" s="545" t="s">
        <v>1427</v>
      </c>
      <c r="Z82" s="545"/>
      <c r="AA82" s="545" t="s">
        <v>1428</v>
      </c>
      <c r="AB82" s="545"/>
    </row>
    <row r="83" spans="1:61">
      <c r="B83" s="163" t="s">
        <v>1416</v>
      </c>
      <c r="C83" s="333" t="s">
        <v>949</v>
      </c>
      <c r="D83" s="89" t="str">
        <f>IF(OR(I83="GPIO0",I83="GPIO1"),"5010","5014")</f>
        <v>5010</v>
      </c>
      <c r="E83" s="100" t="str">
        <f>IF(OR(I83="GPIO0",I83="GPIO2"),AA83,Y83)</f>
        <v>016A0000</v>
      </c>
      <c r="F83" s="135"/>
      <c r="G83"/>
      <c r="H83" s="91" t="s">
        <v>945</v>
      </c>
      <c r="I83" s="89" t="str">
        <f>Source_DPeDP_Startup!$I$191</f>
        <v>GPIO1</v>
      </c>
      <c r="J83" s="163" t="s">
        <v>1434</v>
      </c>
      <c r="Y83" s="544" t="str">
        <f>IF(Main_Parameters!$C$29="DP","016A0000","009D0000")</f>
        <v>016A0000</v>
      </c>
      <c r="Z83" s="544"/>
      <c r="AA83" s="544" t="str">
        <f>IF(Main_Parameters!$C$29="DP","0000016A","0000009D")</f>
        <v>0000016A</v>
      </c>
      <c r="AB83" s="544"/>
    </row>
    <row r="84" spans="1:61" ht="15" customHeight="1">
      <c r="B84" s="163" t="s">
        <v>1417</v>
      </c>
      <c r="C84" s="333" t="s">
        <v>947</v>
      </c>
      <c r="D84" s="334" t="s">
        <v>946</v>
      </c>
      <c r="E84" s="100" t="str">
        <f>IF(I83="GPIO0","00000004",IF(I83="GPIO1","00000040",IF(I83="GPIO2","00000400","00004000")))</f>
        <v>00000040</v>
      </c>
      <c r="F84" s="386"/>
      <c r="G84"/>
      <c r="H84"/>
      <c r="I84" s="2"/>
    </row>
    <row r="85" spans="1:61" ht="14.25" customHeight="1">
      <c r="B85" s="163" t="s">
        <v>1417</v>
      </c>
      <c r="C85" s="333" t="s">
        <v>1014</v>
      </c>
      <c r="D85" s="334" t="s">
        <v>1013</v>
      </c>
      <c r="E85" s="100" t="str">
        <f>IF(I83="GPIO0","00000001",IF(I83="GPIO1","00000002",IF(I83="GPIO2","00000004","00000008")))</f>
        <v>00000002</v>
      </c>
      <c r="F85" s="386"/>
      <c r="G85"/>
      <c r="H85"/>
      <c r="I85" s="2"/>
    </row>
    <row r="86" spans="1:61" ht="24" customHeight="1">
      <c r="B86" s="416" t="s">
        <v>14</v>
      </c>
      <c r="C86" s="419" t="s">
        <v>1440</v>
      </c>
      <c r="D86" s="420"/>
      <c r="E86" s="421"/>
      <c r="F86" s="422"/>
      <c r="G86"/>
      <c r="H86"/>
      <c r="I86"/>
      <c r="J86"/>
      <c r="K86"/>
      <c r="L86"/>
      <c r="M86"/>
      <c r="N86"/>
      <c r="O86"/>
      <c r="P86"/>
      <c r="Q86"/>
      <c r="R86"/>
      <c r="S86"/>
      <c r="T86"/>
      <c r="U86"/>
      <c r="V86"/>
      <c r="W86"/>
    </row>
    <row r="87" spans="1:61">
      <c r="B87" s="16" t="s">
        <v>15</v>
      </c>
      <c r="C87" s="5"/>
      <c r="D87" s="14"/>
      <c r="E87" s="102"/>
      <c r="F87" s="36"/>
      <c r="G87"/>
    </row>
    <row r="88" spans="1:61" s="129" customFormat="1">
      <c r="A88" s="3"/>
      <c r="B88"/>
      <c r="C88" s="3"/>
      <c r="D88" s="3"/>
      <c r="E88" s="95"/>
      <c r="F88" s="3"/>
      <c r="G88" s="3"/>
      <c r="H88" s="3"/>
      <c r="I88" s="3"/>
      <c r="J88" s="3"/>
      <c r="K88" s="3"/>
      <c r="L88" s="3"/>
      <c r="M88" s="3"/>
      <c r="N88" s="3"/>
      <c r="O88" s="3"/>
      <c r="P88" s="3"/>
      <c r="Q88" s="3"/>
      <c r="R88" s="3"/>
      <c r="S88" s="3"/>
      <c r="T88" s="3"/>
      <c r="U88" s="3"/>
      <c r="V88" s="3"/>
      <c r="W88" s="3"/>
      <c r="BF88" s="3"/>
      <c r="BG88" s="3"/>
      <c r="BH88" s="3"/>
      <c r="BI88" s="3"/>
    </row>
  </sheetData>
  <sheetProtection algorithmName="SHA-512" hashValue="4tRn7hwkGC+aoa7fYDH/LOYNSsSF0CFHU9pimz/irAxoqaC07W+VbFxv5+Sksq6g4liDOzO2wspuJ1RUOKpPIA==" saltValue="qDYZ+uYV24Movb0wXSOlcQ==" spinCount="100000" sheet="1" objects="1" scenarios="1"/>
  <mergeCells count="4">
    <mergeCell ref="Y82:Z82"/>
    <mergeCell ref="AA82:AB82"/>
    <mergeCell ref="Y83:Z83"/>
    <mergeCell ref="AA83:AB83"/>
  </mergeCells>
  <phoneticPr fontId="39"/>
  <dataValidations count="4">
    <dataValidation type="list" allowBlank="1" showInputMessage="1" showErrorMessage="1" sqref="O13 K13 M13">
      <formula1>"Enable,Disable"</formula1>
    </dataValidation>
    <dataValidation type="list" allowBlank="1" showInputMessage="1" showErrorMessage="1" sqref="I13">
      <formula1>"eFuse, No"</formula1>
    </dataValidation>
    <dataValidation type="list" allowBlank="1" showInputMessage="1" showErrorMessage="1" sqref="K77">
      <formula1>"Ready,Not Ready"</formula1>
    </dataValidation>
    <dataValidation type="list" allowBlank="1" showInputMessage="1" showErrorMessage="1" sqref="I77">
      <formula1>"No Error,Error"</formula1>
    </dataValidation>
  </dataValidations>
  <pageMargins left="0.75" right="0.75" top="1" bottom="1" header="0.5" footer="0.5"/>
  <pageSetup paperSize="9" orientation="portrait" verticalDpi="0" r:id="rId1"/>
</worksheet>
</file>

<file path=xl/worksheets/sheet7.xml><?xml version="1.0" encoding="utf-8"?>
<worksheet xmlns="http://schemas.openxmlformats.org/spreadsheetml/2006/main" xmlns:r="http://schemas.openxmlformats.org/officeDocument/2006/relationships">
  <sheetPr codeName="Sheet41">
    <tabColor rgb="FF9933FF"/>
    <pageSetUpPr autoPageBreaks="0"/>
  </sheetPr>
  <dimension ref="A1:BI120"/>
  <sheetViews>
    <sheetView showGridLines="0" topLeftCell="A67" zoomScale="75" zoomScaleNormal="75" workbookViewId="0">
      <selection activeCell="B59" sqref="B59"/>
    </sheetView>
  </sheetViews>
  <sheetFormatPr defaultColWidth="9" defaultRowHeight="14.25"/>
  <cols>
    <col min="1" max="1" width="3.375" style="3" customWidth="1"/>
    <col min="2" max="2" width="8.875" style="3" customWidth="1"/>
    <col min="3" max="3" width="33.25" style="3" customWidth="1"/>
    <col min="4" max="4" width="11" style="3" customWidth="1"/>
    <col min="5" max="5" width="12.625" style="95" customWidth="1"/>
    <col min="6" max="6" width="60.125" style="3" customWidth="1"/>
    <col min="7" max="7" width="4.875" style="3" customWidth="1"/>
    <col min="8" max="8" width="14" style="3" customWidth="1"/>
    <col min="9" max="9" width="13" style="3" customWidth="1"/>
    <col min="10" max="10" width="13.875" style="3" customWidth="1"/>
    <col min="11" max="11" width="14.375" style="3" customWidth="1"/>
    <col min="12" max="12" width="15.75" style="3" customWidth="1"/>
    <col min="13"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hidden="1" customWidth="1"/>
    <col min="25" max="30" width="5" style="129" hidden="1" customWidth="1"/>
    <col min="31" max="38" width="4" style="129" hidden="1" customWidth="1"/>
    <col min="39" max="39" width="5" style="129" hidden="1" customWidth="1"/>
    <col min="40" max="40" width="4" style="129" hidden="1" customWidth="1"/>
    <col min="41" max="46" width="5" style="129" hidden="1" customWidth="1"/>
    <col min="47" max="49" width="4" style="129" hidden="1" customWidth="1"/>
    <col min="50" max="50" width="3.75" style="129" hidden="1" customWidth="1"/>
    <col min="51" max="54" width="4" style="129" hidden="1" customWidth="1"/>
    <col min="55" max="55" width="3.125" style="129" hidden="1" customWidth="1"/>
    <col min="56" max="56" width="3.875" style="129" hidden="1" customWidth="1"/>
    <col min="57" max="57" width="11.375" style="129" customWidth="1"/>
    <col min="58" max="16384" width="9" style="3"/>
  </cols>
  <sheetData>
    <row r="1" spans="1:61" ht="18">
      <c r="B1" s="11" t="s">
        <v>1445</v>
      </c>
      <c r="C1" s="11"/>
      <c r="F1" s="114"/>
      <c r="G1" s="231" t="s">
        <v>553</v>
      </c>
      <c r="H1" s="105" t="s">
        <v>81</v>
      </c>
      <c r="I1" s="18"/>
      <c r="J1" s="4"/>
      <c r="K1"/>
      <c r="L1" s="15"/>
    </row>
    <row r="2" spans="1:61" ht="18">
      <c r="B2" s="3" t="s">
        <v>123</v>
      </c>
      <c r="H2" s="114" t="s">
        <v>16</v>
      </c>
      <c r="I2"/>
      <c r="J2"/>
      <c r="K2"/>
      <c r="L2"/>
      <c r="M2"/>
      <c r="N2"/>
      <c r="O2"/>
      <c r="P2"/>
    </row>
    <row r="3" spans="1:61">
      <c r="B3" s="3" t="s">
        <v>420</v>
      </c>
      <c r="C3" s="10"/>
      <c r="D3" s="1"/>
      <c r="E3" s="96"/>
      <c r="F3" s="1"/>
      <c r="G3" s="1"/>
      <c r="H3" s="1"/>
      <c r="I3"/>
      <c r="J3"/>
      <c r="K3"/>
      <c r="L3"/>
      <c r="M3"/>
      <c r="N3"/>
      <c r="O3"/>
      <c r="P3"/>
      <c r="Q3"/>
      <c r="R3"/>
      <c r="S3"/>
      <c r="T3"/>
      <c r="U3"/>
      <c r="V3"/>
      <c r="W3"/>
      <c r="X3" s="222"/>
      <c r="AH3" s="222"/>
    </row>
    <row r="4" spans="1:61">
      <c r="C4" s="10"/>
      <c r="D4" s="1"/>
      <c r="E4" s="96"/>
      <c r="F4" s="1"/>
      <c r="G4" s="1"/>
      <c r="H4" s="1"/>
      <c r="I4"/>
      <c r="J4"/>
      <c r="K4"/>
      <c r="L4"/>
      <c r="M4"/>
      <c r="N4"/>
      <c r="O4"/>
      <c r="P4"/>
      <c r="Q4"/>
      <c r="R4"/>
      <c r="S4"/>
      <c r="T4"/>
      <c r="U4"/>
      <c r="V4"/>
      <c r="W4"/>
      <c r="X4" s="222"/>
      <c r="AH4" s="222"/>
    </row>
    <row r="5" spans="1:61">
      <c r="B5" s="284"/>
      <c r="C5" s="10" t="s">
        <v>380</v>
      </c>
      <c r="D5" s="1"/>
      <c r="E5" s="96"/>
      <c r="F5" s="1"/>
      <c r="G5" s="1"/>
      <c r="H5" s="1"/>
      <c r="I5"/>
      <c r="J5"/>
      <c r="K5"/>
      <c r="L5"/>
      <c r="M5"/>
      <c r="N5"/>
      <c r="O5"/>
      <c r="P5"/>
      <c r="Q5"/>
      <c r="R5"/>
      <c r="S5"/>
      <c r="T5"/>
      <c r="U5"/>
      <c r="V5"/>
      <c r="W5"/>
      <c r="X5" s="222"/>
      <c r="AH5" s="222"/>
    </row>
    <row r="6" spans="1:61" ht="15">
      <c r="B6" s="9"/>
      <c r="C6" s="10"/>
      <c r="D6" s="1"/>
      <c r="E6" s="96"/>
      <c r="F6" s="1"/>
      <c r="G6" s="1"/>
      <c r="H6" s="17"/>
      <c r="I6"/>
      <c r="J6"/>
      <c r="K6"/>
      <c r="L6"/>
      <c r="M6"/>
      <c r="N6"/>
      <c r="O6"/>
      <c r="P6"/>
      <c r="Q6"/>
      <c r="R6"/>
      <c r="S6"/>
      <c r="T6"/>
      <c r="U6"/>
      <c r="V6"/>
      <c r="W6"/>
      <c r="X6" s="222"/>
      <c r="AH6" s="222"/>
    </row>
    <row r="7" spans="1:61" ht="18.75">
      <c r="B7" s="88" t="s">
        <v>1056</v>
      </c>
      <c r="C7" s="86"/>
      <c r="D7" s="86"/>
      <c r="E7" s="97"/>
      <c r="F7" s="87"/>
      <c r="I7"/>
      <c r="J7"/>
      <c r="K7"/>
      <c r="L7"/>
      <c r="M7"/>
      <c r="N7"/>
      <c r="O7"/>
      <c r="P7"/>
      <c r="Q7"/>
      <c r="R7"/>
      <c r="S7"/>
      <c r="T7"/>
      <c r="U7"/>
      <c r="V7"/>
      <c r="W7"/>
      <c r="X7" s="222"/>
      <c r="AH7" s="222"/>
    </row>
    <row r="8" spans="1:61" ht="15">
      <c r="B8" s="84" t="s">
        <v>12</v>
      </c>
      <c r="C8" s="84" t="s">
        <v>0</v>
      </c>
      <c r="D8" s="84" t="s">
        <v>1</v>
      </c>
      <c r="E8" s="98" t="s">
        <v>13</v>
      </c>
      <c r="F8" s="85" t="s">
        <v>82</v>
      </c>
      <c r="G8" s="7"/>
      <c r="H8"/>
      <c r="I8"/>
      <c r="J8"/>
      <c r="K8"/>
      <c r="L8"/>
      <c r="M8"/>
      <c r="N8"/>
      <c r="O8"/>
      <c r="P8"/>
      <c r="Q8"/>
      <c r="R8"/>
      <c r="S8"/>
      <c r="T8"/>
      <c r="U8"/>
      <c r="V8"/>
      <c r="W8"/>
      <c r="X8" s="222"/>
      <c r="Y8" s="370" t="s">
        <v>402</v>
      </c>
      <c r="Z8" s="371" t="s">
        <v>401</v>
      </c>
      <c r="AA8" s="371" t="s">
        <v>400</v>
      </c>
      <c r="AB8" s="371" t="s">
        <v>399</v>
      </c>
      <c r="AC8" s="371" t="s">
        <v>398</v>
      </c>
      <c r="AD8" s="371" t="s">
        <v>397</v>
      </c>
      <c r="AE8" s="371" t="s">
        <v>396</v>
      </c>
      <c r="AF8" s="372" t="s">
        <v>395</v>
      </c>
      <c r="AG8" s="367" t="s">
        <v>394</v>
      </c>
      <c r="AH8" s="368" t="s">
        <v>393</v>
      </c>
      <c r="AI8" s="368" t="s">
        <v>392</v>
      </c>
      <c r="AJ8" s="368" t="s">
        <v>391</v>
      </c>
      <c r="AK8" s="368" t="s">
        <v>390</v>
      </c>
      <c r="AL8" s="368" t="s">
        <v>389</v>
      </c>
      <c r="AM8" s="368" t="s">
        <v>388</v>
      </c>
      <c r="AN8" s="369" t="s">
        <v>387</v>
      </c>
      <c r="AO8" s="370" t="s">
        <v>362</v>
      </c>
      <c r="AP8" s="371" t="s">
        <v>363</v>
      </c>
      <c r="AQ8" s="371" t="s">
        <v>364</v>
      </c>
      <c r="AR8" s="371" t="s">
        <v>365</v>
      </c>
      <c r="AS8" s="371" t="s">
        <v>366</v>
      </c>
      <c r="AT8" s="371" t="s">
        <v>367</v>
      </c>
      <c r="AU8" s="371" t="s">
        <v>368</v>
      </c>
      <c r="AV8" s="372" t="s">
        <v>369</v>
      </c>
      <c r="AW8" s="367" t="s">
        <v>370</v>
      </c>
      <c r="AX8" s="368" t="s">
        <v>371</v>
      </c>
      <c r="AY8" s="368" t="s">
        <v>372</v>
      </c>
      <c r="AZ8" s="368" t="s">
        <v>373</v>
      </c>
      <c r="BA8" s="368" t="s">
        <v>374</v>
      </c>
      <c r="BB8" s="368" t="s">
        <v>375</v>
      </c>
      <c r="BC8" s="368" t="s">
        <v>376</v>
      </c>
      <c r="BD8" s="369" t="s">
        <v>377</v>
      </c>
    </row>
    <row r="9" spans="1:61" ht="27.75" customHeight="1">
      <c r="B9" s="416" t="s">
        <v>14</v>
      </c>
      <c r="C9" s="417" t="s">
        <v>1441</v>
      </c>
      <c r="D9" s="417"/>
      <c r="E9" s="417"/>
      <c r="F9" s="417"/>
      <c r="G9"/>
      <c r="H9"/>
      <c r="I9"/>
      <c r="J9"/>
      <c r="K9"/>
      <c r="L9"/>
      <c r="M9"/>
      <c r="N9"/>
      <c r="O9"/>
      <c r="P9"/>
      <c r="Q9"/>
      <c r="R9"/>
      <c r="S9"/>
      <c r="T9"/>
      <c r="U9"/>
      <c r="V9"/>
      <c r="W9"/>
      <c r="X9" s="222"/>
    </row>
    <row r="10" spans="1:61" s="129" customFormat="1" ht="15">
      <c r="A10" s="3"/>
      <c r="B10" s="280" t="s">
        <v>14</v>
      </c>
      <c r="C10" s="281" t="s">
        <v>1420</v>
      </c>
      <c r="D10" s="282"/>
      <c r="E10" s="278"/>
      <c r="F10" s="279"/>
      <c r="G10"/>
      <c r="H10"/>
      <c r="I10"/>
      <c r="J10"/>
      <c r="K10"/>
      <c r="L10"/>
      <c r="M10"/>
      <c r="N10"/>
      <c r="O10"/>
      <c r="P10"/>
      <c r="Q10"/>
      <c r="R10"/>
      <c r="S10"/>
      <c r="T10"/>
      <c r="U10"/>
      <c r="V10"/>
      <c r="W10"/>
      <c r="BF10" s="3"/>
      <c r="BG10" s="3"/>
      <c r="BH10" s="3"/>
      <c r="BI10" s="3"/>
    </row>
    <row r="11" spans="1:61">
      <c r="B11" s="306" t="s">
        <v>1304</v>
      </c>
      <c r="C11" s="307" t="s">
        <v>1310</v>
      </c>
      <c r="D11" s="308" t="s">
        <v>1311</v>
      </c>
      <c r="E11" s="308" t="s">
        <v>1313</v>
      </c>
      <c r="F11" s="309" t="s">
        <v>1421</v>
      </c>
      <c r="G11"/>
      <c r="H11"/>
      <c r="I11"/>
      <c r="J11"/>
      <c r="K11"/>
      <c r="L11"/>
      <c r="M11"/>
      <c r="N11"/>
      <c r="O11"/>
      <c r="P11"/>
      <c r="Q11"/>
      <c r="R11"/>
      <c r="S11"/>
      <c r="T11"/>
      <c r="U11"/>
      <c r="V11"/>
      <c r="W11"/>
    </row>
    <row r="12" spans="1:61">
      <c r="B12" s="306"/>
      <c r="C12" s="307"/>
      <c r="D12" s="310"/>
      <c r="E12" s="310"/>
      <c r="F12" s="309"/>
      <c r="G12"/>
      <c r="H12"/>
      <c r="I12"/>
      <c r="J12"/>
      <c r="K12"/>
      <c r="L12"/>
      <c r="M12"/>
      <c r="N12"/>
      <c r="O12"/>
      <c r="P12"/>
      <c r="Q12"/>
      <c r="R12"/>
      <c r="S12"/>
      <c r="T12"/>
      <c r="U12"/>
      <c r="V12"/>
      <c r="W12"/>
    </row>
    <row r="13" spans="1:61">
      <c r="B13" s="306"/>
      <c r="C13" s="307"/>
      <c r="D13" s="310"/>
      <c r="E13" s="310"/>
      <c r="F13" s="309"/>
      <c r="G13"/>
      <c r="H13"/>
      <c r="I13"/>
      <c r="J13"/>
      <c r="K13"/>
      <c r="L13"/>
      <c r="M13"/>
      <c r="N13"/>
      <c r="O13"/>
      <c r="P13"/>
      <c r="Q13"/>
      <c r="R13"/>
      <c r="S13"/>
      <c r="T13"/>
      <c r="U13"/>
      <c r="V13"/>
      <c r="W13"/>
    </row>
    <row r="14" spans="1:61">
      <c r="B14" s="306"/>
      <c r="C14" s="307"/>
      <c r="D14" s="310"/>
      <c r="E14" s="310"/>
      <c r="F14" s="309"/>
      <c r="G14"/>
      <c r="H14"/>
      <c r="I14"/>
      <c r="J14"/>
      <c r="K14"/>
      <c r="L14"/>
      <c r="M14"/>
      <c r="N14"/>
      <c r="O14"/>
      <c r="P14"/>
      <c r="Q14"/>
      <c r="R14"/>
      <c r="S14"/>
      <c r="T14"/>
      <c r="U14"/>
      <c r="V14"/>
      <c r="W14"/>
    </row>
    <row r="15" spans="1:61">
      <c r="B15" s="306"/>
      <c r="C15" s="307"/>
      <c r="D15" s="310"/>
      <c r="E15" s="310"/>
      <c r="F15" s="309"/>
      <c r="G15"/>
      <c r="H15"/>
      <c r="I15"/>
      <c r="J15"/>
      <c r="K15"/>
      <c r="L15"/>
      <c r="M15"/>
      <c r="N15"/>
      <c r="O15"/>
      <c r="P15"/>
      <c r="Q15"/>
      <c r="R15"/>
      <c r="S15"/>
      <c r="T15"/>
      <c r="U15"/>
      <c r="V15"/>
      <c r="W15"/>
    </row>
    <row r="16" spans="1:61" s="129" customFormat="1">
      <c r="A16" s="3"/>
      <c r="B16" s="16" t="s">
        <v>290</v>
      </c>
      <c r="C16" s="5" t="s">
        <v>443</v>
      </c>
      <c r="D16" s="14" t="s">
        <v>444</v>
      </c>
      <c r="E16" s="83" t="s">
        <v>634</v>
      </c>
      <c r="F16" s="36" t="s">
        <v>1058</v>
      </c>
      <c r="G16"/>
      <c r="H16"/>
      <c r="I16" s="2"/>
      <c r="J16" s="3"/>
      <c r="K16" s="3"/>
      <c r="L16" s="3"/>
      <c r="M16" s="3"/>
      <c r="N16" s="3"/>
      <c r="O16" s="3"/>
      <c r="P16" s="3"/>
      <c r="Q16" s="3"/>
      <c r="R16" s="3"/>
      <c r="S16" s="3"/>
      <c r="T16" s="3"/>
      <c r="U16" s="3"/>
      <c r="V16" s="3"/>
      <c r="W16" s="3"/>
      <c r="BF16" s="3"/>
      <c r="BG16" s="3"/>
      <c r="BH16" s="3"/>
      <c r="BI16" s="3"/>
    </row>
    <row r="17" spans="1:61" s="129" customFormat="1">
      <c r="A17" s="3"/>
      <c r="B17" s="16" t="s">
        <v>290</v>
      </c>
      <c r="C17" s="5" t="s">
        <v>432</v>
      </c>
      <c r="D17" s="14" t="s">
        <v>436</v>
      </c>
      <c r="E17" s="83" t="s">
        <v>634</v>
      </c>
      <c r="F17" s="36" t="s">
        <v>1060</v>
      </c>
      <c r="G17"/>
      <c r="H17"/>
      <c r="I17" s="2"/>
      <c r="J17" s="3"/>
      <c r="K17" s="3"/>
      <c r="L17" s="3"/>
      <c r="M17" s="3"/>
      <c r="N17" s="3"/>
      <c r="O17" s="3"/>
      <c r="P17" s="3"/>
      <c r="Q17" s="3"/>
      <c r="R17" s="3"/>
      <c r="S17" s="3"/>
      <c r="T17" s="3"/>
      <c r="U17" s="3"/>
      <c r="V17" s="3"/>
      <c r="W17" s="3"/>
      <c r="BF17" s="3"/>
      <c r="BG17" s="3"/>
      <c r="BH17" s="3"/>
      <c r="BI17" s="3"/>
    </row>
    <row r="18" spans="1:61" s="129" customFormat="1">
      <c r="A18" s="3"/>
      <c r="B18" s="89" t="str">
        <f>IF(Main_Parameters!$C$41="TX0 Enable","REMnd","WR32")</f>
        <v>WR32</v>
      </c>
      <c r="C18" s="5" t="s">
        <v>433</v>
      </c>
      <c r="D18" s="14" t="s">
        <v>437</v>
      </c>
      <c r="E18" s="83" t="s">
        <v>634</v>
      </c>
      <c r="F18" s="36" t="s">
        <v>1061</v>
      </c>
      <c r="G18"/>
      <c r="H18"/>
      <c r="I18" s="2"/>
      <c r="J18" s="3"/>
      <c r="K18" s="3"/>
      <c r="L18" s="3"/>
      <c r="M18" s="3"/>
      <c r="N18" s="3"/>
      <c r="O18" s="3"/>
      <c r="P18" s="3"/>
      <c r="Q18" s="3"/>
      <c r="R18" s="3"/>
      <c r="S18" s="3"/>
      <c r="T18" s="3"/>
      <c r="U18" s="3"/>
      <c r="V18" s="3"/>
      <c r="W18" s="3"/>
      <c r="BF18" s="3"/>
      <c r="BG18" s="3"/>
      <c r="BH18" s="3"/>
      <c r="BI18" s="3"/>
    </row>
    <row r="19" spans="1:61" s="129" customFormat="1">
      <c r="A19" s="3"/>
      <c r="B19" s="16" t="s">
        <v>290</v>
      </c>
      <c r="C19" s="5" t="s">
        <v>431</v>
      </c>
      <c r="D19" s="14" t="s">
        <v>434</v>
      </c>
      <c r="E19" s="100" t="str">
        <f>DEC2HEX(Y19*2^31+Z19*2^30+AA19*2^29+AB19*2^28+AC19*2^27+AD19*2^26+AE19*2^25+AF19*2^24+AG19*2^23+AH19*2^22+AI19*2^21+AJ19*2^20+AK19*2^19+AL19*2^18+AM19*2^17+AN19*2^16+AO19*2^15+AP19*2^14+AQ19*2^13+AR19*2^12+AS19*2^11+AT19*2^10+AU19*2^9+AV19*2^8+AW19*2^7+AX19*2^6+AY19*2^5+AZ19*2^4+BA19*2^3+BB19*2^2+BC19*2^1+BD19*2^0,8)</f>
        <v>00040010</v>
      </c>
      <c r="F19" s="36" t="s">
        <v>1062</v>
      </c>
      <c r="G19"/>
      <c r="H19" s="188" t="s">
        <v>440</v>
      </c>
      <c r="I19" s="392" t="s">
        <v>1059</v>
      </c>
      <c r="J19" s="192"/>
      <c r="K19" s="191"/>
      <c r="L19" s="191"/>
      <c r="M19" s="191"/>
      <c r="N19" s="191"/>
      <c r="O19" s="189"/>
      <c r="P19" s="191"/>
      <c r="Q19" s="288" t="s">
        <v>439</v>
      </c>
      <c r="R19" s="289" t="str">
        <f>IF(AND(S19&gt;0,S19&lt;2^13),"OK","NG")</f>
        <v>OK</v>
      </c>
      <c r="S19" s="305">
        <v>4</v>
      </c>
      <c r="T19" s="206"/>
      <c r="U19" s="288" t="s">
        <v>438</v>
      </c>
      <c r="V19" s="289" t="str">
        <f>IF(AND(W19&gt;1,W19&lt;2^13),"OK","NG")</f>
        <v>OK</v>
      </c>
      <c r="W19" s="305">
        <v>16</v>
      </c>
      <c r="Y19" s="362">
        <f>IF(I19="With Video",1,0)</f>
        <v>0</v>
      </c>
      <c r="Z19" s="360">
        <v>0</v>
      </c>
      <c r="AA19" s="360">
        <v>0</v>
      </c>
      <c r="AB19" s="360">
        <v>0</v>
      </c>
      <c r="AC19" s="360">
        <v>0</v>
      </c>
      <c r="AD19" s="360">
        <v>0</v>
      </c>
      <c r="AE19" s="360">
        <v>0</v>
      </c>
      <c r="AF19" s="361">
        <v>0</v>
      </c>
      <c r="AG19" s="359">
        <v>0</v>
      </c>
      <c r="AH19" s="360">
        <v>0</v>
      </c>
      <c r="AI19" s="360">
        <v>0</v>
      </c>
      <c r="AJ19" s="360">
        <v>0</v>
      </c>
      <c r="AK19" s="360">
        <v>0</v>
      </c>
      <c r="AL19" s="360">
        <v>0</v>
      </c>
      <c r="AM19" s="360">
        <v>0</v>
      </c>
      <c r="AN19" s="364">
        <f>S19</f>
        <v>4</v>
      </c>
      <c r="AO19" s="359">
        <v>0</v>
      </c>
      <c r="AP19" s="360">
        <v>0</v>
      </c>
      <c r="AQ19" s="360">
        <v>0</v>
      </c>
      <c r="AR19" s="360">
        <v>0</v>
      </c>
      <c r="AS19" s="360">
        <v>0</v>
      </c>
      <c r="AT19" s="360">
        <v>0</v>
      </c>
      <c r="AU19" s="360">
        <v>0</v>
      </c>
      <c r="AV19" s="361">
        <v>0</v>
      </c>
      <c r="AW19" s="359">
        <v>0</v>
      </c>
      <c r="AX19" s="360">
        <v>0</v>
      </c>
      <c r="AY19" s="360">
        <v>0</v>
      </c>
      <c r="AZ19" s="360">
        <v>0</v>
      </c>
      <c r="BA19" s="360">
        <v>0</v>
      </c>
      <c r="BB19" s="360">
        <v>0</v>
      </c>
      <c r="BC19" s="360">
        <v>0</v>
      </c>
      <c r="BD19" s="364">
        <f>W19</f>
        <v>16</v>
      </c>
      <c r="BF19" s="3"/>
      <c r="BG19" s="3"/>
      <c r="BH19" s="3"/>
      <c r="BI19" s="3"/>
    </row>
    <row r="20" spans="1:61" s="129" customFormat="1">
      <c r="A20" s="3"/>
      <c r="B20" s="89" t="str">
        <f>IF(Main_Parameters!$C$41="TX0 Enable","REMnd","WR32")</f>
        <v>WR32</v>
      </c>
      <c r="C20" s="5" t="s">
        <v>430</v>
      </c>
      <c r="D20" s="14" t="s">
        <v>435</v>
      </c>
      <c r="E20" s="100" t="str">
        <f>DEC2HEX(Y20*2^31+Z20*2^30+AA20*2^29+AB20*2^28+AC20*2^27+AD20*2^26+AE20*2^25+AF20*2^24+AG20*2^23+AH20*2^22+AI20*2^21+AJ20*2^20+AK20*2^19+AL20*2^18+AM20*2^17+AN20*2^16+AO20*2^15+AP20*2^14+AQ20*2^13+AR20*2^12+AS20*2^11+AT20*2^10+AU20*2^9+AV20*2^8+AW20*2^7+AX20*2^6+AY20*2^5+AZ20*2^4+BA20*2^3+BB20*2^2+BC20*2^1+BD20*2^0,8)</f>
        <v>00040010</v>
      </c>
      <c r="F20" s="36" t="s">
        <v>1063</v>
      </c>
      <c r="G20"/>
      <c r="H20" s="188" t="s">
        <v>440</v>
      </c>
      <c r="I20" s="392" t="s">
        <v>1059</v>
      </c>
      <c r="J20" s="192"/>
      <c r="K20" s="191"/>
      <c r="L20" s="191"/>
      <c r="M20" s="191"/>
      <c r="N20" s="191"/>
      <c r="O20" s="189"/>
      <c r="P20" s="191"/>
      <c r="Q20" s="288" t="s">
        <v>439</v>
      </c>
      <c r="R20" s="289" t="str">
        <f>IF(AND(S20&gt;0,S20&lt;2^13),"OK","NG")</f>
        <v>OK</v>
      </c>
      <c r="S20" s="305">
        <v>4</v>
      </c>
      <c r="T20" s="206"/>
      <c r="U20" s="288" t="s">
        <v>438</v>
      </c>
      <c r="V20" s="289" t="str">
        <f>IF(AND(W20&gt;1,W20&lt;2^13),"OK","NG")</f>
        <v>OK</v>
      </c>
      <c r="W20" s="305">
        <v>16</v>
      </c>
      <c r="Y20" s="362">
        <f>IF(I20="With Video",1,0)</f>
        <v>0</v>
      </c>
      <c r="Z20" s="360">
        <v>0</v>
      </c>
      <c r="AA20" s="360">
        <v>0</v>
      </c>
      <c r="AB20" s="360">
        <v>0</v>
      </c>
      <c r="AC20" s="360">
        <v>0</v>
      </c>
      <c r="AD20" s="360">
        <v>0</v>
      </c>
      <c r="AE20" s="360">
        <v>0</v>
      </c>
      <c r="AF20" s="361">
        <v>0</v>
      </c>
      <c r="AG20" s="359">
        <v>0</v>
      </c>
      <c r="AH20" s="360">
        <v>0</v>
      </c>
      <c r="AI20" s="360">
        <v>0</v>
      </c>
      <c r="AJ20" s="360">
        <v>0</v>
      </c>
      <c r="AK20" s="360">
        <v>0</v>
      </c>
      <c r="AL20" s="360">
        <v>0</v>
      </c>
      <c r="AM20" s="360">
        <v>0</v>
      </c>
      <c r="AN20" s="364">
        <f>S20</f>
        <v>4</v>
      </c>
      <c r="AO20" s="359">
        <v>0</v>
      </c>
      <c r="AP20" s="360">
        <v>0</v>
      </c>
      <c r="AQ20" s="360">
        <v>0</v>
      </c>
      <c r="AR20" s="360">
        <v>0</v>
      </c>
      <c r="AS20" s="360">
        <v>0</v>
      </c>
      <c r="AT20" s="360">
        <v>0</v>
      </c>
      <c r="AU20" s="360">
        <v>0</v>
      </c>
      <c r="AV20" s="361">
        <v>0</v>
      </c>
      <c r="AW20" s="359">
        <v>0</v>
      </c>
      <c r="AX20" s="360">
        <v>0</v>
      </c>
      <c r="AY20" s="360">
        <v>0</v>
      </c>
      <c r="AZ20" s="360">
        <v>0</v>
      </c>
      <c r="BA20" s="360">
        <v>0</v>
      </c>
      <c r="BB20" s="360">
        <v>0</v>
      </c>
      <c r="BC20" s="360">
        <v>0</v>
      </c>
      <c r="BD20" s="364">
        <f>W20</f>
        <v>16</v>
      </c>
      <c r="BF20" s="3"/>
      <c r="BG20" s="3"/>
      <c r="BH20" s="3"/>
      <c r="BI20" s="3"/>
    </row>
    <row r="21" spans="1:61" s="129" customFormat="1">
      <c r="A21" s="3"/>
      <c r="B21" s="16" t="s">
        <v>290</v>
      </c>
      <c r="C21" s="5" t="s">
        <v>1019</v>
      </c>
      <c r="D21" s="14" t="s">
        <v>1018</v>
      </c>
      <c r="E21" s="83" t="s">
        <v>634</v>
      </c>
      <c r="F21" s="36"/>
      <c r="G21"/>
      <c r="H21"/>
      <c r="I21" s="2"/>
      <c r="J21" s="3"/>
      <c r="K21" s="3"/>
      <c r="L21" s="3"/>
      <c r="M21" s="3"/>
      <c r="N21" s="3"/>
      <c r="O21" s="3"/>
      <c r="P21" s="3"/>
      <c r="Q21" s="3"/>
      <c r="R21" s="3"/>
      <c r="S21" s="3"/>
      <c r="T21" s="3"/>
      <c r="U21" s="3"/>
      <c r="V21" s="3"/>
      <c r="W21" s="3"/>
      <c r="BF21" s="3"/>
      <c r="BG21" s="3"/>
      <c r="BH21" s="3"/>
      <c r="BI21" s="3"/>
    </row>
    <row r="22" spans="1:61" s="129" customFormat="1">
      <c r="A22" s="3"/>
      <c r="B22" s="16" t="s">
        <v>290</v>
      </c>
      <c r="C22" s="5" t="s">
        <v>1021</v>
      </c>
      <c r="D22" s="14" t="s">
        <v>1020</v>
      </c>
      <c r="E22" s="83" t="s">
        <v>1024</v>
      </c>
      <c r="F22" s="36" t="s">
        <v>1069</v>
      </c>
      <c r="G22"/>
      <c r="H22"/>
      <c r="I22" s="2"/>
      <c r="J22" s="3"/>
      <c r="K22" s="3"/>
      <c r="L22" s="3"/>
      <c r="M22" s="3"/>
      <c r="N22" s="3"/>
      <c r="O22" s="3"/>
      <c r="P22" s="3"/>
      <c r="Q22" s="3"/>
      <c r="R22" s="3"/>
      <c r="S22" s="3"/>
      <c r="T22" s="3"/>
      <c r="U22" s="3"/>
      <c r="V22" s="3"/>
      <c r="W22" s="3"/>
      <c r="BF22" s="3"/>
      <c r="BG22" s="3"/>
      <c r="BH22" s="3"/>
      <c r="BI22" s="3"/>
    </row>
    <row r="23" spans="1:61" s="129" customFormat="1">
      <c r="A23" s="3"/>
      <c r="B23" s="16" t="s">
        <v>290</v>
      </c>
      <c r="C23" s="5" t="s">
        <v>1027</v>
      </c>
      <c r="D23" s="14" t="s">
        <v>1022</v>
      </c>
      <c r="E23" s="83" t="s">
        <v>1025</v>
      </c>
      <c r="F23" s="36" t="s">
        <v>1069</v>
      </c>
      <c r="G23"/>
      <c r="H23"/>
      <c r="I23" s="2"/>
      <c r="J23" s="3"/>
      <c r="K23" s="3"/>
      <c r="L23" s="3"/>
      <c r="M23" s="3"/>
      <c r="N23" s="3"/>
      <c r="O23" s="3"/>
      <c r="P23" s="3"/>
      <c r="Q23" s="3"/>
      <c r="R23" s="3"/>
      <c r="S23" s="3"/>
      <c r="T23" s="3"/>
      <c r="U23" s="3"/>
      <c r="V23" s="3"/>
      <c r="W23" s="3"/>
      <c r="BF23" s="3"/>
      <c r="BG23" s="3"/>
      <c r="BH23" s="3"/>
      <c r="BI23" s="3"/>
    </row>
    <row r="24" spans="1:61" s="129" customFormat="1">
      <c r="A24" s="3"/>
      <c r="B24" s="16" t="s">
        <v>290</v>
      </c>
      <c r="C24" s="5" t="s">
        <v>1028</v>
      </c>
      <c r="D24" s="14" t="s">
        <v>1023</v>
      </c>
      <c r="E24" s="83" t="s">
        <v>1026</v>
      </c>
      <c r="F24" s="36" t="s">
        <v>1070</v>
      </c>
      <c r="G24"/>
      <c r="H24"/>
      <c r="I24" s="2"/>
      <c r="J24" s="3"/>
      <c r="K24" s="3"/>
      <c r="L24" s="3"/>
      <c r="M24" s="3"/>
      <c r="N24" s="3"/>
      <c r="O24" s="3"/>
      <c r="P24" s="3"/>
      <c r="Q24" s="3"/>
      <c r="R24" s="3"/>
      <c r="S24" s="3"/>
      <c r="T24" s="3"/>
      <c r="U24" s="3"/>
      <c r="V24" s="3"/>
      <c r="W24" s="3"/>
      <c r="BF24" s="3"/>
      <c r="BG24" s="3"/>
      <c r="BH24" s="3"/>
      <c r="BI24" s="3"/>
    </row>
    <row r="25" spans="1:61" s="129" customFormat="1">
      <c r="A25" s="3"/>
      <c r="B25" s="16" t="s">
        <v>290</v>
      </c>
      <c r="C25" s="5" t="s">
        <v>321</v>
      </c>
      <c r="D25" s="285" t="str">
        <f>IF(Main_Parameters!$C$41="TX0/1 Enable","401C","201C")</f>
        <v>401C</v>
      </c>
      <c r="E25" s="14" t="s">
        <v>634</v>
      </c>
      <c r="F25" s="36" t="s">
        <v>1064</v>
      </c>
      <c r="G25"/>
      <c r="H25"/>
      <c r="I25" s="2"/>
      <c r="J25" s="3"/>
      <c r="K25" s="3"/>
      <c r="L25" s="3"/>
      <c r="M25" s="3"/>
      <c r="N25" s="3"/>
      <c r="O25" s="3"/>
      <c r="P25" s="3"/>
      <c r="Q25" s="3"/>
      <c r="R25" s="3"/>
      <c r="S25" s="3"/>
      <c r="T25" s="3"/>
      <c r="U25" s="3"/>
      <c r="V25" s="3"/>
      <c r="W25" s="3"/>
      <c r="BF25" s="3"/>
      <c r="BG25" s="3"/>
      <c r="BH25" s="3"/>
      <c r="BI25" s="3"/>
    </row>
    <row r="26" spans="1:61" s="129" customFormat="1">
      <c r="A26" s="3"/>
      <c r="B26" s="16" t="s">
        <v>290</v>
      </c>
      <c r="C26" s="5" t="s">
        <v>1030</v>
      </c>
      <c r="D26" s="14" t="s">
        <v>1029</v>
      </c>
      <c r="E26" s="83" t="s">
        <v>1031</v>
      </c>
      <c r="F26" s="36" t="s">
        <v>1065</v>
      </c>
      <c r="G26"/>
      <c r="H26"/>
      <c r="I26" s="2"/>
      <c r="J26" s="3"/>
      <c r="K26" s="3"/>
      <c r="L26" s="3"/>
      <c r="M26" s="3"/>
      <c r="N26" s="3"/>
      <c r="O26" s="3"/>
      <c r="P26" s="3"/>
      <c r="Q26" s="3"/>
      <c r="R26" s="3"/>
      <c r="S26" s="3"/>
      <c r="T26" s="3"/>
      <c r="U26" s="3"/>
      <c r="V26" s="3"/>
      <c r="W26" s="3"/>
      <c r="BF26" s="3"/>
      <c r="BG26" s="3"/>
      <c r="BH26" s="3"/>
      <c r="BI26" s="3"/>
    </row>
    <row r="27" spans="1:61" s="129" customFormat="1">
      <c r="A27" s="3"/>
      <c r="B27" s="16" t="s">
        <v>290</v>
      </c>
      <c r="C27" s="5" t="s">
        <v>1033</v>
      </c>
      <c r="D27" s="14" t="s">
        <v>1032</v>
      </c>
      <c r="E27" s="83" t="s">
        <v>1034</v>
      </c>
      <c r="F27" s="36"/>
      <c r="G27"/>
      <c r="H27"/>
      <c r="I27" s="2"/>
      <c r="J27" s="3"/>
      <c r="K27" s="3"/>
      <c r="L27" s="3"/>
      <c r="M27" s="3"/>
      <c r="N27" s="3"/>
      <c r="O27" s="3"/>
      <c r="P27" s="3"/>
      <c r="Q27" s="3"/>
      <c r="R27" s="3"/>
      <c r="S27" s="3"/>
      <c r="T27" s="3"/>
      <c r="U27" s="3"/>
      <c r="V27" s="3"/>
      <c r="W27" s="3"/>
      <c r="BF27" s="3"/>
      <c r="BG27" s="3"/>
      <c r="BH27" s="3"/>
      <c r="BI27" s="3"/>
    </row>
    <row r="28" spans="1:61" s="129" customFormat="1">
      <c r="A28" s="3"/>
      <c r="B28" s="16" t="s">
        <v>290</v>
      </c>
      <c r="C28" s="5" t="s">
        <v>1036</v>
      </c>
      <c r="D28" s="14" t="s">
        <v>1035</v>
      </c>
      <c r="E28" s="83" t="s">
        <v>1034</v>
      </c>
      <c r="F28" s="36" t="s">
        <v>1071</v>
      </c>
      <c r="G28"/>
      <c r="H28"/>
      <c r="I28" s="2"/>
      <c r="J28" s="3"/>
      <c r="K28" s="3"/>
      <c r="L28" s="3"/>
      <c r="M28" s="3"/>
      <c r="N28" s="3"/>
      <c r="O28" s="3"/>
      <c r="P28" s="3"/>
      <c r="Q28" s="3"/>
      <c r="R28" s="3"/>
      <c r="S28" s="3"/>
      <c r="T28" s="3"/>
      <c r="U28" s="3"/>
      <c r="V28" s="3"/>
      <c r="W28" s="3"/>
      <c r="BF28" s="3"/>
      <c r="BG28" s="3"/>
      <c r="BH28" s="3"/>
      <c r="BI28" s="3"/>
    </row>
    <row r="29" spans="1:61" s="129" customFormat="1">
      <c r="A29" s="3"/>
      <c r="B29" s="16" t="s">
        <v>290</v>
      </c>
      <c r="C29" s="5" t="s">
        <v>1037</v>
      </c>
      <c r="D29" s="14" t="s">
        <v>1038</v>
      </c>
      <c r="E29" s="83" t="s">
        <v>1034</v>
      </c>
      <c r="F29" s="36" t="s">
        <v>1071</v>
      </c>
      <c r="G29"/>
      <c r="H29"/>
      <c r="I29" s="2"/>
      <c r="J29" s="3"/>
      <c r="K29" s="3"/>
      <c r="L29" s="3"/>
      <c r="M29" s="3"/>
      <c r="N29" s="3"/>
      <c r="O29" s="3"/>
      <c r="P29" s="3"/>
      <c r="Q29" s="3"/>
      <c r="R29" s="3"/>
      <c r="S29" s="3"/>
      <c r="T29" s="3"/>
      <c r="U29" s="3"/>
      <c r="V29" s="3"/>
      <c r="W29" s="3"/>
      <c r="BF29" s="3"/>
      <c r="BG29" s="3"/>
      <c r="BH29" s="3"/>
      <c r="BI29" s="3"/>
    </row>
    <row r="30" spans="1:61" s="129" customFormat="1">
      <c r="A30" s="3"/>
      <c r="B30" s="16" t="s">
        <v>1040</v>
      </c>
      <c r="C30" s="5" t="s">
        <v>1042</v>
      </c>
      <c r="D30" s="14" t="s">
        <v>1039</v>
      </c>
      <c r="E30" s="83" t="s">
        <v>1041</v>
      </c>
      <c r="F30" s="36" t="s">
        <v>1072</v>
      </c>
      <c r="G30"/>
      <c r="H30"/>
      <c r="I30" s="2"/>
      <c r="J30" s="3"/>
      <c r="K30" s="3"/>
      <c r="L30" s="3"/>
      <c r="M30" s="3"/>
      <c r="N30" s="3"/>
      <c r="O30" s="3"/>
      <c r="P30" s="3"/>
      <c r="Q30" s="3"/>
      <c r="R30" s="3"/>
      <c r="S30" s="3"/>
      <c r="T30" s="3"/>
      <c r="U30" s="3"/>
      <c r="V30" s="3"/>
      <c r="W30" s="3"/>
      <c r="BF30" s="3"/>
      <c r="BG30" s="3"/>
      <c r="BH30" s="3"/>
      <c r="BI30" s="3"/>
    </row>
    <row r="31" spans="1:61" s="129" customFormat="1">
      <c r="A31" s="3"/>
      <c r="B31" s="16" t="s">
        <v>290</v>
      </c>
      <c r="C31" s="5" t="s">
        <v>1044</v>
      </c>
      <c r="D31" s="14" t="s">
        <v>1043</v>
      </c>
      <c r="E31" s="83" t="s">
        <v>1034</v>
      </c>
      <c r="F31" s="235"/>
      <c r="G31"/>
      <c r="H31"/>
      <c r="I31" s="2"/>
      <c r="J31" s="3"/>
      <c r="K31" s="3"/>
      <c r="L31" s="3"/>
      <c r="M31" s="3"/>
      <c r="N31" s="3"/>
      <c r="O31" s="3"/>
      <c r="P31" s="3"/>
      <c r="Q31" s="3"/>
      <c r="R31" s="3"/>
      <c r="S31" s="3"/>
      <c r="T31" s="3"/>
      <c r="U31" s="3"/>
      <c r="V31" s="3"/>
      <c r="W31" s="3"/>
      <c r="BF31" s="3"/>
      <c r="BG31" s="3"/>
      <c r="BH31" s="3"/>
      <c r="BI31" s="3"/>
    </row>
    <row r="32" spans="1:61" s="129" customFormat="1">
      <c r="A32" s="3"/>
      <c r="B32" s="16" t="s">
        <v>290</v>
      </c>
      <c r="C32" s="5" t="s">
        <v>1046</v>
      </c>
      <c r="D32" s="14" t="s">
        <v>1045</v>
      </c>
      <c r="E32" s="83" t="s">
        <v>167</v>
      </c>
      <c r="F32" s="36" t="s">
        <v>1066</v>
      </c>
      <c r="G32"/>
      <c r="H32"/>
      <c r="I32" s="2"/>
      <c r="J32" s="3"/>
      <c r="K32" s="3"/>
      <c r="L32" s="3"/>
      <c r="M32" s="3"/>
      <c r="N32" s="3"/>
      <c r="O32" s="3"/>
      <c r="P32" s="3"/>
      <c r="Q32" s="3"/>
      <c r="R32" s="3"/>
      <c r="S32" s="3"/>
      <c r="T32" s="3"/>
      <c r="U32" s="3"/>
      <c r="V32" s="3"/>
      <c r="W32" s="3"/>
      <c r="BF32" s="3"/>
      <c r="BG32" s="3"/>
      <c r="BH32" s="3"/>
      <c r="BI32" s="3"/>
    </row>
    <row r="33" spans="1:61" s="129" customFormat="1">
      <c r="A33" s="3"/>
      <c r="B33" s="16" t="s">
        <v>1040</v>
      </c>
      <c r="C33" s="5" t="s">
        <v>1048</v>
      </c>
      <c r="D33" s="14" t="s">
        <v>1047</v>
      </c>
      <c r="E33" s="83" t="s">
        <v>880</v>
      </c>
      <c r="F33" s="36" t="s">
        <v>1067</v>
      </c>
      <c r="G33"/>
      <c r="H33"/>
      <c r="I33" s="2"/>
      <c r="J33" s="3"/>
      <c r="K33" s="3"/>
      <c r="L33" s="3"/>
      <c r="M33" s="3"/>
      <c r="N33" s="3"/>
      <c r="O33" s="3"/>
      <c r="P33" s="3"/>
      <c r="Q33" s="3"/>
      <c r="R33" s="3"/>
      <c r="S33" s="3"/>
      <c r="T33" s="3"/>
      <c r="U33" s="3"/>
      <c r="V33" s="3"/>
      <c r="W33" s="3"/>
      <c r="BF33" s="3"/>
      <c r="BG33" s="3"/>
      <c r="BH33" s="3"/>
      <c r="BI33" s="3"/>
    </row>
    <row r="34" spans="1:61" s="129" customFormat="1">
      <c r="A34" s="3"/>
      <c r="B34" s="16" t="s">
        <v>1040</v>
      </c>
      <c r="C34" s="5" t="s">
        <v>1049</v>
      </c>
      <c r="D34" s="14" t="s">
        <v>1050</v>
      </c>
      <c r="E34" s="83" t="s">
        <v>799</v>
      </c>
      <c r="F34" s="36" t="s">
        <v>1067</v>
      </c>
      <c r="G34"/>
      <c r="H34"/>
      <c r="I34" s="2"/>
      <c r="J34" s="3"/>
      <c r="K34" s="3"/>
      <c r="L34" s="3"/>
      <c r="M34" s="3"/>
      <c r="N34" s="3"/>
      <c r="O34" s="3"/>
      <c r="P34" s="3"/>
      <c r="Q34" s="3"/>
      <c r="R34" s="3"/>
      <c r="S34" s="3"/>
      <c r="T34" s="3"/>
      <c r="U34" s="3"/>
      <c r="V34" s="3"/>
      <c r="W34" s="3"/>
      <c r="BF34" s="3"/>
      <c r="BG34" s="3"/>
      <c r="BH34" s="3"/>
      <c r="BI34" s="3"/>
    </row>
    <row r="35" spans="1:61">
      <c r="B35" s="80" t="str">
        <f>IF(Main_Parameters!$C$37=26,"REM","REMnd")</f>
        <v>REMnd</v>
      </c>
      <c r="C35" s="82" t="s">
        <v>1442</v>
      </c>
      <c r="D35" s="80"/>
      <c r="E35" s="101"/>
      <c r="F35" s="92"/>
      <c r="G35"/>
      <c r="H35"/>
      <c r="I35" s="2"/>
    </row>
    <row r="36" spans="1:61" s="129" customFormat="1">
      <c r="A36" s="3"/>
      <c r="B36" s="16" t="s">
        <v>1040</v>
      </c>
      <c r="C36" s="5" t="s">
        <v>1048</v>
      </c>
      <c r="D36" s="14" t="s">
        <v>1047</v>
      </c>
      <c r="E36" s="83" t="s">
        <v>880</v>
      </c>
      <c r="F36" s="36" t="s">
        <v>1077</v>
      </c>
      <c r="G36"/>
      <c r="H36"/>
      <c r="I36" s="2"/>
      <c r="J36" s="3"/>
      <c r="K36" s="3"/>
      <c r="L36" s="3"/>
      <c r="M36" s="3"/>
      <c r="N36" s="3"/>
      <c r="O36" s="3"/>
      <c r="P36" s="3"/>
      <c r="Q36" s="3"/>
      <c r="R36" s="3"/>
      <c r="S36" s="3"/>
      <c r="T36" s="3"/>
      <c r="U36" s="3"/>
      <c r="V36" s="3"/>
      <c r="W36" s="3"/>
      <c r="BF36" s="3"/>
      <c r="BG36" s="3"/>
      <c r="BH36" s="3"/>
      <c r="BI36" s="3"/>
    </row>
    <row r="37" spans="1:61" s="129" customFormat="1">
      <c r="A37" s="3"/>
      <c r="B37" s="16" t="s">
        <v>1040</v>
      </c>
      <c r="C37" s="5" t="s">
        <v>1049</v>
      </c>
      <c r="D37" s="14" t="s">
        <v>1050</v>
      </c>
      <c r="E37" s="83" t="s">
        <v>1075</v>
      </c>
      <c r="F37" s="36" t="s">
        <v>1077</v>
      </c>
      <c r="G37"/>
      <c r="H37"/>
      <c r="I37" s="2"/>
      <c r="J37" s="3"/>
      <c r="K37" s="3"/>
      <c r="L37" s="3"/>
      <c r="M37" s="3"/>
      <c r="N37" s="3"/>
      <c r="O37" s="3"/>
      <c r="P37" s="3"/>
      <c r="Q37" s="3"/>
      <c r="R37" s="3"/>
      <c r="S37" s="3"/>
      <c r="T37" s="3"/>
      <c r="U37" s="3"/>
      <c r="V37" s="3"/>
      <c r="W37" s="3"/>
      <c r="BF37" s="3"/>
      <c r="BG37" s="3"/>
      <c r="BH37" s="3"/>
      <c r="BI37" s="3"/>
    </row>
    <row r="38" spans="1:61">
      <c r="B38" s="16" t="s">
        <v>290</v>
      </c>
      <c r="C38" s="5" t="s">
        <v>308</v>
      </c>
      <c r="D38" s="14" t="s">
        <v>296</v>
      </c>
      <c r="E38" s="83" t="s">
        <v>1076</v>
      </c>
      <c r="F38" s="36"/>
      <c r="G38"/>
      <c r="H38"/>
      <c r="I38"/>
      <c r="J38"/>
      <c r="K38"/>
      <c r="L38"/>
      <c r="M38"/>
      <c r="N38"/>
      <c r="O38"/>
      <c r="P38"/>
      <c r="Q38"/>
      <c r="R38"/>
      <c r="S38"/>
      <c r="T38"/>
      <c r="U38"/>
      <c r="V38"/>
      <c r="W38"/>
      <c r="Y38" s="359">
        <v>0</v>
      </c>
      <c r="Z38" s="360">
        <v>0</v>
      </c>
      <c r="AA38" s="360">
        <v>0</v>
      </c>
      <c r="AB38" s="360">
        <v>0</v>
      </c>
      <c r="AC38" s="360">
        <v>0</v>
      </c>
      <c r="AD38" s="360">
        <v>0</v>
      </c>
      <c r="AE38" s="360">
        <v>0</v>
      </c>
      <c r="AF38" s="361">
        <v>0</v>
      </c>
      <c r="AG38" s="359">
        <v>0</v>
      </c>
      <c r="AH38" s="360">
        <v>0</v>
      </c>
      <c r="AI38" s="360">
        <v>0</v>
      </c>
      <c r="AJ38" s="360">
        <v>0</v>
      </c>
      <c r="AK38" s="360">
        <v>0</v>
      </c>
      <c r="AL38" s="360">
        <v>0</v>
      </c>
      <c r="AM38" s="360">
        <v>0</v>
      </c>
      <c r="AN38" s="361">
        <v>0</v>
      </c>
      <c r="AO38" s="359">
        <v>0</v>
      </c>
      <c r="AP38" s="360">
        <v>0</v>
      </c>
      <c r="AQ38" s="360">
        <v>0</v>
      </c>
      <c r="AR38" s="360">
        <v>0</v>
      </c>
      <c r="AS38" s="360">
        <v>0</v>
      </c>
      <c r="AT38" s="360">
        <v>0</v>
      </c>
      <c r="AU38" s="360">
        <v>0</v>
      </c>
      <c r="AV38" s="361">
        <v>0</v>
      </c>
      <c r="AW38" s="362">
        <f>IF(I38="eFuse",1,0)</f>
        <v>0</v>
      </c>
      <c r="AX38" s="363">
        <f>IF(K38="Enable",1,0)</f>
        <v>0</v>
      </c>
      <c r="AY38" s="363">
        <f>IF(M38="Enable",1,0)</f>
        <v>0</v>
      </c>
      <c r="AZ38" s="363">
        <f>IF(O38="Enable",1,0)</f>
        <v>0</v>
      </c>
      <c r="BA38" s="360">
        <v>0</v>
      </c>
      <c r="BB38" s="363">
        <f>IF(S38="Auto Boot",1,0)</f>
        <v>0</v>
      </c>
      <c r="BC38" s="363">
        <f>IF(U38="Auto Boot",1,0)</f>
        <v>0</v>
      </c>
      <c r="BD38" s="364">
        <f>IF(W38="Auto Boot",1,0)</f>
        <v>0</v>
      </c>
    </row>
    <row r="39" spans="1:61">
      <c r="B39" s="89" t="str">
        <f ca="1">IF((COUNTIF(B44:B58,"WR8")+COUNTIF(B44:B58,"WR16")+COUNTIF(B44:B58,"WR32"))&gt;0,"WR32","REMnd")</f>
        <v>WR32</v>
      </c>
      <c r="C39" s="5" t="s">
        <v>308</v>
      </c>
      <c r="D39" s="14" t="s">
        <v>296</v>
      </c>
      <c r="E39" s="100" t="str">
        <f ca="1">DEC2HEX(Y39*2^31+Z39*2^30+AA39*2^29+AB39*2^28+AC39*2^27+AD39*2^26+AE39*2^25+AF39*2^24+AG39*2^23+AH39*2^22+AI39*2^21+AJ39*2^20+AK39*2^19+AL39*2^18+AM39*2^17+AN39*2^16+AO39*2^15+AP39*2^14+AQ39*2^13+AR39*2^12+AS39*2^11+AT39*2^10+AU39*2^9+AV39*2^8+AW39*2^7+AX39*2^6+AY39*2^5+AZ39*2^4+BA39*2^3+BB39*2^2+BC39*2^1+BD39*2^0,8)</f>
        <v>00000005</v>
      </c>
      <c r="F39" s="36" t="s">
        <v>454</v>
      </c>
      <c r="G39"/>
      <c r="H39" s="188" t="s">
        <v>354</v>
      </c>
      <c r="I39" s="193" t="s">
        <v>122</v>
      </c>
      <c r="J39" s="188" t="s">
        <v>355</v>
      </c>
      <c r="K39" s="193" t="s">
        <v>37</v>
      </c>
      <c r="L39" s="188" t="s">
        <v>356</v>
      </c>
      <c r="M39" s="193" t="s">
        <v>37</v>
      </c>
      <c r="N39" s="188" t="s">
        <v>357</v>
      </c>
      <c r="O39" s="194" t="s">
        <v>37</v>
      </c>
      <c r="P39" s="192"/>
      <c r="Q39" s="189"/>
      <c r="R39" s="264" t="s">
        <v>358</v>
      </c>
      <c r="S39" s="287" t="str">
        <f>IF((COUNTIF(B64:B89,"WR8")+COUNTIF(B64:B89,"WR16")+COUNTIF(B64:B89,"WR32"))&gt;0,"No","Auto Boot")</f>
        <v>Auto Boot</v>
      </c>
      <c r="T39" s="206" t="s">
        <v>359</v>
      </c>
      <c r="U39" s="287" t="str">
        <f ca="1">IF((COUNTIF(B44:B58,"WR8")+COUNTIF(B44:B58,"WR16")+COUNTIF(B44:B58,"WR32"))&gt;0,"No","Auto Boot")</f>
        <v>No</v>
      </c>
      <c r="V39" s="205" t="s">
        <v>360</v>
      </c>
      <c r="W39" s="335" t="s">
        <v>830</v>
      </c>
      <c r="Y39" s="359">
        <v>0</v>
      </c>
      <c r="Z39" s="360">
        <v>0</v>
      </c>
      <c r="AA39" s="360">
        <v>0</v>
      </c>
      <c r="AB39" s="360">
        <v>0</v>
      </c>
      <c r="AC39" s="360">
        <v>0</v>
      </c>
      <c r="AD39" s="360">
        <v>0</v>
      </c>
      <c r="AE39" s="360">
        <v>0</v>
      </c>
      <c r="AF39" s="361">
        <v>0</v>
      </c>
      <c r="AG39" s="359">
        <v>0</v>
      </c>
      <c r="AH39" s="360">
        <v>0</v>
      </c>
      <c r="AI39" s="360">
        <v>0</v>
      </c>
      <c r="AJ39" s="360">
        <v>0</v>
      </c>
      <c r="AK39" s="360">
        <v>0</v>
      </c>
      <c r="AL39" s="360">
        <v>0</v>
      </c>
      <c r="AM39" s="360">
        <v>0</v>
      </c>
      <c r="AN39" s="361">
        <v>0</v>
      </c>
      <c r="AO39" s="359">
        <v>0</v>
      </c>
      <c r="AP39" s="360">
        <v>0</v>
      </c>
      <c r="AQ39" s="360">
        <v>0</v>
      </c>
      <c r="AR39" s="360">
        <v>0</v>
      </c>
      <c r="AS39" s="360">
        <v>0</v>
      </c>
      <c r="AT39" s="360">
        <v>0</v>
      </c>
      <c r="AU39" s="360">
        <v>0</v>
      </c>
      <c r="AV39" s="361">
        <v>0</v>
      </c>
      <c r="AW39" s="362">
        <f>IF(I39="eFuse",1,0)</f>
        <v>0</v>
      </c>
      <c r="AX39" s="363">
        <f>IF(K39="Enable",1,0)</f>
        <v>0</v>
      </c>
      <c r="AY39" s="363">
        <f>IF(M39="Enable",1,0)</f>
        <v>0</v>
      </c>
      <c r="AZ39" s="363">
        <f>IF(O39="Enable",1,0)</f>
        <v>0</v>
      </c>
      <c r="BA39" s="360">
        <v>0</v>
      </c>
      <c r="BB39" s="363">
        <f>IF(S39="Auto Boot",1,0)</f>
        <v>1</v>
      </c>
      <c r="BC39" s="363">
        <f ca="1">IF(U39="Auto Boot",1,0)</f>
        <v>0</v>
      </c>
      <c r="BD39" s="364">
        <f>IF(W39="Auto Boot",1,0)</f>
        <v>1</v>
      </c>
    </row>
    <row r="40" spans="1:61">
      <c r="B40" s="89" t="str">
        <f ca="1">IF((COUNTIF(B44:B58,"WR8")+COUNTIF(B44:B58,"WR16")+COUNTIF(B44:B58,"WR32"))&gt;0,"delay","REMnd")</f>
        <v>delay</v>
      </c>
      <c r="C40" s="5"/>
      <c r="D40" s="14">
        <v>1000</v>
      </c>
      <c r="E40" s="207"/>
      <c r="F40" s="36" t="s">
        <v>446</v>
      </c>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1:61">
      <c r="B41" s="89" t="str">
        <f ca="1">IF((COUNTIF(B44:B58,"WR8")+COUNTIF(B44:B58,"WR16")+COUNTIF(B44:B58,"WR32"))&gt;0,"RD32","REMnd")</f>
        <v>RD32</v>
      </c>
      <c r="C41" s="5" t="s">
        <v>309</v>
      </c>
      <c r="D41" s="14" t="s">
        <v>297</v>
      </c>
      <c r="E41" s="294" t="str">
        <f ca="1">DEC2HEX(Y41*2^31+Z41*2^30+AA41*2^29+AB41*2^28+AC41*2^27+AD41*2^26+AE41*2^25+AF41*2^24+AG41*2^23+AH41*2^22+AI41*2^21+AJ41*2^20+AK41*2^19+AL41*2^18+AM41*2^17+AN41*2^16+AO41*2^15+AP41*2^14+AQ41*2^13+AR41*2^12+AS41*2^11+AT41*2^10+AU41*2^9+AV41*2^8+AW41*2^7+AX41*2^6+AY41*2^5+AZ41*2^4+BA41*2^3+BB41*2^2+BC41*2^1+BD41*2^0,8)</f>
        <v>00000002</v>
      </c>
      <c r="F41" s="36" t="s">
        <v>380</v>
      </c>
      <c r="G41"/>
      <c r="H41"/>
      <c r="I41"/>
      <c r="J41"/>
      <c r="K41"/>
      <c r="L41"/>
      <c r="M41"/>
      <c r="N41"/>
      <c r="O41"/>
      <c r="P41"/>
      <c r="Q41"/>
      <c r="R41"/>
      <c r="S41"/>
      <c r="T41"/>
      <c r="U41"/>
      <c r="V41"/>
      <c r="W41"/>
      <c r="X41"/>
      <c r="Y41" s="359">
        <v>0</v>
      </c>
      <c r="Z41" s="360">
        <v>0</v>
      </c>
      <c r="AA41" s="360">
        <v>0</v>
      </c>
      <c r="AB41" s="360">
        <v>0</v>
      </c>
      <c r="AC41" s="360">
        <v>0</v>
      </c>
      <c r="AD41" s="360">
        <v>0</v>
      </c>
      <c r="AE41" s="360">
        <v>0</v>
      </c>
      <c r="AF41" s="361">
        <v>0</v>
      </c>
      <c r="AG41" s="359">
        <v>0</v>
      </c>
      <c r="AH41" s="360">
        <v>0</v>
      </c>
      <c r="AI41" s="360">
        <v>0</v>
      </c>
      <c r="AJ41" s="360">
        <v>0</v>
      </c>
      <c r="AK41" s="360">
        <v>0</v>
      </c>
      <c r="AL41" s="360">
        <v>0</v>
      </c>
      <c r="AM41" s="360">
        <v>0</v>
      </c>
      <c r="AN41" s="361">
        <v>0</v>
      </c>
      <c r="AO41" s="359">
        <v>0</v>
      </c>
      <c r="AP41" s="360">
        <v>0</v>
      </c>
      <c r="AQ41" s="360">
        <v>0</v>
      </c>
      <c r="AR41" s="360">
        <v>0</v>
      </c>
      <c r="AS41" s="360">
        <v>0</v>
      </c>
      <c r="AT41" s="360">
        <v>0</v>
      </c>
      <c r="AU41" s="360">
        <v>0</v>
      </c>
      <c r="AV41" s="361">
        <v>0</v>
      </c>
      <c r="AW41" s="359">
        <v>0</v>
      </c>
      <c r="AX41" s="360">
        <v>0</v>
      </c>
      <c r="AY41" s="360">
        <v>0</v>
      </c>
      <c r="AZ41" s="360">
        <v>0</v>
      </c>
      <c r="BA41" s="360">
        <v>0</v>
      </c>
      <c r="BB41" s="365">
        <f ca="1">IF(AND(BD39=1,BC39=1),1,0)</f>
        <v>0</v>
      </c>
      <c r="BC41" s="365">
        <f>IF(BD39=1,1,0)</f>
        <v>1</v>
      </c>
      <c r="BD41" s="366">
        <f ca="1">IF(AND(BB39=1,BC39=1,BD39=1),1,0)</f>
        <v>0</v>
      </c>
      <c r="BE41"/>
      <c r="BF41"/>
      <c r="BG41"/>
      <c r="BH41"/>
      <c r="BI41"/>
    </row>
    <row r="42" spans="1:61">
      <c r="B42" s="432" t="str">
        <f ca="1">IF((COUNTIF(B44:B58,"WR8")+COUNTIF(B44:B58,"WR16")+COUNTIF(B44:B58,"WR32"))&gt;0,"CHECK","REMnd")</f>
        <v>CHECK</v>
      </c>
      <c r="C42" s="235" t="s">
        <v>931</v>
      </c>
      <c r="D42" s="236"/>
      <c r="E42" s="237"/>
      <c r="F42" s="235" t="s">
        <v>930</v>
      </c>
      <c r="G42"/>
      <c r="H42"/>
      <c r="I42" s="2"/>
    </row>
    <row r="43" spans="1:61">
      <c r="B43" s="80" t="str">
        <f>IF(Main_Parameters!$C$37=26,"REM","REMnd")</f>
        <v>REMnd</v>
      </c>
      <c r="C43" s="82" t="s">
        <v>1167</v>
      </c>
      <c r="D43" s="80"/>
      <c r="E43" s="101"/>
      <c r="F43" s="92"/>
      <c r="G43"/>
      <c r="H43"/>
      <c r="I43" s="2"/>
    </row>
    <row r="44" spans="1:61">
      <c r="B44" s="89" t="str">
        <f>IF(Main_Parameters!$C$37=26,"WR8","REMnd")</f>
        <v>REMnd</v>
      </c>
      <c r="C44" s="333" t="s">
        <v>1168</v>
      </c>
      <c r="D44" s="334" t="s">
        <v>1169</v>
      </c>
      <c r="E44" s="83" t="s">
        <v>1170</v>
      </c>
      <c r="F44" s="135"/>
      <c r="G44"/>
      <c r="H44"/>
      <c r="I44" s="2"/>
    </row>
    <row r="45" spans="1:61">
      <c r="B45" s="89" t="str">
        <f>IF(Main_Parameters!$C$37=26,"WR16","REMnd")</f>
        <v>REMnd</v>
      </c>
      <c r="C45" s="333" t="s">
        <v>1171</v>
      </c>
      <c r="D45" s="334" t="s">
        <v>1173</v>
      </c>
      <c r="E45" s="83" t="s">
        <v>1174</v>
      </c>
      <c r="F45" s="135"/>
      <c r="G45"/>
      <c r="H45"/>
      <c r="I45" s="2"/>
    </row>
    <row r="46" spans="1:61">
      <c r="B46" s="89" t="str">
        <f>IF(Main_Parameters!$C$37=26,"WR32","REMnd")</f>
        <v>REMnd</v>
      </c>
      <c r="C46" s="333" t="s">
        <v>1172</v>
      </c>
      <c r="D46" s="334" t="s">
        <v>1175</v>
      </c>
      <c r="E46" s="83" t="s">
        <v>1176</v>
      </c>
      <c r="F46" s="135"/>
      <c r="G46"/>
      <c r="H46"/>
      <c r="I46" s="2"/>
    </row>
    <row r="47" spans="1:61">
      <c r="B47" s="80" t="str">
        <f>IF(OR(Main_Parameters!$C$23&lt;&gt;"Preset",Main_Parameters!$C$37=26),"REM","REMnd")</f>
        <v>REM</v>
      </c>
      <c r="C47" s="82" t="s">
        <v>1177</v>
      </c>
      <c r="D47" s="80"/>
      <c r="E47" s="101"/>
      <c r="F47" s="92"/>
      <c r="G47"/>
      <c r="H47"/>
      <c r="I47" s="2"/>
    </row>
    <row r="48" spans="1:61">
      <c r="B48" s="89" t="str">
        <f>IF(OR(Main_Parameters!$C$23&lt;&gt;"Preset",Main_Parameters!$C$37=26),"WR8","REMnd")</f>
        <v>WR8</v>
      </c>
      <c r="C48" s="333" t="s">
        <v>841</v>
      </c>
      <c r="D48" s="334" t="s">
        <v>836</v>
      </c>
      <c r="E48" s="100" t="str">
        <f ca="1">Main_Parameters!$C$260</f>
        <v>0A</v>
      </c>
      <c r="F48" s="135"/>
      <c r="G48"/>
      <c r="H48"/>
      <c r="I48" s="2"/>
    </row>
    <row r="49" spans="2:61">
      <c r="B49" s="89" t="str">
        <f>IF(OR(Main_Parameters!$C$23&lt;&gt;"Preset",Main_Parameters!$C$37=26),"WR8","REMnd")</f>
        <v>WR8</v>
      </c>
      <c r="C49" s="333" t="s">
        <v>842</v>
      </c>
      <c r="D49" s="334" t="s">
        <v>837</v>
      </c>
      <c r="E49" s="100" t="str">
        <f ca="1">Main_Parameters!$C$261</f>
        <v>03</v>
      </c>
      <c r="F49" s="135"/>
      <c r="G49"/>
      <c r="H49"/>
      <c r="I49" s="2"/>
    </row>
    <row r="50" spans="2:61">
      <c r="B50" s="89" t="str">
        <f>IF(OR(Main_Parameters!$C$23&lt;&gt;"Preset",Main_Parameters!$C$37=26),"WR8","REMnd")</f>
        <v>WR8</v>
      </c>
      <c r="C50" s="333" t="s">
        <v>843</v>
      </c>
      <c r="D50" s="334" t="s">
        <v>838</v>
      </c>
      <c r="E50" s="100" t="str">
        <f ca="1">Main_Parameters!$C$262</f>
        <v>16</v>
      </c>
      <c r="F50" s="135"/>
      <c r="G50"/>
      <c r="H50"/>
      <c r="I50" s="2"/>
    </row>
    <row r="51" spans="2:61">
      <c r="B51" s="89" t="str">
        <f>IF(OR(Main_Parameters!$C$23&lt;&gt;"Preset",Main_Parameters!$C$37=26),"WR8","REMnd")</f>
        <v>WR8</v>
      </c>
      <c r="C51" s="333" t="s">
        <v>844</v>
      </c>
      <c r="D51" s="334" t="s">
        <v>839</v>
      </c>
      <c r="E51" s="100" t="str">
        <f ca="1">Main_Parameters!$C$263</f>
        <v>00</v>
      </c>
      <c r="F51" s="135"/>
      <c r="G51"/>
      <c r="H51"/>
      <c r="I51" s="2"/>
    </row>
    <row r="52" spans="2:61">
      <c r="B52" s="89" t="str">
        <f>IF(OR(Main_Parameters!$C$23&lt;&gt;"Preset",Main_Parameters!$C$37=26),"WR8","REMnd")</f>
        <v>WR8</v>
      </c>
      <c r="C52" s="333" t="s">
        <v>845</v>
      </c>
      <c r="D52" s="334" t="s">
        <v>839</v>
      </c>
      <c r="E52" s="100" t="str">
        <f ca="1">Main_Parameters!$C$264</f>
        <v>21</v>
      </c>
      <c r="F52" s="135"/>
      <c r="G52"/>
      <c r="H52"/>
      <c r="I52" s="2"/>
    </row>
    <row r="53" spans="2:61">
      <c r="B53" s="89" t="str">
        <f>IF(OR(Main_Parameters!$C$23&lt;&gt;"Preset",Main_Parameters!$C$37=26),"WR8","REMnd")</f>
        <v>WR8</v>
      </c>
      <c r="C53" s="333" t="s">
        <v>846</v>
      </c>
      <c r="D53" s="334" t="s">
        <v>840</v>
      </c>
      <c r="E53" s="100" t="str">
        <f ca="1">Main_Parameters!$C$265</f>
        <v>07</v>
      </c>
      <c r="F53" s="135"/>
      <c r="G53"/>
      <c r="H53"/>
      <c r="I53" s="2"/>
    </row>
    <row r="54" spans="2:61">
      <c r="B54" s="80" t="str">
        <f ca="1">IF(OR(Main_Parameters!$BA$40="Original",Main_Parameters!$C$37=26),"REM","REMnd")</f>
        <v>REM</v>
      </c>
      <c r="C54" s="82" t="s">
        <v>1178</v>
      </c>
      <c r="D54" s="80"/>
      <c r="E54" s="101"/>
      <c r="F54" s="92"/>
      <c r="G54"/>
      <c r="H54"/>
      <c r="I54" s="2"/>
    </row>
    <row r="55" spans="2:61">
      <c r="B55" s="89" t="str">
        <f ca="1">IF(OR(Main_Parameters!$BA$40="Original",Main_Parameters!$C$37=26),"WR32","REMnd")</f>
        <v>WR32</v>
      </c>
      <c r="C55" s="333" t="s">
        <v>849</v>
      </c>
      <c r="D55" s="334" t="s">
        <v>852</v>
      </c>
      <c r="E55" s="100" t="str">
        <f ca="1">Main_Parameters!$C$275</f>
        <v>00002624</v>
      </c>
      <c r="F55" s="135"/>
      <c r="G55"/>
      <c r="H55"/>
      <c r="I55" s="2"/>
    </row>
    <row r="56" spans="2:61">
      <c r="B56" s="89" t="str">
        <f ca="1">IF(OR(Main_Parameters!$BA$40="Original",Main_Parameters!$C$37=26),"WR32","REMnd")</f>
        <v>WR32</v>
      </c>
      <c r="C56" s="333" t="s">
        <v>850</v>
      </c>
      <c r="D56" s="334" t="s">
        <v>999</v>
      </c>
      <c r="E56" s="100" t="str">
        <f ca="1">Main_Parameters!$C$281</f>
        <v>00000A01</v>
      </c>
      <c r="F56" s="135"/>
      <c r="G56"/>
      <c r="H56"/>
      <c r="I56" s="2"/>
    </row>
    <row r="57" spans="2:61">
      <c r="B57" s="89" t="str">
        <f ca="1">IF(OR(Main_Parameters!$BA$40="Original",Main_Parameters!$C$37=26),"WR32","REMnd")</f>
        <v>WR32</v>
      </c>
      <c r="C57" s="333" t="s">
        <v>851</v>
      </c>
      <c r="D57" s="334" t="s">
        <v>1000</v>
      </c>
      <c r="E57" s="100" t="str">
        <f>Main_Parameters!$C$285</f>
        <v>00000030</v>
      </c>
      <c r="F57" s="135"/>
      <c r="G57"/>
      <c r="H57"/>
      <c r="I57" s="2"/>
    </row>
    <row r="58" spans="2:61">
      <c r="B58" s="89" t="str">
        <f>IF(Main_Parameters!$C$37=26,"WR32","REMnd")</f>
        <v>REMnd</v>
      </c>
      <c r="C58" s="333" t="s">
        <v>1252</v>
      </c>
      <c r="D58" s="334" t="s">
        <v>1253</v>
      </c>
      <c r="E58" s="83" t="s">
        <v>1254</v>
      </c>
      <c r="F58" s="135"/>
      <c r="G58"/>
      <c r="H58"/>
      <c r="I58" s="2"/>
    </row>
    <row r="59" spans="2:61">
      <c r="B59" s="89" t="str">
        <f>IF((COUNTIF(B64:B89,"WR8")+COUNTIF(B64:B89,"WR16")+COUNTIF(B64:B89,"WR32"))&gt;0,"WR32","REMnd")</f>
        <v>REMnd</v>
      </c>
      <c r="C59" s="5" t="s">
        <v>308</v>
      </c>
      <c r="D59" s="14" t="s">
        <v>296</v>
      </c>
      <c r="E59" s="100" t="str">
        <f>DEC2HEX(Y59*2^31+Z59*2^30+AA59*2^29+AB59*2^28+AC59*2^27+AD59*2^26+AE59*2^25+AF59*2^24+AG59*2^23+AH59*2^22+AI59*2^21+AJ59*2^20+AK59*2^19+AL59*2^18+AM59*2^17+AN59*2^16+AO59*2^15+AP59*2^14+AQ59*2^13+AR59*2^12+AS59*2^11+AT59*2^10+AU59*2^9+AV59*2^8+AW59*2^7+AX59*2^6+AY59*2^5+AZ59*2^4+BA59*2^3+BB59*2^2+BC59*2^1+BD59*2^0,8)</f>
        <v>00000007</v>
      </c>
      <c r="F59" s="36" t="s">
        <v>454</v>
      </c>
      <c r="G59"/>
      <c r="H59" s="188" t="s">
        <v>354</v>
      </c>
      <c r="I59" s="335" t="s">
        <v>831</v>
      </c>
      <c r="J59" s="188" t="s">
        <v>355</v>
      </c>
      <c r="K59" s="335" t="s">
        <v>848</v>
      </c>
      <c r="L59" s="188" t="s">
        <v>356</v>
      </c>
      <c r="M59" s="335" t="s">
        <v>848</v>
      </c>
      <c r="N59" s="188" t="s">
        <v>357</v>
      </c>
      <c r="O59" s="335" t="s">
        <v>848</v>
      </c>
      <c r="P59" s="192"/>
      <c r="Q59" s="189"/>
      <c r="R59" s="264" t="s">
        <v>358</v>
      </c>
      <c r="S59" s="89" t="str">
        <f>IF((COUNTIF(B64:B89,"WR8")+COUNTIF(B64:B89,"WR16")+COUNTIF(B64:B89,"WR32"))&gt;0,"No","Auto Boot")</f>
        <v>Auto Boot</v>
      </c>
      <c r="T59" s="206" t="s">
        <v>359</v>
      </c>
      <c r="U59" s="335" t="s">
        <v>830</v>
      </c>
      <c r="V59" s="205" t="s">
        <v>360</v>
      </c>
      <c r="W59" s="335" t="s">
        <v>830</v>
      </c>
      <c r="Y59" s="359">
        <v>0</v>
      </c>
      <c r="Z59" s="360">
        <v>0</v>
      </c>
      <c r="AA59" s="360">
        <v>0</v>
      </c>
      <c r="AB59" s="360">
        <v>0</v>
      </c>
      <c r="AC59" s="360">
        <v>0</v>
      </c>
      <c r="AD59" s="360">
        <v>0</v>
      </c>
      <c r="AE59" s="360">
        <v>0</v>
      </c>
      <c r="AF59" s="361">
        <v>0</v>
      </c>
      <c r="AG59" s="359">
        <v>0</v>
      </c>
      <c r="AH59" s="360">
        <v>0</v>
      </c>
      <c r="AI59" s="360">
        <v>0</v>
      </c>
      <c r="AJ59" s="360">
        <v>0</v>
      </c>
      <c r="AK59" s="360">
        <v>0</v>
      </c>
      <c r="AL59" s="360">
        <v>0</v>
      </c>
      <c r="AM59" s="360">
        <v>0</v>
      </c>
      <c r="AN59" s="361">
        <v>0</v>
      </c>
      <c r="AO59" s="359">
        <v>0</v>
      </c>
      <c r="AP59" s="360">
        <v>0</v>
      </c>
      <c r="AQ59" s="360">
        <v>0</v>
      </c>
      <c r="AR59" s="360">
        <v>0</v>
      </c>
      <c r="AS59" s="360">
        <v>0</v>
      </c>
      <c r="AT59" s="360">
        <v>0</v>
      </c>
      <c r="AU59" s="360">
        <v>0</v>
      </c>
      <c r="AV59" s="361">
        <v>0</v>
      </c>
      <c r="AW59" s="362">
        <f>IF(I59="eFuse",1,0)</f>
        <v>0</v>
      </c>
      <c r="AX59" s="363">
        <f>IF(K59="Enable",1,0)</f>
        <v>0</v>
      </c>
      <c r="AY59" s="363">
        <f>IF(M59="Enable",1,0)</f>
        <v>0</v>
      </c>
      <c r="AZ59" s="363">
        <f>IF(O59="Enable",1,0)</f>
        <v>0</v>
      </c>
      <c r="BA59" s="360">
        <v>0</v>
      </c>
      <c r="BB59" s="363">
        <f>IF(S59="Auto Boot",1,0)</f>
        <v>1</v>
      </c>
      <c r="BC59" s="363">
        <f>IF(U59="Auto Boot",1,0)</f>
        <v>1</v>
      </c>
      <c r="BD59" s="364">
        <f>IF(W59="Auto Boot",1,0)</f>
        <v>1</v>
      </c>
    </row>
    <row r="60" spans="2:61">
      <c r="B60" s="89" t="str">
        <f>IF((COUNTIF(B64:B89,"WR8")+COUNTIF(B64:B89,"WR16")+COUNTIF(B64:B89,"WR32"))&gt;0,"delay","REMnd")</f>
        <v>REMnd</v>
      </c>
      <c r="C60" s="5"/>
      <c r="D60" s="14">
        <v>1000</v>
      </c>
      <c r="E60" s="207"/>
      <c r="F60" s="36" t="s">
        <v>446</v>
      </c>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61">
      <c r="B61" s="89" t="str">
        <f>IF((COUNTIF(B64:B89,"WR8")+COUNTIF(B64:B89,"WR16")+COUNTIF(B64:B89,"WR32"))&gt;0,"RD32","REMnd")</f>
        <v>REMnd</v>
      </c>
      <c r="C61" s="5" t="s">
        <v>309</v>
      </c>
      <c r="D61" s="14" t="s">
        <v>297</v>
      </c>
      <c r="E61" s="294" t="str">
        <f>DEC2HEX(Y61*2^31+Z61*2^30+AA61*2^29+AB61*2^28+AC61*2^27+AD61*2^26+AE61*2^25+AF61*2^24+AG61*2^23+AH61*2^22+AI61*2^21+AJ61*2^20+AK61*2^19+AL61*2^18+AM61*2^17+AN61*2^16+AO61*2^15+AP61*2^14+AQ61*2^13+AR61*2^12+AS61*2^11+AT61*2^10+AU61*2^9+AV61*2^8+AW61*2^7+AX61*2^6+AY61*2^5+AZ61*2^4+BA61*2^3+BB61*2^2+BC61*2^1+BD61*2^0,8)</f>
        <v>00000007</v>
      </c>
      <c r="F61" s="36" t="s">
        <v>380</v>
      </c>
      <c r="G61"/>
      <c r="H61"/>
      <c r="I61"/>
      <c r="J61"/>
      <c r="K61"/>
      <c r="L61"/>
      <c r="M61"/>
      <c r="N61"/>
      <c r="O61"/>
      <c r="P61"/>
      <c r="Q61"/>
      <c r="R61"/>
      <c r="S61"/>
      <c r="T61"/>
      <c r="U61"/>
      <c r="V61"/>
      <c r="W61"/>
      <c r="X61"/>
      <c r="Y61" s="359">
        <v>0</v>
      </c>
      <c r="Z61" s="360">
        <v>0</v>
      </c>
      <c r="AA61" s="360">
        <v>0</v>
      </c>
      <c r="AB61" s="360">
        <v>0</v>
      </c>
      <c r="AC61" s="360">
        <v>0</v>
      </c>
      <c r="AD61" s="360">
        <v>0</v>
      </c>
      <c r="AE61" s="360">
        <v>0</v>
      </c>
      <c r="AF61" s="361">
        <v>0</v>
      </c>
      <c r="AG61" s="359">
        <v>0</v>
      </c>
      <c r="AH61" s="360">
        <v>0</v>
      </c>
      <c r="AI61" s="360">
        <v>0</v>
      </c>
      <c r="AJ61" s="360">
        <v>0</v>
      </c>
      <c r="AK61" s="360">
        <v>0</v>
      </c>
      <c r="AL61" s="360">
        <v>0</v>
      </c>
      <c r="AM61" s="360">
        <v>0</v>
      </c>
      <c r="AN61" s="361">
        <v>0</v>
      </c>
      <c r="AO61" s="359">
        <v>0</v>
      </c>
      <c r="AP61" s="360">
        <v>0</v>
      </c>
      <c r="AQ61" s="360">
        <v>0</v>
      </c>
      <c r="AR61" s="360">
        <v>0</v>
      </c>
      <c r="AS61" s="360">
        <v>0</v>
      </c>
      <c r="AT61" s="360">
        <v>0</v>
      </c>
      <c r="AU61" s="360">
        <v>0</v>
      </c>
      <c r="AV61" s="361">
        <v>0</v>
      </c>
      <c r="AW61" s="359">
        <v>0</v>
      </c>
      <c r="AX61" s="360">
        <v>0</v>
      </c>
      <c r="AY61" s="360">
        <v>0</v>
      </c>
      <c r="AZ61" s="360">
        <v>0</v>
      </c>
      <c r="BA61" s="360">
        <v>0</v>
      </c>
      <c r="BB61" s="365">
        <f>IF(AND(BD59=1,BC59=1),1,0)</f>
        <v>1</v>
      </c>
      <c r="BC61" s="365">
        <f>IF(BD59=1,1,0)</f>
        <v>1</v>
      </c>
      <c r="BD61" s="366">
        <f>IF(AND(BB59=1,BC59=1,BD59=1),1,0)</f>
        <v>1</v>
      </c>
      <c r="BE61"/>
      <c r="BF61"/>
      <c r="BG61"/>
      <c r="BH61"/>
      <c r="BI61"/>
    </row>
    <row r="62" spans="2:61">
      <c r="B62" s="354" t="str">
        <f>IF((COUNTIF(B64:B89,"WR8")+COUNTIF(B64:B89,"WR16")+COUNTIF(B64:B89,"WR32"))&gt;0,"CHECK","REMnd")</f>
        <v>REMnd</v>
      </c>
      <c r="C62" s="235" t="s">
        <v>931</v>
      </c>
      <c r="D62" s="236"/>
      <c r="E62" s="237"/>
      <c r="F62" s="235" t="s">
        <v>930</v>
      </c>
      <c r="G62"/>
      <c r="H62"/>
      <c r="I62" s="2"/>
    </row>
    <row r="63" spans="2:61">
      <c r="B63" s="80" t="str">
        <f>IF(Main_Parameters!$C$37=27,"REMnd","REM")</f>
        <v>REMnd</v>
      </c>
      <c r="C63" s="82" t="s">
        <v>416</v>
      </c>
      <c r="D63" s="80"/>
      <c r="E63" s="101"/>
      <c r="F63" s="92"/>
      <c r="G63"/>
      <c r="H63"/>
      <c r="I63"/>
      <c r="J63"/>
      <c r="K63"/>
      <c r="L63"/>
      <c r="M63"/>
      <c r="N63"/>
      <c r="O63"/>
      <c r="P63"/>
      <c r="Q63"/>
      <c r="R63"/>
      <c r="S63"/>
      <c r="T63"/>
      <c r="U63"/>
      <c r="V63"/>
      <c r="W63"/>
      <c r="X63" s="222"/>
    </row>
    <row r="64" spans="2:61">
      <c r="B64" s="89" t="str">
        <f>IF(Main_Parameters!$C$37=27,"REMnd","WR8")</f>
        <v>REMnd</v>
      </c>
      <c r="C64" s="5" t="s">
        <v>312</v>
      </c>
      <c r="D64" s="14" t="s">
        <v>301</v>
      </c>
      <c r="E64" s="83" t="s">
        <v>379</v>
      </c>
      <c r="F64" s="36" t="s">
        <v>589</v>
      </c>
      <c r="G64"/>
      <c r="H64"/>
      <c r="I64" s="2"/>
    </row>
    <row r="65" spans="2:9">
      <c r="B65" s="89" t="str">
        <f>IF(Main_Parameters!$C$37=26,"WR8","REMnd")</f>
        <v>REMnd</v>
      </c>
      <c r="C65" s="5" t="s">
        <v>1179</v>
      </c>
      <c r="D65" s="14" t="s">
        <v>1180</v>
      </c>
      <c r="E65" s="83" t="s">
        <v>1229</v>
      </c>
      <c r="F65" s="36"/>
      <c r="G65"/>
      <c r="H65"/>
      <c r="I65" s="2"/>
    </row>
    <row r="66" spans="2:9">
      <c r="B66" s="89" t="str">
        <f>IF(Main_Parameters!$C$37=26,"WR8","REMnd")</f>
        <v>REMnd</v>
      </c>
      <c r="C66" s="5" t="s">
        <v>1183</v>
      </c>
      <c r="D66" s="14" t="s">
        <v>1181</v>
      </c>
      <c r="E66" s="83" t="s">
        <v>1230</v>
      </c>
      <c r="F66" s="36"/>
      <c r="G66"/>
      <c r="H66"/>
      <c r="I66" s="2"/>
    </row>
    <row r="67" spans="2:9">
      <c r="B67" s="89" t="str">
        <f>IF(Main_Parameters!$C$37=26,"WR8","REMnd")</f>
        <v>REMnd</v>
      </c>
      <c r="C67" s="5" t="s">
        <v>1184</v>
      </c>
      <c r="D67" s="14" t="s">
        <v>1182</v>
      </c>
      <c r="E67" s="83" t="s">
        <v>1231</v>
      </c>
      <c r="F67" s="36"/>
      <c r="G67"/>
      <c r="H67"/>
      <c r="I67" s="2"/>
    </row>
    <row r="68" spans="2:9">
      <c r="B68" s="89" t="str">
        <f>IF(Main_Parameters!$C$37=26,"WR8","REMnd")</f>
        <v>REMnd</v>
      </c>
      <c r="C68" s="5" t="s">
        <v>1185</v>
      </c>
      <c r="D68" s="14" t="s">
        <v>1188</v>
      </c>
      <c r="E68" s="83" t="s">
        <v>1232</v>
      </c>
      <c r="F68" s="36"/>
      <c r="G68"/>
      <c r="H68"/>
      <c r="I68" s="2"/>
    </row>
    <row r="69" spans="2:9">
      <c r="B69" s="89" t="str">
        <f>IF(Main_Parameters!$C$37=26,"WR8","REMnd")</f>
        <v>REMnd</v>
      </c>
      <c r="C69" s="5" t="s">
        <v>1186</v>
      </c>
      <c r="D69" s="14" t="s">
        <v>1189</v>
      </c>
      <c r="E69" s="83" t="s">
        <v>1233</v>
      </c>
      <c r="F69" s="36"/>
      <c r="G69"/>
      <c r="H69"/>
      <c r="I69" s="2"/>
    </row>
    <row r="70" spans="2:9">
      <c r="B70" s="89" t="str">
        <f>IF(Main_Parameters!$C$37=26,"WR8","REMnd")</f>
        <v>REMnd</v>
      </c>
      <c r="C70" s="5" t="s">
        <v>1187</v>
      </c>
      <c r="D70" s="14" t="s">
        <v>1190</v>
      </c>
      <c r="E70" s="83" t="s">
        <v>1234</v>
      </c>
      <c r="F70" s="36"/>
      <c r="G70"/>
      <c r="H70"/>
      <c r="I70" s="2"/>
    </row>
    <row r="71" spans="2:9">
      <c r="B71" s="89" t="str">
        <f>IF(Main_Parameters!$C$37=26,"WR8","REMnd")</f>
        <v>REMnd</v>
      </c>
      <c r="C71" s="5" t="s">
        <v>1194</v>
      </c>
      <c r="D71" s="14" t="s">
        <v>1191</v>
      </c>
      <c r="E71" s="83" t="s">
        <v>1235</v>
      </c>
      <c r="F71" s="36"/>
      <c r="G71"/>
      <c r="H71"/>
      <c r="I71" s="2"/>
    </row>
    <row r="72" spans="2:9">
      <c r="B72" s="89" t="str">
        <f>IF(Main_Parameters!$C$37=26,"WR8","REMnd")</f>
        <v>REMnd</v>
      </c>
      <c r="C72" s="5" t="s">
        <v>1195</v>
      </c>
      <c r="D72" s="14" t="s">
        <v>1192</v>
      </c>
      <c r="E72" s="83" t="s">
        <v>1236</v>
      </c>
      <c r="F72" s="36"/>
      <c r="G72"/>
      <c r="H72"/>
      <c r="I72" s="2"/>
    </row>
    <row r="73" spans="2:9">
      <c r="B73" s="89" t="str">
        <f>IF(Main_Parameters!$C$37=26,"WR8","REMnd")</f>
        <v>REMnd</v>
      </c>
      <c r="C73" s="5" t="s">
        <v>1196</v>
      </c>
      <c r="D73" s="14" t="s">
        <v>1193</v>
      </c>
      <c r="E73" s="83" t="s">
        <v>1237</v>
      </c>
      <c r="F73" s="36"/>
      <c r="G73"/>
      <c r="H73"/>
      <c r="I73" s="2"/>
    </row>
    <row r="74" spans="2:9">
      <c r="B74" s="89" t="str">
        <f>IF(Main_Parameters!$C$37=26,"WR8","REMnd")</f>
        <v>REMnd</v>
      </c>
      <c r="C74" s="5" t="s">
        <v>1197</v>
      </c>
      <c r="D74" s="14" t="s">
        <v>1200</v>
      </c>
      <c r="E74" s="83" t="s">
        <v>1238</v>
      </c>
      <c r="F74" s="36"/>
      <c r="G74"/>
      <c r="H74"/>
      <c r="I74" s="2"/>
    </row>
    <row r="75" spans="2:9">
      <c r="B75" s="89" t="str">
        <f>IF(Main_Parameters!$C$37=26,"WR8","REMnd")</f>
        <v>REMnd</v>
      </c>
      <c r="C75" s="5" t="s">
        <v>1198</v>
      </c>
      <c r="D75" s="14" t="s">
        <v>1201</v>
      </c>
      <c r="E75" s="83" t="s">
        <v>1239</v>
      </c>
      <c r="F75" s="36"/>
      <c r="G75"/>
      <c r="H75"/>
      <c r="I75" s="2"/>
    </row>
    <row r="76" spans="2:9">
      <c r="B76" s="89" t="str">
        <f>IF(Main_Parameters!$C$37=26,"WR8","REMnd")</f>
        <v>REMnd</v>
      </c>
      <c r="C76" s="5" t="s">
        <v>1199</v>
      </c>
      <c r="D76" s="14" t="s">
        <v>1202</v>
      </c>
      <c r="E76" s="83" t="s">
        <v>1240</v>
      </c>
      <c r="F76" s="36"/>
      <c r="G76"/>
      <c r="H76"/>
      <c r="I76" s="2"/>
    </row>
    <row r="77" spans="2:9">
      <c r="B77" s="89" t="str">
        <f>IF(Main_Parameters!$C$37=26,"WR8","REMnd")</f>
        <v>REMnd</v>
      </c>
      <c r="C77" s="5" t="s">
        <v>1206</v>
      </c>
      <c r="D77" s="14" t="s">
        <v>1203</v>
      </c>
      <c r="E77" s="83" t="s">
        <v>1241</v>
      </c>
      <c r="F77" s="36"/>
      <c r="G77"/>
      <c r="H77"/>
      <c r="I77" s="2"/>
    </row>
    <row r="78" spans="2:9">
      <c r="B78" s="89" t="str">
        <f>IF(Main_Parameters!$C$37=26,"WR8","REMnd")</f>
        <v>REMnd</v>
      </c>
      <c r="C78" s="5" t="s">
        <v>1207</v>
      </c>
      <c r="D78" s="14" t="s">
        <v>1204</v>
      </c>
      <c r="E78" s="83" t="s">
        <v>1242</v>
      </c>
      <c r="F78" s="36"/>
      <c r="G78"/>
      <c r="H78"/>
      <c r="I78" s="2"/>
    </row>
    <row r="79" spans="2:9">
      <c r="B79" s="89" t="str">
        <f>IF(Main_Parameters!$C$37=26,"WR8","REMnd")</f>
        <v>REMnd</v>
      </c>
      <c r="C79" s="5" t="s">
        <v>1208</v>
      </c>
      <c r="D79" s="14" t="s">
        <v>1205</v>
      </c>
      <c r="E79" s="83" t="s">
        <v>1243</v>
      </c>
      <c r="F79" s="36"/>
      <c r="G79"/>
      <c r="H79"/>
      <c r="I79" s="2"/>
    </row>
    <row r="80" spans="2:9">
      <c r="B80" s="89" t="str">
        <f>IF(Main_Parameters!$C$37=26,"WR8","REMnd")</f>
        <v>REMnd</v>
      </c>
      <c r="C80" s="5" t="s">
        <v>1211</v>
      </c>
      <c r="D80" s="14" t="s">
        <v>1209</v>
      </c>
      <c r="E80" s="83" t="s">
        <v>1244</v>
      </c>
      <c r="F80" s="36"/>
      <c r="G80"/>
      <c r="H80"/>
      <c r="I80" s="2"/>
    </row>
    <row r="81" spans="2:56">
      <c r="B81" s="89" t="str">
        <f>IF(Main_Parameters!$C$37=26,"WR8","REMnd")</f>
        <v>REMnd</v>
      </c>
      <c r="C81" s="5" t="s">
        <v>1212</v>
      </c>
      <c r="D81" s="14" t="s">
        <v>1210</v>
      </c>
      <c r="E81" s="83" t="s">
        <v>1238</v>
      </c>
      <c r="F81" s="36"/>
      <c r="G81"/>
      <c r="H81"/>
      <c r="I81" s="2"/>
    </row>
    <row r="82" spans="2:56">
      <c r="B82" s="89" t="str">
        <f>IF(Main_Parameters!$C$37=26,"WR8","REMnd")</f>
        <v>REMnd</v>
      </c>
      <c r="C82" s="5" t="s">
        <v>1213</v>
      </c>
      <c r="D82" s="14" t="s">
        <v>1221</v>
      </c>
      <c r="E82" s="83" t="s">
        <v>1240</v>
      </c>
      <c r="F82" s="36"/>
      <c r="G82"/>
      <c r="H82"/>
      <c r="I82" s="2"/>
    </row>
    <row r="83" spans="2:56">
      <c r="B83" s="89" t="str">
        <f>IF(Main_Parameters!$C$37=26,"WR8","REMnd")</f>
        <v>REMnd</v>
      </c>
      <c r="C83" s="5" t="s">
        <v>1214</v>
      </c>
      <c r="D83" s="14" t="s">
        <v>1222</v>
      </c>
      <c r="E83" s="83" t="s">
        <v>1241</v>
      </c>
      <c r="F83" s="36"/>
      <c r="G83"/>
      <c r="H83"/>
      <c r="I83" s="2"/>
    </row>
    <row r="84" spans="2:56">
      <c r="B84" s="89" t="str">
        <f>IF(Main_Parameters!$C$37=26,"WR8","REMnd")</f>
        <v>REMnd</v>
      </c>
      <c r="C84" s="5" t="s">
        <v>1215</v>
      </c>
      <c r="D84" s="14" t="s">
        <v>1223</v>
      </c>
      <c r="E84" s="83" t="s">
        <v>1244</v>
      </c>
      <c r="F84" s="36"/>
      <c r="G84"/>
      <c r="H84"/>
      <c r="I84" s="2"/>
    </row>
    <row r="85" spans="2:56">
      <c r="B85" s="89" t="str">
        <f>IF(Main_Parameters!$C$37=26,"WR8","REMnd")</f>
        <v>REMnd</v>
      </c>
      <c r="C85" s="5" t="s">
        <v>1216</v>
      </c>
      <c r="D85" s="14" t="s">
        <v>1224</v>
      </c>
      <c r="E85" s="83" t="s">
        <v>1238</v>
      </c>
      <c r="F85" s="36"/>
      <c r="G85"/>
      <c r="H85"/>
      <c r="I85" s="2"/>
    </row>
    <row r="86" spans="2:56">
      <c r="B86" s="89" t="str">
        <f>IF(Main_Parameters!$C$37=26,"WR8","REMnd")</f>
        <v>REMnd</v>
      </c>
      <c r="C86" s="5" t="s">
        <v>1217</v>
      </c>
      <c r="D86" s="14" t="s">
        <v>1225</v>
      </c>
      <c r="E86" s="83" t="s">
        <v>1245</v>
      </c>
      <c r="F86" s="36"/>
      <c r="G86"/>
      <c r="H86"/>
      <c r="I86" s="2"/>
    </row>
    <row r="87" spans="2:56">
      <c r="B87" s="89" t="str">
        <f>IF(Main_Parameters!$C$37=26,"WR8","REMnd")</f>
        <v>REMnd</v>
      </c>
      <c r="C87" s="5" t="s">
        <v>1218</v>
      </c>
      <c r="D87" s="14" t="s">
        <v>1226</v>
      </c>
      <c r="E87" s="83" t="s">
        <v>1246</v>
      </c>
      <c r="F87" s="36"/>
      <c r="G87"/>
      <c r="H87"/>
      <c r="I87" s="2"/>
    </row>
    <row r="88" spans="2:56">
      <c r="B88" s="89" t="str">
        <f>IF(Main_Parameters!$C$37=26,"WR8","REMnd")</f>
        <v>REMnd</v>
      </c>
      <c r="C88" s="5" t="s">
        <v>1219</v>
      </c>
      <c r="D88" s="14" t="s">
        <v>1227</v>
      </c>
      <c r="E88" s="83" t="s">
        <v>1229</v>
      </c>
      <c r="F88" s="36"/>
      <c r="G88"/>
      <c r="H88"/>
      <c r="I88" s="2"/>
    </row>
    <row r="89" spans="2:56">
      <c r="B89" s="89" t="str">
        <f>IF(Main_Parameters!$C$37=26,"WR8","REMnd")</f>
        <v>REMnd</v>
      </c>
      <c r="C89" s="5" t="s">
        <v>1220</v>
      </c>
      <c r="D89" s="14" t="s">
        <v>1228</v>
      </c>
      <c r="E89" s="83" t="s">
        <v>1240</v>
      </c>
      <c r="F89" s="36"/>
      <c r="G89"/>
      <c r="H89"/>
      <c r="I89" s="2"/>
    </row>
    <row r="90" spans="2:56">
      <c r="B90" s="16" t="s">
        <v>290</v>
      </c>
      <c r="C90" s="5" t="s">
        <v>308</v>
      </c>
      <c r="D90" s="14" t="s">
        <v>296</v>
      </c>
      <c r="E90" s="100" t="str">
        <f>DEC2HEX(Y90*2^31+Z90*2^30+AA90*2^29+AB90*2^28+AC90*2^27+AD90*2^26+AE90*2^25+AF90*2^24+AG90*2^23+AH90*2^22+AI90*2^21+AJ90*2^20+AK90*2^19+AL90*2^18+AM90*2^17+AN90*2^16+AO90*2^15+AP90*2^14+AQ90*2^13+AR90*2^12+AS90*2^11+AT90*2^10+AU90*2^9+AV90*2^8+AW90*2^7+AX90*2^6+AY90*2^5+AZ90*2^4+BA90*2^3+BB90*2^2+BC90*2^1+BD90*2^0,8)</f>
        <v>00000007</v>
      </c>
      <c r="F90" s="36" t="s">
        <v>455</v>
      </c>
      <c r="G90"/>
      <c r="H90" s="188" t="s">
        <v>354</v>
      </c>
      <c r="I90" s="335" t="s">
        <v>831</v>
      </c>
      <c r="J90" s="188" t="s">
        <v>355</v>
      </c>
      <c r="K90" s="335" t="s">
        <v>848</v>
      </c>
      <c r="L90" s="188" t="s">
        <v>356</v>
      </c>
      <c r="M90" s="335" t="s">
        <v>848</v>
      </c>
      <c r="N90" s="188" t="s">
        <v>357</v>
      </c>
      <c r="O90" s="335" t="s">
        <v>848</v>
      </c>
      <c r="P90" s="192"/>
      <c r="Q90" s="189"/>
      <c r="R90" s="264" t="s">
        <v>358</v>
      </c>
      <c r="S90" s="335" t="s">
        <v>830</v>
      </c>
      <c r="T90" s="206" t="s">
        <v>359</v>
      </c>
      <c r="U90" s="335" t="s">
        <v>830</v>
      </c>
      <c r="V90" s="205" t="s">
        <v>360</v>
      </c>
      <c r="W90" s="335" t="s">
        <v>830</v>
      </c>
      <c r="Y90" s="359">
        <v>0</v>
      </c>
      <c r="Z90" s="360">
        <v>0</v>
      </c>
      <c r="AA90" s="360">
        <v>0</v>
      </c>
      <c r="AB90" s="360">
        <v>0</v>
      </c>
      <c r="AC90" s="360">
        <v>0</v>
      </c>
      <c r="AD90" s="360">
        <v>0</v>
      </c>
      <c r="AE90" s="360">
        <v>0</v>
      </c>
      <c r="AF90" s="361">
        <v>0</v>
      </c>
      <c r="AG90" s="359">
        <v>0</v>
      </c>
      <c r="AH90" s="360">
        <v>0</v>
      </c>
      <c r="AI90" s="360">
        <v>0</v>
      </c>
      <c r="AJ90" s="360">
        <v>0</v>
      </c>
      <c r="AK90" s="360">
        <v>0</v>
      </c>
      <c r="AL90" s="360">
        <v>0</v>
      </c>
      <c r="AM90" s="360">
        <v>0</v>
      </c>
      <c r="AN90" s="361">
        <v>0</v>
      </c>
      <c r="AO90" s="359">
        <v>0</v>
      </c>
      <c r="AP90" s="360">
        <v>0</v>
      </c>
      <c r="AQ90" s="360">
        <v>0</v>
      </c>
      <c r="AR90" s="360">
        <v>0</v>
      </c>
      <c r="AS90" s="360">
        <v>0</v>
      </c>
      <c r="AT90" s="360">
        <v>0</v>
      </c>
      <c r="AU90" s="360">
        <v>0</v>
      </c>
      <c r="AV90" s="361">
        <v>0</v>
      </c>
      <c r="AW90" s="362">
        <f>IF(I90="eFuse",1,0)</f>
        <v>0</v>
      </c>
      <c r="AX90" s="363">
        <f>IF(K90="Enable",1,0)</f>
        <v>0</v>
      </c>
      <c r="AY90" s="363">
        <f>IF(M90="Enable",1,0)</f>
        <v>0</v>
      </c>
      <c r="AZ90" s="363">
        <f>IF(O90="Enable",1,0)</f>
        <v>0</v>
      </c>
      <c r="BA90" s="360">
        <v>0</v>
      </c>
      <c r="BB90" s="363">
        <f>IF(S90="Auto Boot",1,0)</f>
        <v>1</v>
      </c>
      <c r="BC90" s="363">
        <f>IF(U90="Auto Boot",1,0)</f>
        <v>1</v>
      </c>
      <c r="BD90" s="364">
        <f>IF(W90="Auto Boot",1,0)</f>
        <v>1</v>
      </c>
    </row>
    <row r="91" spans="2:56">
      <c r="B91" s="16" t="s">
        <v>425</v>
      </c>
      <c r="C91" s="5"/>
      <c r="D91" s="14">
        <v>1000</v>
      </c>
      <c r="E91" s="207"/>
      <c r="F91" s="36" t="s">
        <v>446</v>
      </c>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c r="B92" s="16" t="s">
        <v>298</v>
      </c>
      <c r="C92" s="5" t="s">
        <v>309</v>
      </c>
      <c r="D92" s="14" t="s">
        <v>297</v>
      </c>
      <c r="E92" s="294" t="str">
        <f>DEC2HEX(Y92*2^31+Z92*2^30+AA92*2^29+AB92*2^28+AC92*2^27+AD92*2^26+AE92*2^25+AF92*2^24+AG92*2^23+AH92*2^22+AI92*2^21+AJ92*2^20+AK92*2^19+AL92*2^18+AM92*2^17+AN92*2^16+AO92*2^15+AP92*2^14+AQ92*2^13+AR92*2^12+AS92*2^11+AT92*2^10+AU92*2^9+AV92*2^8+AW92*2^7+AX92*2^6+AY92*2^5+AZ92*2^4+BA92*2^3+BB92*2^2+BC92*2^1+BD92*2^0,8)</f>
        <v>00000007</v>
      </c>
      <c r="F92" s="36" t="s">
        <v>418</v>
      </c>
      <c r="G92"/>
      <c r="H92"/>
      <c r="I92"/>
      <c r="J92"/>
      <c r="K92"/>
      <c r="L92"/>
      <c r="M92"/>
      <c r="Y92" s="359">
        <v>0</v>
      </c>
      <c r="Z92" s="360">
        <v>0</v>
      </c>
      <c r="AA92" s="360">
        <v>0</v>
      </c>
      <c r="AB92" s="360">
        <v>0</v>
      </c>
      <c r="AC92" s="360">
        <v>0</v>
      </c>
      <c r="AD92" s="360">
        <v>0</v>
      </c>
      <c r="AE92" s="360">
        <v>0</v>
      </c>
      <c r="AF92" s="361">
        <v>0</v>
      </c>
      <c r="AG92" s="359">
        <v>0</v>
      </c>
      <c r="AH92" s="360">
        <v>0</v>
      </c>
      <c r="AI92" s="360">
        <v>0</v>
      </c>
      <c r="AJ92" s="360">
        <v>0</v>
      </c>
      <c r="AK92" s="360">
        <v>0</v>
      </c>
      <c r="AL92" s="360">
        <v>0</v>
      </c>
      <c r="AM92" s="360">
        <v>0</v>
      </c>
      <c r="AN92" s="361">
        <v>0</v>
      </c>
      <c r="AO92" s="359">
        <v>0</v>
      </c>
      <c r="AP92" s="360">
        <v>0</v>
      </c>
      <c r="AQ92" s="360">
        <v>0</v>
      </c>
      <c r="AR92" s="360">
        <v>0</v>
      </c>
      <c r="AS92" s="360">
        <v>0</v>
      </c>
      <c r="AT92" s="360">
        <v>0</v>
      </c>
      <c r="AU92" s="360">
        <v>0</v>
      </c>
      <c r="AV92" s="361">
        <v>0</v>
      </c>
      <c r="AW92" s="359">
        <v>0</v>
      </c>
      <c r="AX92" s="360">
        <v>0</v>
      </c>
      <c r="AY92" s="360">
        <v>0</v>
      </c>
      <c r="AZ92" s="360">
        <v>0</v>
      </c>
      <c r="BA92" s="360">
        <v>0</v>
      </c>
      <c r="BB92" s="365">
        <f>IF(AND(BD90=1,BC90=1),1,0)</f>
        <v>1</v>
      </c>
      <c r="BC92" s="365">
        <f>IF(BD90=1,1,0)</f>
        <v>1</v>
      </c>
      <c r="BD92" s="366">
        <f>IF(AND(BB90=1,BC90=1,BD90=1),1,0)</f>
        <v>1</v>
      </c>
    </row>
    <row r="93" spans="2:56">
      <c r="B93" s="234" t="s">
        <v>419</v>
      </c>
      <c r="C93" s="235" t="s">
        <v>931</v>
      </c>
      <c r="D93" s="236"/>
      <c r="E93" s="237"/>
      <c r="F93" s="235" t="s">
        <v>930</v>
      </c>
      <c r="G93"/>
      <c r="H93"/>
      <c r="I93" s="2"/>
    </row>
    <row r="94" spans="2:56">
      <c r="B94" s="80" t="str">
        <f>IF(Main_Parameters!$B$20="Original","REM","REMnd")</f>
        <v>REM</v>
      </c>
      <c r="C94" s="82" t="s">
        <v>835</v>
      </c>
      <c r="D94" s="80"/>
      <c r="E94" s="101"/>
      <c r="F94" s="92"/>
      <c r="G94"/>
      <c r="H94"/>
      <c r="I94" s="2"/>
    </row>
    <row r="95" spans="2:56">
      <c r="B95" s="89" t="str">
        <f>IF(AND(Main_Parameters!$B$20="Original",Main_Parameters!$C$41="TX0/1 Enable"),"WR32","REMnd")</f>
        <v>WR32</v>
      </c>
      <c r="C95" s="333" t="s">
        <v>827</v>
      </c>
      <c r="D95" s="334" t="s">
        <v>824</v>
      </c>
      <c r="E95" s="100" t="str">
        <f ca="1">Main_Parameters!$C$289</f>
        <v>0000021C</v>
      </c>
      <c r="F95" s="135"/>
      <c r="G95"/>
      <c r="H95"/>
      <c r="I95" s="2"/>
    </row>
    <row r="96" spans="2:56">
      <c r="B96" s="89" t="str">
        <f>IF(AND(Main_Parameters!$B$20="Original",Main_Parameters!$C$41="TX0/1 Enable"),"WR32","REMnd")</f>
        <v>WR32</v>
      </c>
      <c r="C96" s="333" t="s">
        <v>828</v>
      </c>
      <c r="D96" s="334" t="s">
        <v>825</v>
      </c>
      <c r="E96" s="100" t="str">
        <f ca="1">Main_Parameters!$C$291</f>
        <v>0000021C</v>
      </c>
      <c r="F96" s="135"/>
      <c r="G96"/>
      <c r="H96"/>
      <c r="I96" s="2"/>
    </row>
    <row r="97" spans="2:56">
      <c r="B97" s="89" t="str">
        <f>IF(Main_Parameters!$B$20="Original","WR32","REMnd")</f>
        <v>WR32</v>
      </c>
      <c r="C97" s="333" t="s">
        <v>829</v>
      </c>
      <c r="D97" s="334" t="s">
        <v>826</v>
      </c>
      <c r="E97" s="100" t="str">
        <f ca="1">Main_Parameters!$C$293</f>
        <v>00000438</v>
      </c>
      <c r="F97" s="135"/>
      <c r="G97"/>
      <c r="H97"/>
      <c r="I97" s="2"/>
    </row>
    <row r="98" spans="2:56">
      <c r="B98" s="89" t="str">
        <f>IF(Main_Parameters!$B$20="Original","WR32","REMnd")</f>
        <v>WR32</v>
      </c>
      <c r="C98" s="333" t="s">
        <v>819</v>
      </c>
      <c r="D98" s="334" t="s">
        <v>820</v>
      </c>
      <c r="E98" s="100" t="str">
        <f ca="1">Main_Parameters!$C$300</f>
        <v>3E0B0654</v>
      </c>
      <c r="F98" s="135"/>
      <c r="G98"/>
      <c r="H98"/>
      <c r="I98" s="2"/>
    </row>
    <row r="99" spans="2:56">
      <c r="B99" s="89" t="str">
        <f>IF(AND(Main_Parameters!$B$20="Original",Main_Parameters!$C$41="TX0/1 Enable"),"WR32","REMnd")</f>
        <v>WR32</v>
      </c>
      <c r="C99" s="333" t="s">
        <v>823</v>
      </c>
      <c r="D99" s="334" t="s">
        <v>822</v>
      </c>
      <c r="E99" s="100" t="str">
        <f ca="1">Main_Parameters!$C$302</f>
        <v>3E0B0654</v>
      </c>
      <c r="F99" s="135"/>
      <c r="G99"/>
      <c r="H99"/>
      <c r="I99" s="2"/>
    </row>
    <row r="100" spans="2:56">
      <c r="B100" s="80" t="s">
        <v>14</v>
      </c>
      <c r="C100" s="82" t="s">
        <v>417</v>
      </c>
      <c r="D100" s="80"/>
      <c r="E100" s="101"/>
      <c r="F100" s="92"/>
      <c r="G100"/>
      <c r="H100"/>
      <c r="I100"/>
      <c r="J100"/>
      <c r="K100"/>
      <c r="L100"/>
      <c r="M100"/>
      <c r="N100"/>
      <c r="O100"/>
      <c r="P100"/>
      <c r="Q100"/>
      <c r="R100"/>
      <c r="S100"/>
      <c r="T100"/>
      <c r="U100"/>
      <c r="V100"/>
      <c r="W100"/>
      <c r="X100" s="222"/>
    </row>
    <row r="101" spans="2:56">
      <c r="B101" s="16" t="s">
        <v>286</v>
      </c>
      <c r="C101" s="5" t="s">
        <v>311</v>
      </c>
      <c r="D101" s="14" t="s">
        <v>299</v>
      </c>
      <c r="E101" s="93" t="str">
        <f>IF(Main_Parameters!$C$30="Always Full","01","41")</f>
        <v>41</v>
      </c>
      <c r="F101" s="36" t="s">
        <v>405</v>
      </c>
      <c r="G101"/>
      <c r="H101"/>
      <c r="I101" s="2"/>
    </row>
    <row r="102" spans="2:56">
      <c r="B102" s="16" t="s">
        <v>286</v>
      </c>
      <c r="C102" s="5" t="s">
        <v>310</v>
      </c>
      <c r="D102" s="14" t="s">
        <v>300</v>
      </c>
      <c r="E102" s="100" t="str">
        <f>DEC2HEX(AW102*2^7+AX102*2^6+AY102*2^5+AZ102*2^4+BA102*2^3+BB102*2^2+BC102*2^1+BD102*2^0,2)</f>
        <v>0D</v>
      </c>
      <c r="F102" s="36" t="s">
        <v>980</v>
      </c>
      <c r="G102"/>
      <c r="H102"/>
      <c r="I102"/>
      <c r="J102"/>
      <c r="K102"/>
      <c r="L102"/>
      <c r="M102"/>
      <c r="N102"/>
      <c r="O102"/>
      <c r="P102"/>
      <c r="Q102"/>
      <c r="R102"/>
      <c r="S102"/>
      <c r="T102"/>
      <c r="U102"/>
      <c r="V102"/>
      <c r="W102"/>
      <c r="Y102" s="359">
        <v>0</v>
      </c>
      <c r="Z102" s="360">
        <v>0</v>
      </c>
      <c r="AA102" s="360">
        <v>0</v>
      </c>
      <c r="AB102" s="360">
        <v>0</v>
      </c>
      <c r="AC102" s="360">
        <v>0</v>
      </c>
      <c r="AD102" s="360">
        <v>0</v>
      </c>
      <c r="AE102" s="360">
        <v>0</v>
      </c>
      <c r="AF102" s="361">
        <v>0</v>
      </c>
      <c r="AG102" s="359">
        <v>0</v>
      </c>
      <c r="AH102" s="360">
        <v>0</v>
      </c>
      <c r="AI102" s="360">
        <v>0</v>
      </c>
      <c r="AJ102" s="360">
        <v>0</v>
      </c>
      <c r="AK102" s="360">
        <v>0</v>
      </c>
      <c r="AL102" s="360">
        <v>0</v>
      </c>
      <c r="AM102" s="360">
        <v>0</v>
      </c>
      <c r="AN102" s="361">
        <v>0</v>
      </c>
      <c r="AO102" s="359">
        <v>0</v>
      </c>
      <c r="AP102" s="360">
        <v>0</v>
      </c>
      <c r="AQ102" s="360">
        <v>0</v>
      </c>
      <c r="AR102" s="360">
        <v>0</v>
      </c>
      <c r="AS102" s="360">
        <v>0</v>
      </c>
      <c r="AT102" s="360">
        <v>0</v>
      </c>
      <c r="AU102" s="360">
        <v>0</v>
      </c>
      <c r="AV102" s="361">
        <v>0</v>
      </c>
      <c r="AW102" s="359">
        <v>0</v>
      </c>
      <c r="AX102" s="360">
        <v>0</v>
      </c>
      <c r="AY102" s="360">
        <v>0</v>
      </c>
      <c r="AZ102" s="360">
        <v>0</v>
      </c>
      <c r="BA102" s="360">
        <v>0</v>
      </c>
      <c r="BB102" s="363">
        <f>IF(Main_Parameters!$C$30="Always Both",2,3)</f>
        <v>3</v>
      </c>
      <c r="BC102" s="360">
        <v>0</v>
      </c>
      <c r="BD102" s="364">
        <f>IF(Main_Parameters!$C$30="Always Full",0,1)</f>
        <v>1</v>
      </c>
    </row>
    <row r="103" spans="2:56">
      <c r="B103" s="16" t="s">
        <v>578</v>
      </c>
      <c r="C103" s="5" t="s">
        <v>579</v>
      </c>
      <c r="D103" s="14" t="s">
        <v>580</v>
      </c>
      <c r="E103" s="272" t="str">
        <f>DEC2HEX(Y103*2^31+Z103*2^30+AA103*2^29+AB103*2^28+AC103*2^27+AD103*2^26+AE103*2^25+AF103*2^24+AG103*2^23+AH103*2^22+AI103*2^21+AJ103*2^20+AK103*2^19+AL103*2^18+AM103*2^17+AN103*2^16+AO103*2^15+AP103*2^14+AQ103*2^13+AR103*2^12+AS103*2^11+AT103*2^10+AU103*2^9+AV103*2^8+AW103*2^7+AX103*2^6+AY103*2^5+AZ103*2^4+BA103*2^3+BB103*2^2+BC103*2^1+BD103*2^0,2)</f>
        <v>01</v>
      </c>
      <c r="F103" s="36" t="s">
        <v>581</v>
      </c>
      <c r="G103"/>
      <c r="H103" s="91" t="s">
        <v>582</v>
      </c>
      <c r="I103" s="193" t="s">
        <v>381</v>
      </c>
      <c r="J103" s="91" t="s">
        <v>583</v>
      </c>
      <c r="K103" s="193" t="s">
        <v>382</v>
      </c>
      <c r="Y103" s="359">
        <v>0</v>
      </c>
      <c r="Z103" s="360">
        <v>0</v>
      </c>
      <c r="AA103" s="360">
        <v>0</v>
      </c>
      <c r="AB103" s="360">
        <v>0</v>
      </c>
      <c r="AC103" s="360">
        <v>0</v>
      </c>
      <c r="AD103" s="360">
        <v>0</v>
      </c>
      <c r="AE103" s="360">
        <v>0</v>
      </c>
      <c r="AF103" s="361">
        <v>0</v>
      </c>
      <c r="AG103" s="359">
        <v>0</v>
      </c>
      <c r="AH103" s="360">
        <v>0</v>
      </c>
      <c r="AI103" s="360">
        <v>0</v>
      </c>
      <c r="AJ103" s="360">
        <v>0</v>
      </c>
      <c r="AK103" s="360">
        <v>0</v>
      </c>
      <c r="AL103" s="360">
        <v>0</v>
      </c>
      <c r="AM103" s="360">
        <v>0</v>
      </c>
      <c r="AN103" s="361">
        <v>0</v>
      </c>
      <c r="AO103" s="359">
        <v>0</v>
      </c>
      <c r="AP103" s="360">
        <v>0</v>
      </c>
      <c r="AQ103" s="360">
        <v>0</v>
      </c>
      <c r="AR103" s="360">
        <v>0</v>
      </c>
      <c r="AS103" s="360">
        <v>0</v>
      </c>
      <c r="AT103" s="360">
        <v>0</v>
      </c>
      <c r="AU103" s="360">
        <v>0</v>
      </c>
      <c r="AV103" s="361">
        <v>0</v>
      </c>
      <c r="AW103" s="359">
        <v>0</v>
      </c>
      <c r="AX103" s="360">
        <v>0</v>
      </c>
      <c r="AY103" s="360">
        <v>0</v>
      </c>
      <c r="AZ103" s="360">
        <v>0</v>
      </c>
      <c r="BA103" s="360">
        <v>0</v>
      </c>
      <c r="BB103" s="360">
        <v>0</v>
      </c>
      <c r="BC103" s="363">
        <f>IF(I103="Error",1,0)</f>
        <v>0</v>
      </c>
      <c r="BD103" s="364">
        <f>IF(K103="Ready",1,0)</f>
        <v>1</v>
      </c>
    </row>
    <row r="104" spans="2:56">
      <c r="B104" s="234" t="s">
        <v>584</v>
      </c>
      <c r="C104" s="235" t="s">
        <v>585</v>
      </c>
      <c r="D104" s="236"/>
      <c r="E104" s="237"/>
      <c r="F104" s="235" t="s">
        <v>586</v>
      </c>
      <c r="G104"/>
      <c r="H104"/>
      <c r="I104" s="2"/>
    </row>
    <row r="105" spans="2:56">
      <c r="B105" s="80" t="str">
        <f>IF(Main_Parameters!$C$37=26,"REM","REMnd")</f>
        <v>REMnd</v>
      </c>
      <c r="C105" s="82" t="s">
        <v>1248</v>
      </c>
      <c r="D105" s="80"/>
      <c r="E105" s="101"/>
      <c r="F105" s="92"/>
      <c r="G105"/>
      <c r="H105"/>
      <c r="I105" s="2"/>
    </row>
    <row r="106" spans="2:56">
      <c r="B106" s="89" t="str">
        <f>IF(Main_Parameters!$C$37=26,"WR32","REMnd")</f>
        <v>REMnd</v>
      </c>
      <c r="C106" s="333" t="s">
        <v>1247</v>
      </c>
      <c r="D106" s="388" t="str">
        <f>IF(Main_Parameters!$C$41="TX0/1 Enable","4020","2020")</f>
        <v>4020</v>
      </c>
      <c r="E106" s="83" t="s">
        <v>1249</v>
      </c>
      <c r="F106" s="135"/>
      <c r="G106"/>
      <c r="H106"/>
      <c r="I106" s="2"/>
    </row>
    <row r="107" spans="2:56">
      <c r="B107" s="89" t="str">
        <f>IF(Main_Parameters!$C$37=26,"WR32","REMnd")</f>
        <v>REMnd</v>
      </c>
      <c r="C107" s="333" t="s">
        <v>1250</v>
      </c>
      <c r="D107" s="388" t="str">
        <f>IF(Main_Parameters!$C$41="TX0/1 Enable","4170","2170")</f>
        <v>4170</v>
      </c>
      <c r="E107" s="83" t="s">
        <v>1251</v>
      </c>
      <c r="F107" s="135"/>
      <c r="G107"/>
      <c r="H107"/>
      <c r="I107" s="2"/>
    </row>
    <row r="108" spans="2:56">
      <c r="B108" s="375" t="str">
        <f>IF(Main_Parameters!$C$29="DP","REM","REMnd")</f>
        <v>REM</v>
      </c>
      <c r="C108" s="376" t="s">
        <v>938</v>
      </c>
      <c r="D108" s="375"/>
      <c r="E108" s="375"/>
      <c r="F108" s="377"/>
      <c r="G108"/>
      <c r="H108"/>
      <c r="I108"/>
      <c r="J108"/>
      <c r="K108"/>
      <c r="L108"/>
      <c r="M108"/>
      <c r="N108"/>
      <c r="O108"/>
      <c r="P108"/>
      <c r="Q108"/>
      <c r="R108"/>
      <c r="S108"/>
      <c r="T108"/>
      <c r="U108"/>
      <c r="V108"/>
      <c r="W108"/>
      <c r="X108" s="222"/>
    </row>
    <row r="109" spans="2:56">
      <c r="B109" s="89" t="str">
        <f>IF(Main_Parameters!$C$29="DP","WR8","REMnd")</f>
        <v>WR8</v>
      </c>
      <c r="C109" s="5"/>
      <c r="D109" s="14" t="s">
        <v>939</v>
      </c>
      <c r="E109" s="83" t="s">
        <v>940</v>
      </c>
      <c r="F109" s="36"/>
      <c r="G109"/>
      <c r="H109"/>
      <c r="I109" s="2"/>
    </row>
    <row r="110" spans="2:56">
      <c r="B110" s="89" t="str">
        <f>IF(Main_Parameters!$C$29="DP","WR16","REMnd")</f>
        <v>WR16</v>
      </c>
      <c r="C110" s="5"/>
      <c r="D110" s="14" t="s">
        <v>941</v>
      </c>
      <c r="E110" s="83" t="s">
        <v>942</v>
      </c>
      <c r="F110" s="36"/>
      <c r="G110"/>
      <c r="H110"/>
      <c r="I110" s="2"/>
    </row>
    <row r="111" spans="2:56">
      <c r="B111" s="89" t="str">
        <f>IF(Main_Parameters!$C$29="DP","WR32","REMnd")</f>
        <v>WR32</v>
      </c>
      <c r="C111" s="5"/>
      <c r="D111" s="14" t="s">
        <v>943</v>
      </c>
      <c r="E111" s="93" t="str">
        <f>Main_Parameters!$C$270</f>
        <v>00000004</v>
      </c>
      <c r="F111" s="36"/>
      <c r="G111"/>
      <c r="H111"/>
      <c r="I111" s="2"/>
    </row>
    <row r="112" spans="2:56">
      <c r="B112" s="375" t="str">
        <f>IF(Main_Parameters!$C$29="DP","REM","REMnd")</f>
        <v>REM</v>
      </c>
      <c r="C112" s="376" t="s">
        <v>944</v>
      </c>
      <c r="D112" s="375"/>
      <c r="E112" s="375"/>
      <c r="F112" s="377"/>
      <c r="G112"/>
      <c r="H112"/>
      <c r="I112" s="2"/>
      <c r="Y112" s="545" t="s">
        <v>1427</v>
      </c>
      <c r="Z112" s="545"/>
      <c r="AA112" s="545" t="s">
        <v>1428</v>
      </c>
      <c r="AB112" s="545"/>
    </row>
    <row r="113" spans="1:61">
      <c r="B113" s="163" t="s">
        <v>1416</v>
      </c>
      <c r="C113" s="333" t="s">
        <v>949</v>
      </c>
      <c r="D113" s="89" t="str">
        <f>IF(OR(I113="GPIO0",I113="GPIO1"),"5010","5014")</f>
        <v>5010</v>
      </c>
      <c r="E113" s="100" t="str">
        <f>IF(OR(I113="GPIO0",I113="GPIO2"),AA113,Y113)</f>
        <v>016A0000</v>
      </c>
      <c r="F113" s="135"/>
      <c r="G113"/>
      <c r="H113" s="91" t="s">
        <v>945</v>
      </c>
      <c r="I113" s="89" t="str">
        <f>Source_DPeDP_Startup!$I$191</f>
        <v>GPIO1</v>
      </c>
      <c r="J113" s="163" t="s">
        <v>1444</v>
      </c>
      <c r="Y113" s="544" t="str">
        <f>IF(Main_Parameters!$C$29="DP","016A0000","009D0000")</f>
        <v>016A0000</v>
      </c>
      <c r="Z113" s="544"/>
      <c r="AA113" s="544" t="str">
        <f>IF(Main_Parameters!$C$29="DP","0000016A","0000009D")</f>
        <v>0000016A</v>
      </c>
      <c r="AB113" s="544"/>
    </row>
    <row r="114" spans="1:61" ht="15" customHeight="1">
      <c r="B114" s="163" t="s">
        <v>1417</v>
      </c>
      <c r="C114" s="333" t="s">
        <v>947</v>
      </c>
      <c r="D114" s="334" t="s">
        <v>946</v>
      </c>
      <c r="E114" s="100" t="str">
        <f>IF(I113="GPIO0","00000004",IF(I113="GPIO1","00000040",IF(I113="GPIO2","00000400","00004000")))</f>
        <v>00000040</v>
      </c>
      <c r="F114" s="386"/>
      <c r="G114"/>
      <c r="H114"/>
      <c r="I114" s="2"/>
    </row>
    <row r="115" spans="1:61" ht="14.25" customHeight="1">
      <c r="B115" s="163" t="s">
        <v>1417</v>
      </c>
      <c r="C115" s="333" t="s">
        <v>1014</v>
      </c>
      <c r="D115" s="334" t="s">
        <v>1013</v>
      </c>
      <c r="E115" s="100" t="str">
        <f>IF(I113="GPIO0","00000001",IF(I113="GPIO1","00000002",IF(I113="GPIO2","00000004","00000008")))</f>
        <v>00000002</v>
      </c>
      <c r="F115" s="386"/>
      <c r="G115"/>
      <c r="H115"/>
      <c r="I115" s="2"/>
    </row>
    <row r="116" spans="1:61">
      <c r="B116" s="375" t="str">
        <f>IF(Main_Parameters!$C$29="DP","REM","REMnd")</f>
        <v>REM</v>
      </c>
      <c r="C116" s="376" t="s">
        <v>952</v>
      </c>
      <c r="D116" s="375"/>
      <c r="E116" s="375"/>
      <c r="F116" s="377"/>
      <c r="G116"/>
      <c r="H116"/>
      <c r="I116" s="2"/>
    </row>
    <row r="117" spans="1:61">
      <c r="B117" s="89" t="str">
        <f>IF(Main_Parameters!$C$29="DP","WR32","REMnd")</f>
        <v>WR32</v>
      </c>
      <c r="C117" s="333" t="s">
        <v>953</v>
      </c>
      <c r="D117" s="334" t="s">
        <v>954</v>
      </c>
      <c r="E117" s="83" t="s">
        <v>955</v>
      </c>
      <c r="F117" s="135" t="s">
        <v>956</v>
      </c>
      <c r="G117"/>
      <c r="H117"/>
      <c r="I117" s="2"/>
    </row>
    <row r="118" spans="1:61" ht="24" customHeight="1">
      <c r="B118" s="416" t="s">
        <v>14</v>
      </c>
      <c r="C118" s="419" t="s">
        <v>1440</v>
      </c>
      <c r="D118" s="420"/>
      <c r="E118" s="421"/>
      <c r="F118" s="422"/>
      <c r="G118"/>
      <c r="H118"/>
      <c r="I118"/>
      <c r="J118"/>
      <c r="K118"/>
      <c r="L118"/>
      <c r="M118"/>
      <c r="N118"/>
      <c r="O118"/>
      <c r="P118"/>
      <c r="Q118"/>
      <c r="R118"/>
      <c r="S118"/>
      <c r="T118"/>
      <c r="U118"/>
      <c r="V118"/>
      <c r="W118"/>
    </row>
    <row r="119" spans="1:61" s="129" customFormat="1">
      <c r="A119" s="3"/>
      <c r="B119" s="16" t="s">
        <v>15</v>
      </c>
      <c r="C119" s="5"/>
      <c r="D119" s="14"/>
      <c r="E119" s="102"/>
      <c r="F119" s="36"/>
      <c r="G119"/>
      <c r="H119" s="3"/>
      <c r="I119" s="3"/>
      <c r="J119" s="3"/>
      <c r="K119" s="3"/>
      <c r="L119" s="3"/>
      <c r="M119" s="3"/>
      <c r="N119" s="3"/>
      <c r="O119" s="3"/>
      <c r="P119" s="3"/>
      <c r="Q119" s="3"/>
      <c r="R119" s="3"/>
      <c r="S119" s="3"/>
      <c r="T119" s="3"/>
      <c r="U119" s="3"/>
      <c r="V119" s="3"/>
      <c r="W119" s="3"/>
      <c r="BF119" s="3"/>
      <c r="BG119" s="3"/>
      <c r="BH119" s="3"/>
      <c r="BI119" s="3"/>
    </row>
    <row r="120" spans="1:61" s="129" customFormat="1">
      <c r="A120" s="3"/>
      <c r="B120"/>
      <c r="C120" s="3"/>
      <c r="D120" s="3"/>
      <c r="E120" s="95"/>
      <c r="F120" s="3"/>
      <c r="G120" s="3"/>
      <c r="H120" s="3"/>
      <c r="I120" s="3"/>
      <c r="J120" s="3"/>
      <c r="K120" s="3"/>
      <c r="L120" s="3"/>
      <c r="M120" s="3"/>
      <c r="N120" s="3"/>
      <c r="O120" s="3"/>
      <c r="P120" s="3"/>
      <c r="Q120" s="3"/>
      <c r="R120" s="3"/>
      <c r="S120" s="3"/>
      <c r="T120" s="3"/>
      <c r="U120" s="3"/>
      <c r="V120" s="3"/>
      <c r="W120" s="3"/>
      <c r="BF120" s="3"/>
      <c r="BG120" s="3"/>
      <c r="BH120" s="3"/>
      <c r="BI120" s="3"/>
    </row>
  </sheetData>
  <sheetProtection algorithmName="SHA-512" hashValue="rsrz3C5QRAdfIut8ghe18T/KEb/g3TA+fAHAyfvJD9OxIE1TXYqhdYHt0PqkktUPPUCjVNpbwncHdY9A6LbRDA==" saltValue="E7E7LPunBR+vmT7/bmGcxw==" spinCount="100000" sheet="1" objects="1" scenarios="1"/>
  <mergeCells count="4">
    <mergeCell ref="Y112:Z112"/>
    <mergeCell ref="AA112:AB112"/>
    <mergeCell ref="Y113:Z113"/>
    <mergeCell ref="AA113:AB113"/>
  </mergeCells>
  <phoneticPr fontId="39"/>
  <dataValidations count="4">
    <dataValidation type="list" allowBlank="1" showInputMessage="1" showErrorMessage="1" sqref="I103">
      <formula1>"No Error,Error"</formula1>
    </dataValidation>
    <dataValidation type="list" allowBlank="1" showInputMessage="1" showErrorMessage="1" sqref="K103">
      <formula1>"Ready,Not Ready"</formula1>
    </dataValidation>
    <dataValidation type="list" allowBlank="1" showInputMessage="1" showErrorMessage="1" sqref="I39">
      <formula1>"eFuse, No"</formula1>
    </dataValidation>
    <dataValidation type="list" allowBlank="1" showInputMessage="1" showErrorMessage="1" sqref="O39 K39 M39">
      <formula1>"Enable,Disable"</formula1>
    </dataValidation>
  </dataValidations>
  <pageMargins left="0.75" right="0.75" top="1" bottom="1" header="0.5" footer="0.5"/>
  <pageSetup paperSize="9" orientation="portrait" verticalDpi="0" r:id="rId1"/>
</worksheet>
</file>

<file path=xl/worksheets/sheet8.xml><?xml version="1.0" encoding="utf-8"?>
<worksheet xmlns="http://schemas.openxmlformats.org/spreadsheetml/2006/main" xmlns:r="http://schemas.openxmlformats.org/officeDocument/2006/relationships">
  <sheetPr codeName="Sheet37">
    <tabColor theme="7" tint="0.59999389629810485"/>
    <pageSetUpPr autoPageBreaks="0"/>
  </sheetPr>
  <dimension ref="B1:BI636"/>
  <sheetViews>
    <sheetView showGridLines="0" topLeftCell="A351" zoomScale="75" zoomScaleNormal="75" workbookViewId="0">
      <selection activeCell="B375" sqref="B375:F397"/>
    </sheetView>
  </sheetViews>
  <sheetFormatPr defaultColWidth="9" defaultRowHeight="14.25" outlineLevelRow="1"/>
  <cols>
    <col min="1" max="1" width="3.375" style="3" customWidth="1"/>
    <col min="2" max="2" width="8.875" style="3" customWidth="1"/>
    <col min="3" max="3" width="33.25" style="3" customWidth="1"/>
    <col min="4" max="4" width="11" style="3" customWidth="1"/>
    <col min="5" max="5" width="12.625" style="95" customWidth="1"/>
    <col min="6" max="6" width="59.25" style="3" customWidth="1"/>
    <col min="7" max="7" width="4.875" style="3" customWidth="1"/>
    <col min="8" max="8" width="14" style="3" customWidth="1"/>
    <col min="9" max="9" width="13" style="3" customWidth="1"/>
    <col min="10" max="10" width="13.875" style="3" customWidth="1"/>
    <col min="11" max="11" width="14.375" style="3" customWidth="1"/>
    <col min="12" max="12" width="15.75" style="3" customWidth="1"/>
    <col min="13"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hidden="1" customWidth="1"/>
    <col min="25" max="30" width="5" style="129" hidden="1" customWidth="1"/>
    <col min="31" max="38" width="4" style="129" hidden="1" customWidth="1"/>
    <col min="39" max="39" width="5" style="129" hidden="1" customWidth="1"/>
    <col min="40" max="40" width="4" style="129" hidden="1" customWidth="1"/>
    <col min="41" max="41" width="7.125" style="129" hidden="1" customWidth="1"/>
    <col min="42" max="46" width="5" style="129" hidden="1" customWidth="1"/>
    <col min="47" max="49" width="4" style="129" hidden="1" customWidth="1"/>
    <col min="50" max="50" width="3.75" style="129" hidden="1" customWidth="1"/>
    <col min="51" max="54" width="4" style="129" hidden="1" customWidth="1"/>
    <col min="55" max="55" width="3.125" style="129" hidden="1" customWidth="1"/>
    <col min="56" max="56" width="3.875" style="129" hidden="1" customWidth="1"/>
    <col min="57" max="57" width="11.375" style="129" customWidth="1"/>
    <col min="58" max="16384" width="9" style="3"/>
  </cols>
  <sheetData>
    <row r="1" spans="2:56" ht="18">
      <c r="B1" s="11" t="s">
        <v>523</v>
      </c>
      <c r="C1" s="11"/>
      <c r="F1" s="114"/>
      <c r="G1" s="231" t="s">
        <v>1646</v>
      </c>
      <c r="H1" s="105" t="s">
        <v>81</v>
      </c>
      <c r="I1" s="18"/>
      <c r="J1" s="4"/>
      <c r="K1"/>
      <c r="L1" s="15"/>
    </row>
    <row r="2" spans="2:56" ht="18">
      <c r="B2" s="3" t="s">
        <v>123</v>
      </c>
      <c r="H2" s="114" t="s">
        <v>87</v>
      </c>
      <c r="I2"/>
      <c r="J2"/>
      <c r="K2"/>
      <c r="L2"/>
      <c r="M2"/>
      <c r="N2"/>
      <c r="O2"/>
      <c r="P2"/>
    </row>
    <row r="3" spans="2:56">
      <c r="B3" s="3" t="s">
        <v>420</v>
      </c>
      <c r="C3" s="10"/>
      <c r="D3" s="1"/>
      <c r="E3" s="96"/>
      <c r="F3" s="1"/>
      <c r="G3" s="1"/>
      <c r="H3" s="1"/>
      <c r="I3"/>
      <c r="J3"/>
      <c r="K3"/>
      <c r="L3"/>
      <c r="M3"/>
      <c r="N3"/>
      <c r="O3"/>
      <c r="P3"/>
      <c r="Q3"/>
      <c r="R3"/>
      <c r="S3"/>
      <c r="T3"/>
      <c r="U3"/>
      <c r="V3"/>
      <c r="W3"/>
      <c r="X3" s="222"/>
      <c r="AH3" s="222"/>
    </row>
    <row r="4" spans="2:56">
      <c r="C4" s="10"/>
      <c r="D4" s="1"/>
      <c r="E4" s="96"/>
      <c r="F4" s="1"/>
      <c r="G4" s="1"/>
      <c r="H4" s="1"/>
      <c r="I4"/>
      <c r="J4"/>
      <c r="K4"/>
      <c r="L4"/>
      <c r="M4"/>
      <c r="N4"/>
      <c r="O4"/>
      <c r="P4"/>
      <c r="Q4"/>
      <c r="R4"/>
      <c r="S4"/>
      <c r="T4"/>
      <c r="U4"/>
      <c r="V4"/>
      <c r="W4"/>
      <c r="X4" s="222"/>
      <c r="AH4" s="222"/>
    </row>
    <row r="5" spans="2:56">
      <c r="B5" s="284"/>
      <c r="C5" s="10" t="s">
        <v>380</v>
      </c>
      <c r="D5" s="1"/>
      <c r="E5" s="96"/>
      <c r="F5" s="1"/>
      <c r="G5" s="1"/>
      <c r="H5" s="1"/>
      <c r="I5"/>
      <c r="J5"/>
      <c r="K5"/>
      <c r="L5"/>
      <c r="M5"/>
      <c r="N5"/>
      <c r="O5"/>
      <c r="P5"/>
      <c r="Q5"/>
      <c r="R5"/>
      <c r="S5"/>
      <c r="T5"/>
      <c r="U5"/>
      <c r="V5"/>
      <c r="W5"/>
      <c r="X5" s="222"/>
      <c r="AH5" s="222"/>
    </row>
    <row r="6" spans="2:56" ht="15">
      <c r="B6" s="9"/>
      <c r="C6" s="10"/>
      <c r="D6" s="1"/>
      <c r="E6" s="96"/>
      <c r="F6" s="1"/>
      <c r="G6" s="1"/>
      <c r="H6" s="17"/>
      <c r="I6"/>
      <c r="J6"/>
      <c r="K6"/>
      <c r="L6"/>
      <c r="M6"/>
      <c r="N6"/>
      <c r="O6"/>
      <c r="P6"/>
      <c r="Q6"/>
      <c r="R6"/>
      <c r="S6"/>
      <c r="T6"/>
      <c r="U6"/>
      <c r="V6"/>
      <c r="W6"/>
      <c r="X6" s="222"/>
      <c r="AH6" s="222"/>
    </row>
    <row r="7" spans="2:56" ht="18.75">
      <c r="B7" s="88" t="s">
        <v>83</v>
      </c>
      <c r="C7" s="86"/>
      <c r="D7" s="86"/>
      <c r="E7" s="97"/>
      <c r="F7" s="87"/>
      <c r="I7"/>
      <c r="J7"/>
      <c r="K7"/>
      <c r="L7"/>
      <c r="M7"/>
      <c r="N7"/>
      <c r="O7"/>
      <c r="P7"/>
      <c r="Q7"/>
      <c r="R7"/>
      <c r="S7"/>
      <c r="T7"/>
      <c r="U7"/>
      <c r="V7"/>
      <c r="W7"/>
      <c r="X7" s="222"/>
      <c r="AH7" s="222"/>
    </row>
    <row r="8" spans="2:56" ht="15">
      <c r="B8" s="84" t="s">
        <v>12</v>
      </c>
      <c r="C8" s="84" t="s">
        <v>0</v>
      </c>
      <c r="D8" s="84" t="s">
        <v>1</v>
      </c>
      <c r="E8" s="98" t="s">
        <v>13</v>
      </c>
      <c r="F8" s="85" t="s">
        <v>82</v>
      </c>
      <c r="G8" s="7"/>
      <c r="H8"/>
      <c r="I8"/>
      <c r="J8"/>
      <c r="K8"/>
      <c r="L8"/>
      <c r="M8"/>
      <c r="N8"/>
      <c r="O8"/>
      <c r="P8"/>
      <c r="Q8"/>
      <c r="R8"/>
      <c r="S8"/>
      <c r="T8"/>
      <c r="U8"/>
      <c r="V8"/>
      <c r="W8"/>
      <c r="X8" s="222"/>
      <c r="Y8" s="263" t="s">
        <v>402</v>
      </c>
      <c r="Z8" s="263" t="s">
        <v>401</v>
      </c>
      <c r="AA8" s="263" t="s">
        <v>400</v>
      </c>
      <c r="AB8" s="263" t="s">
        <v>399</v>
      </c>
      <c r="AC8" s="263" t="s">
        <v>398</v>
      </c>
      <c r="AD8" s="263" t="s">
        <v>397</v>
      </c>
      <c r="AE8" s="263" t="s">
        <v>396</v>
      </c>
      <c r="AF8" s="263" t="s">
        <v>395</v>
      </c>
      <c r="AG8" s="263" t="s">
        <v>394</v>
      </c>
      <c r="AH8" s="263" t="s">
        <v>393</v>
      </c>
      <c r="AI8" s="263" t="s">
        <v>392</v>
      </c>
      <c r="AJ8" s="263" t="s">
        <v>391</v>
      </c>
      <c r="AK8" s="263" t="s">
        <v>390</v>
      </c>
      <c r="AL8" s="263" t="s">
        <v>389</v>
      </c>
      <c r="AM8" s="263" t="s">
        <v>388</v>
      </c>
      <c r="AN8" s="263" t="s">
        <v>387</v>
      </c>
      <c r="AO8" s="263" t="s">
        <v>362</v>
      </c>
      <c r="AP8" s="263" t="s">
        <v>363</v>
      </c>
      <c r="AQ8" s="263" t="s">
        <v>364</v>
      </c>
      <c r="AR8" s="263" t="s">
        <v>365</v>
      </c>
      <c r="AS8" s="263" t="s">
        <v>366</v>
      </c>
      <c r="AT8" s="263" t="s">
        <v>367</v>
      </c>
      <c r="AU8" s="263" t="s">
        <v>368</v>
      </c>
      <c r="AV8" s="263" t="s">
        <v>369</v>
      </c>
      <c r="AW8" s="263" t="s">
        <v>370</v>
      </c>
      <c r="AX8" s="263" t="s">
        <v>371</v>
      </c>
      <c r="AY8" s="263" t="s">
        <v>372</v>
      </c>
      <c r="AZ8" s="263" t="s">
        <v>373</v>
      </c>
      <c r="BA8" s="263" t="s">
        <v>374</v>
      </c>
      <c r="BB8" s="263" t="s">
        <v>375</v>
      </c>
      <c r="BC8" s="263" t="s">
        <v>376</v>
      </c>
      <c r="BD8" s="263" t="s">
        <v>377</v>
      </c>
    </row>
    <row r="9" spans="2:56">
      <c r="B9" s="80" t="s">
        <v>14</v>
      </c>
      <c r="C9" s="81" t="s">
        <v>403</v>
      </c>
      <c r="D9" s="81"/>
      <c r="E9" s="99"/>
      <c r="F9" s="92"/>
      <c r="G9"/>
      <c r="H9"/>
      <c r="I9"/>
      <c r="J9"/>
      <c r="K9"/>
      <c r="L9"/>
      <c r="M9"/>
      <c r="N9"/>
      <c r="O9"/>
      <c r="P9"/>
      <c r="Q9"/>
      <c r="R9"/>
      <c r="S9"/>
      <c r="T9"/>
      <c r="U9"/>
      <c r="V9"/>
      <c r="W9"/>
      <c r="X9" s="222"/>
    </row>
    <row r="10" spans="2:56">
      <c r="B10" s="163" t="s">
        <v>290</v>
      </c>
      <c r="C10" s="5" t="s">
        <v>302</v>
      </c>
      <c r="D10" s="14" t="s">
        <v>287</v>
      </c>
      <c r="E10" s="100" t="str">
        <f>Main_Parameters!$C$128</f>
        <v>00000001</v>
      </c>
      <c r="F10" s="135" t="s">
        <v>294</v>
      </c>
      <c r="G10"/>
      <c r="H10"/>
      <c r="I10"/>
      <c r="J10"/>
      <c r="K10"/>
      <c r="L10"/>
      <c r="M10"/>
      <c r="N10"/>
      <c r="O10"/>
      <c r="P10"/>
      <c r="Q10"/>
      <c r="R10"/>
      <c r="S10"/>
      <c r="T10"/>
      <c r="U10"/>
      <c r="V10"/>
      <c r="W10"/>
      <c r="X10" s="222"/>
    </row>
    <row r="11" spans="2:56">
      <c r="B11" s="80" t="s">
        <v>14</v>
      </c>
      <c r="C11" s="82" t="s">
        <v>404</v>
      </c>
      <c r="D11" s="80"/>
      <c r="E11" s="101"/>
      <c r="F11" s="92"/>
      <c r="G11"/>
      <c r="H11"/>
      <c r="I11"/>
      <c r="J11"/>
      <c r="K11"/>
      <c r="L11"/>
      <c r="M11"/>
      <c r="N11"/>
      <c r="O11"/>
      <c r="P11"/>
      <c r="Q11"/>
      <c r="R11"/>
      <c r="S11"/>
      <c r="T11"/>
      <c r="U11"/>
      <c r="V11"/>
      <c r="W11"/>
      <c r="X11" s="222"/>
    </row>
    <row r="12" spans="2:56">
      <c r="B12" s="16" t="s">
        <v>290</v>
      </c>
      <c r="C12" s="8" t="s">
        <v>303</v>
      </c>
      <c r="D12" s="13" t="s">
        <v>171</v>
      </c>
      <c r="E12" s="93" t="str">
        <f>Main_Parameters!$C$130</f>
        <v>00006978</v>
      </c>
      <c r="F12" s="36" t="s">
        <v>295</v>
      </c>
      <c r="G12"/>
      <c r="H12"/>
      <c r="I12"/>
      <c r="J12"/>
      <c r="K12"/>
      <c r="L12"/>
      <c r="M12"/>
      <c r="N12"/>
      <c r="O12"/>
      <c r="P12"/>
      <c r="Q12"/>
      <c r="R12"/>
      <c r="S12"/>
      <c r="T12"/>
      <c r="U12"/>
      <c r="V12"/>
      <c r="W12"/>
      <c r="X12" s="222"/>
    </row>
    <row r="13" spans="2:56">
      <c r="B13" s="16" t="s">
        <v>290</v>
      </c>
      <c r="C13" s="5" t="s">
        <v>304</v>
      </c>
      <c r="D13" s="14" t="s">
        <v>289</v>
      </c>
      <c r="E13" s="93" t="str">
        <f>Main_Parameters!$C$132</f>
        <v>00040902</v>
      </c>
      <c r="F13" s="36" t="s">
        <v>1001</v>
      </c>
      <c r="G13"/>
      <c r="H13"/>
      <c r="I13" s="2"/>
    </row>
    <row r="14" spans="2:56">
      <c r="B14" s="16" t="s">
        <v>290</v>
      </c>
      <c r="C14" s="5" t="s">
        <v>305</v>
      </c>
      <c r="D14" s="14" t="s">
        <v>291</v>
      </c>
      <c r="E14" s="93" t="str">
        <f ca="1">Main_Parameters!$C$134</f>
        <v>027D0006</v>
      </c>
      <c r="F14" s="36" t="s">
        <v>1002</v>
      </c>
      <c r="G14"/>
      <c r="H14"/>
      <c r="I14" s="2"/>
    </row>
    <row r="15" spans="2:56">
      <c r="B15" s="16" t="s">
        <v>290</v>
      </c>
      <c r="C15" s="5" t="s">
        <v>306</v>
      </c>
      <c r="D15" s="14" t="s">
        <v>292</v>
      </c>
      <c r="E15" s="93" t="str">
        <f ca="1">Main_Parameters!$C$136</f>
        <v>0300023D</v>
      </c>
      <c r="F15" s="36" t="s">
        <v>1003</v>
      </c>
      <c r="G15"/>
      <c r="H15"/>
      <c r="I15" s="2"/>
    </row>
    <row r="16" spans="2:56">
      <c r="B16" s="16" t="s">
        <v>290</v>
      </c>
      <c r="C16" s="5" t="s">
        <v>307</v>
      </c>
      <c r="D16" s="14" t="s">
        <v>293</v>
      </c>
      <c r="E16" s="93" t="str">
        <f>Main_Parameters!$C$138</f>
        <v>01040020</v>
      </c>
      <c r="F16" s="36" t="s">
        <v>1004</v>
      </c>
      <c r="G16"/>
      <c r="H16"/>
      <c r="I16" s="2"/>
    </row>
    <row r="17" spans="2:61">
      <c r="B17" s="89" t="str">
        <f ca="1">IF((COUNTIF(B22:B36,"WR8")+COUNTIF(B22:B36,"WR16")+COUNTIF(B22:B36,"WR32"))&gt;0,"WR32","REMnd")</f>
        <v>WR32</v>
      </c>
      <c r="C17" s="5" t="s">
        <v>308</v>
      </c>
      <c r="D17" s="14" t="s">
        <v>296</v>
      </c>
      <c r="E17" s="100" t="str">
        <f ca="1">DEC2HEX(Y17*2^31+Z17*2^30+AA17*2^29+AB17*2^28+AC17*2^27+AD17*2^26+AE17*2^25+AF17*2^24+AG17*2^23+AH17*2^22+AI17*2^21+AJ17*2^20+AK17*2^19+AL17*2^18+AM17*2^17+AN17*2^16+AO17*2^15+AP17*2^14+AQ17*2^13+AR17*2^12+AS17*2^11+AT17*2^10+AU17*2^9+AV17*2^8+AW17*2^7+AX17*2^6+AY17*2^5+AZ17*2^4+BA17*2^3+BB17*2^2+BC17*2^1+BD17*2^0,8)</f>
        <v>00000005</v>
      </c>
      <c r="F17" s="36" t="s">
        <v>454</v>
      </c>
      <c r="G17"/>
      <c r="H17" s="188" t="s">
        <v>354</v>
      </c>
      <c r="I17" s="193" t="s">
        <v>122</v>
      </c>
      <c r="J17" s="188" t="s">
        <v>355</v>
      </c>
      <c r="K17" s="193" t="s">
        <v>37</v>
      </c>
      <c r="L17" s="188" t="s">
        <v>356</v>
      </c>
      <c r="M17" s="193" t="s">
        <v>37</v>
      </c>
      <c r="N17" s="188" t="s">
        <v>357</v>
      </c>
      <c r="O17" s="194" t="s">
        <v>37</v>
      </c>
      <c r="P17" s="192"/>
      <c r="Q17" s="189"/>
      <c r="R17" s="264" t="s">
        <v>358</v>
      </c>
      <c r="S17" s="287" t="str">
        <f>IF((COUNTIF(B42,"WR8")+COUNTIF(B42,"WR16")+COUNTIF(B42,"WR32"))&gt;0,"No","Auto Boot")</f>
        <v>Auto Boot</v>
      </c>
      <c r="T17" s="206" t="s">
        <v>359</v>
      </c>
      <c r="U17" s="287" t="str">
        <f ca="1">IF((COUNTIF(B22:B36,"WR8")+COUNTIF(B22:B36,"WR16")+COUNTIF(B22:B36,"WR32"))&gt;0,"No","Auto Boot")</f>
        <v>No</v>
      </c>
      <c r="V17" s="205" t="s">
        <v>360</v>
      </c>
      <c r="W17" s="335" t="s">
        <v>830</v>
      </c>
      <c r="Y17" s="129">
        <v>0</v>
      </c>
      <c r="Z17" s="129">
        <v>0</v>
      </c>
      <c r="AA17" s="129">
        <v>0</v>
      </c>
      <c r="AB17" s="129">
        <v>0</v>
      </c>
      <c r="AC17" s="129">
        <v>0</v>
      </c>
      <c r="AD17" s="129">
        <v>0</v>
      </c>
      <c r="AE17" s="129">
        <v>0</v>
      </c>
      <c r="AF17" s="129">
        <v>0</v>
      </c>
      <c r="AG17" s="129">
        <v>0</v>
      </c>
      <c r="AH17" s="129">
        <v>0</v>
      </c>
      <c r="AI17" s="129">
        <v>0</v>
      </c>
      <c r="AJ17" s="129">
        <v>0</v>
      </c>
      <c r="AK17" s="129">
        <v>0</v>
      </c>
      <c r="AL17" s="129">
        <v>0</v>
      </c>
      <c r="AM17" s="129">
        <v>0</v>
      </c>
      <c r="AN17" s="129">
        <v>0</v>
      </c>
      <c r="AO17" s="129">
        <v>0</v>
      </c>
      <c r="AP17" s="129">
        <v>0</v>
      </c>
      <c r="AQ17" s="129">
        <v>0</v>
      </c>
      <c r="AR17" s="129">
        <v>0</v>
      </c>
      <c r="AS17" s="129">
        <v>0</v>
      </c>
      <c r="AT17" s="129">
        <v>0</v>
      </c>
      <c r="AU17" s="129">
        <v>0</v>
      </c>
      <c r="AV17" s="129">
        <v>0</v>
      </c>
      <c r="AW17" s="256">
        <f>IF(I17="eFuse",1,0)</f>
        <v>0</v>
      </c>
      <c r="AX17" s="256">
        <f>IF(K17="Enable",1,0)</f>
        <v>0</v>
      </c>
      <c r="AY17" s="256">
        <f>IF(M17="Enable",1,0)</f>
        <v>0</v>
      </c>
      <c r="AZ17" s="256">
        <f>IF(O17="Enable",1,0)</f>
        <v>0</v>
      </c>
      <c r="BA17" s="129">
        <v>0</v>
      </c>
      <c r="BB17" s="256">
        <f>IF(S17="Auto Boot",1,0)</f>
        <v>1</v>
      </c>
      <c r="BC17" s="256">
        <f ca="1">IF(U17="Auto Boot",1,0)</f>
        <v>0</v>
      </c>
      <c r="BD17" s="256">
        <f>IF(W17="Auto Boot",1,0)</f>
        <v>1</v>
      </c>
    </row>
    <row r="18" spans="2:61">
      <c r="B18" s="89" t="str">
        <f ca="1">IF((COUNTIF(B22:B36,"WR8")+COUNTIF(B22:B36,"WR16")+COUNTIF(B22:B36,"WR32"))&gt;0,"delay","REMnd")</f>
        <v>delay</v>
      </c>
      <c r="C18" s="5"/>
      <c r="D18" s="14">
        <v>1000</v>
      </c>
      <c r="E18" s="207"/>
      <c r="F18" s="36" t="s">
        <v>446</v>
      </c>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61">
      <c r="B19" s="89" t="str">
        <f ca="1">IF((COUNTIF(B22:B36,"WR8")+COUNTIF(B22:B36,"WR16")+COUNTIF(B22:B36,"WR32"))&gt;0,"RD32","REMnd")</f>
        <v>RD32</v>
      </c>
      <c r="C19" s="5" t="s">
        <v>309</v>
      </c>
      <c r="D19" s="14" t="s">
        <v>297</v>
      </c>
      <c r="E19" s="294" t="str">
        <f ca="1">DEC2HEX(Y19*2^31+Z19*2^30+AA19*2^29+AB19*2^28+AC19*2^27+AD19*2^26+AE19*2^25+AF19*2^24+AG19*2^23+AH19*2^22+AI19*2^21+AJ19*2^20+AK19*2^19+AL19*2^18+AM19*2^17+AN19*2^16+AO19*2^15+AP19*2^14+AQ19*2^13+AR19*2^12+AS19*2^11+AT19*2^10+AU19*2^9+AV19*2^8+AW19*2^7+AX19*2^6+AY19*2^5+AZ19*2^4+BA19*2^3+BB19*2^2+BC19*2^1+BD19*2^0,8)</f>
        <v>00000002</v>
      </c>
      <c r="F19" s="36" t="s">
        <v>380</v>
      </c>
      <c r="G19"/>
      <c r="H19"/>
      <c r="I19"/>
      <c r="J19"/>
      <c r="K19"/>
      <c r="L19"/>
      <c r="M19"/>
      <c r="N19"/>
      <c r="O19"/>
      <c r="P19"/>
      <c r="Q19"/>
      <c r="R19"/>
      <c r="S19"/>
      <c r="T19"/>
      <c r="U19"/>
      <c r="V19"/>
      <c r="W19"/>
      <c r="X19"/>
      <c r="Y19" s="129">
        <v>0</v>
      </c>
      <c r="Z19" s="129">
        <v>0</v>
      </c>
      <c r="AA19" s="129">
        <v>0</v>
      </c>
      <c r="AB19" s="129">
        <v>0</v>
      </c>
      <c r="AC19" s="129">
        <v>0</v>
      </c>
      <c r="AD19" s="129">
        <v>0</v>
      </c>
      <c r="AE19" s="129">
        <v>0</v>
      </c>
      <c r="AF19" s="129">
        <v>0</v>
      </c>
      <c r="AG19" s="129">
        <v>0</v>
      </c>
      <c r="AH19" s="129">
        <v>0</v>
      </c>
      <c r="AI19" s="129">
        <v>0</v>
      </c>
      <c r="AJ19" s="129">
        <v>0</v>
      </c>
      <c r="AK19" s="129">
        <v>0</v>
      </c>
      <c r="AL19" s="129">
        <v>0</v>
      </c>
      <c r="AM19" s="129">
        <v>0</v>
      </c>
      <c r="AN19" s="129">
        <v>0</v>
      </c>
      <c r="AO19" s="129">
        <v>0</v>
      </c>
      <c r="AP19" s="129">
        <v>0</v>
      </c>
      <c r="AQ19" s="129">
        <v>0</v>
      </c>
      <c r="AR19" s="129">
        <v>0</v>
      </c>
      <c r="AS19" s="129">
        <v>0</v>
      </c>
      <c r="AT19" s="129">
        <v>0</v>
      </c>
      <c r="AU19" s="129">
        <v>0</v>
      </c>
      <c r="AV19" s="129">
        <v>0</v>
      </c>
      <c r="AW19" s="129">
        <v>0</v>
      </c>
      <c r="AX19" s="129">
        <v>0</v>
      </c>
      <c r="AY19" s="129">
        <v>0</v>
      </c>
      <c r="AZ19" s="129">
        <v>0</v>
      </c>
      <c r="BA19" s="129">
        <v>0</v>
      </c>
      <c r="BB19" s="293">
        <f ca="1">IF(AND($BD$17=1,$BC$17=1),1,0)</f>
        <v>0</v>
      </c>
      <c r="BC19" s="293">
        <f>IF($BD$17=1,1,0)</f>
        <v>1</v>
      </c>
      <c r="BD19" s="293">
        <f ca="1">IF(AND($BB$17=1,$BC$17=1,$BD$17=1),1,0)</f>
        <v>0</v>
      </c>
      <c r="BE19"/>
      <c r="BF19"/>
      <c r="BG19"/>
      <c r="BH19"/>
      <c r="BI19"/>
    </row>
    <row r="20" spans="2:61">
      <c r="B20" s="432" t="str">
        <f ca="1">IF((COUNTIF(B22:B36,"WR8")+COUNTIF(B22:B36,"WR16")+COUNTIF(B22:B36,"WR32"))&gt;0,"CHECK","REMnd")</f>
        <v>CHECK</v>
      </c>
      <c r="C20" s="235" t="s">
        <v>931</v>
      </c>
      <c r="D20" s="236"/>
      <c r="E20" s="237"/>
      <c r="F20" s="235" t="s">
        <v>930</v>
      </c>
      <c r="G20"/>
      <c r="H20"/>
      <c r="I20" s="2"/>
    </row>
    <row r="21" spans="2:61">
      <c r="B21" s="80" t="str">
        <f>IF(Main_Parameters!$C$37=26,"REM","REMnd")</f>
        <v>REMnd</v>
      </c>
      <c r="C21" s="82" t="s">
        <v>1167</v>
      </c>
      <c r="D21" s="80"/>
      <c r="E21" s="101"/>
      <c r="F21" s="92"/>
      <c r="G21"/>
      <c r="H21"/>
      <c r="I21" s="2"/>
    </row>
    <row r="22" spans="2:61">
      <c r="B22" s="89" t="str">
        <f>IF(Main_Parameters!$C$37=26,"WR8","REMnd")</f>
        <v>REMnd</v>
      </c>
      <c r="C22" s="333" t="s">
        <v>1168</v>
      </c>
      <c r="D22" s="334" t="s">
        <v>1169</v>
      </c>
      <c r="E22" s="83" t="s">
        <v>1170</v>
      </c>
      <c r="F22" s="135"/>
      <c r="G22"/>
      <c r="H22"/>
      <c r="I22" s="2"/>
    </row>
    <row r="23" spans="2:61">
      <c r="B23" s="89" t="str">
        <f>IF(Main_Parameters!$C$37=26,"WR16","REMnd")</f>
        <v>REMnd</v>
      </c>
      <c r="C23" s="333" t="s">
        <v>1171</v>
      </c>
      <c r="D23" s="334" t="s">
        <v>1173</v>
      </c>
      <c r="E23" s="83" t="s">
        <v>1174</v>
      </c>
      <c r="F23" s="135"/>
      <c r="G23"/>
      <c r="H23"/>
      <c r="I23" s="2"/>
    </row>
    <row r="24" spans="2:61">
      <c r="B24" s="89" t="str">
        <f>IF(Main_Parameters!$C$37=26,"WR32","REMnd")</f>
        <v>REMnd</v>
      </c>
      <c r="C24" s="333" t="s">
        <v>1172</v>
      </c>
      <c r="D24" s="334" t="s">
        <v>1175</v>
      </c>
      <c r="E24" s="83" t="s">
        <v>1176</v>
      </c>
      <c r="F24" s="135"/>
      <c r="G24"/>
      <c r="H24"/>
      <c r="I24" s="2"/>
    </row>
    <row r="25" spans="2:61">
      <c r="B25" s="80" t="str">
        <f>IF(OR(Main_Parameters!$C$23&lt;&gt;"Preset",Main_Parameters!$C$37=26),"REM","REMnd")</f>
        <v>REM</v>
      </c>
      <c r="C25" s="82" t="s">
        <v>1177</v>
      </c>
      <c r="D25" s="80"/>
      <c r="E25" s="101"/>
      <c r="F25" s="92"/>
      <c r="G25"/>
      <c r="H25"/>
      <c r="I25" s="2"/>
    </row>
    <row r="26" spans="2:61">
      <c r="B26" s="89" t="str">
        <f>IF(OR(Main_Parameters!$C$23&lt;&gt;"Preset",Main_Parameters!$C$37=26),"WR8","REMnd")</f>
        <v>WR8</v>
      </c>
      <c r="C26" s="333" t="s">
        <v>841</v>
      </c>
      <c r="D26" s="334" t="s">
        <v>836</v>
      </c>
      <c r="E26" s="100" t="str">
        <f ca="1">Main_Parameters!$C$260</f>
        <v>0A</v>
      </c>
      <c r="F26" s="135"/>
      <c r="G26"/>
      <c r="H26"/>
      <c r="I26" s="2"/>
    </row>
    <row r="27" spans="2:61">
      <c r="B27" s="89" t="str">
        <f>IF(OR(Main_Parameters!$C$23&lt;&gt;"Preset",Main_Parameters!$C$37=26),"WR8","REMnd")</f>
        <v>WR8</v>
      </c>
      <c r="C27" s="333" t="s">
        <v>842</v>
      </c>
      <c r="D27" s="334" t="s">
        <v>837</v>
      </c>
      <c r="E27" s="100" t="str">
        <f ca="1">Main_Parameters!$C$261</f>
        <v>03</v>
      </c>
      <c r="F27" s="135"/>
      <c r="G27"/>
      <c r="H27"/>
      <c r="I27" s="2"/>
    </row>
    <row r="28" spans="2:61">
      <c r="B28" s="89" t="str">
        <f>IF(OR(Main_Parameters!$C$23&lt;&gt;"Preset",Main_Parameters!$C$37=26),"WR8","REMnd")</f>
        <v>WR8</v>
      </c>
      <c r="C28" s="333" t="s">
        <v>843</v>
      </c>
      <c r="D28" s="334" t="s">
        <v>838</v>
      </c>
      <c r="E28" s="100" t="str">
        <f ca="1">Main_Parameters!$C$262</f>
        <v>16</v>
      </c>
      <c r="F28" s="135"/>
      <c r="G28"/>
      <c r="H28"/>
      <c r="I28" s="2"/>
    </row>
    <row r="29" spans="2:61">
      <c r="B29" s="89" t="str">
        <f>IF(OR(Main_Parameters!$C$23&lt;&gt;"Preset",Main_Parameters!$C$37=26),"WR8","REMnd")</f>
        <v>WR8</v>
      </c>
      <c r="C29" s="333" t="s">
        <v>844</v>
      </c>
      <c r="D29" s="334" t="s">
        <v>839</v>
      </c>
      <c r="E29" s="100" t="str">
        <f ca="1">Main_Parameters!$C$263</f>
        <v>00</v>
      </c>
      <c r="F29" s="135"/>
      <c r="G29"/>
      <c r="H29"/>
      <c r="I29" s="2"/>
    </row>
    <row r="30" spans="2:61">
      <c r="B30" s="89" t="str">
        <f>IF(OR(Main_Parameters!$C$23&lt;&gt;"Preset",Main_Parameters!$C$37=26),"WR8","REMnd")</f>
        <v>WR8</v>
      </c>
      <c r="C30" s="333" t="s">
        <v>845</v>
      </c>
      <c r="D30" s="334" t="s">
        <v>1284</v>
      </c>
      <c r="E30" s="100" t="str">
        <f ca="1">Main_Parameters!$C$264</f>
        <v>21</v>
      </c>
      <c r="F30" s="135"/>
      <c r="G30"/>
      <c r="H30"/>
      <c r="I30" s="2"/>
    </row>
    <row r="31" spans="2:61">
      <c r="B31" s="89" t="str">
        <f>IF(OR(Main_Parameters!$C$23&lt;&gt;"Preset",Main_Parameters!$C$37=26),"WR8","REMnd")</f>
        <v>WR8</v>
      </c>
      <c r="C31" s="333" t="s">
        <v>846</v>
      </c>
      <c r="D31" s="334" t="s">
        <v>840</v>
      </c>
      <c r="E31" s="100" t="str">
        <f ca="1">Main_Parameters!$C$265</f>
        <v>07</v>
      </c>
      <c r="F31" s="135"/>
      <c r="G31"/>
      <c r="H31"/>
      <c r="I31" s="2"/>
    </row>
    <row r="32" spans="2:61">
      <c r="B32" s="80" t="str">
        <f ca="1">IF(OR(Main_Parameters!$BA$40="Original",Main_Parameters!$C$37=26),"REM","REMnd")</f>
        <v>REM</v>
      </c>
      <c r="C32" s="82" t="s">
        <v>1178</v>
      </c>
      <c r="D32" s="80"/>
      <c r="E32" s="101"/>
      <c r="F32" s="92"/>
      <c r="G32"/>
      <c r="H32"/>
      <c r="I32" s="2"/>
    </row>
    <row r="33" spans="2:61">
      <c r="B33" s="89" t="str">
        <f ca="1">IF(OR(Main_Parameters!$BA$40="Original",Main_Parameters!$C$37=26),"WR32","REMnd")</f>
        <v>WR32</v>
      </c>
      <c r="C33" s="333" t="s">
        <v>849</v>
      </c>
      <c r="D33" s="334" t="s">
        <v>852</v>
      </c>
      <c r="E33" s="100" t="str">
        <f ca="1">Main_Parameters!$C$275</f>
        <v>00002624</v>
      </c>
      <c r="F33" s="135"/>
      <c r="G33"/>
      <c r="H33"/>
      <c r="I33" s="2"/>
    </row>
    <row r="34" spans="2:61">
      <c r="B34" s="89" t="str">
        <f ca="1">IF(OR(Main_Parameters!$BA$40="Original",Main_Parameters!$C$37=26),"WR32","REMnd")</f>
        <v>WR32</v>
      </c>
      <c r="C34" s="333" t="s">
        <v>850</v>
      </c>
      <c r="D34" s="334" t="s">
        <v>853</v>
      </c>
      <c r="E34" s="100" t="str">
        <f ca="1">Main_Parameters!$C$281</f>
        <v>00000A01</v>
      </c>
      <c r="F34" s="135"/>
      <c r="G34"/>
      <c r="H34"/>
      <c r="I34" s="2"/>
    </row>
    <row r="35" spans="2:61">
      <c r="B35" s="89" t="str">
        <f ca="1">IF(OR(Main_Parameters!$BA$40="Original",Main_Parameters!$C$37=26),"WR32","REMnd")</f>
        <v>WR32</v>
      </c>
      <c r="C35" s="333" t="s">
        <v>851</v>
      </c>
      <c r="D35" s="334" t="s">
        <v>854</v>
      </c>
      <c r="E35" s="100" t="str">
        <f>Main_Parameters!$C$285</f>
        <v>00000030</v>
      </c>
      <c r="F35" s="135"/>
      <c r="G35"/>
      <c r="H35"/>
      <c r="I35" s="2"/>
    </row>
    <row r="36" spans="2:61">
      <c r="B36" s="89" t="str">
        <f>IF(Main_Parameters!$C$37=26,"WR32","REMnd")</f>
        <v>REMnd</v>
      </c>
      <c r="C36" s="333" t="s">
        <v>1252</v>
      </c>
      <c r="D36" s="334" t="s">
        <v>1253</v>
      </c>
      <c r="E36" s="83" t="s">
        <v>1254</v>
      </c>
      <c r="F36" s="135"/>
      <c r="G36"/>
      <c r="H36"/>
      <c r="I36" s="2"/>
    </row>
    <row r="37" spans="2:61">
      <c r="B37" s="89" t="str">
        <f>IF((COUNTIF(B42,"WR8")+COUNTIF(B42,"WR16")+COUNTIF(B42,"WR32"))&gt;0,"WR32","REMnd")</f>
        <v>REMnd</v>
      </c>
      <c r="C37" s="5" t="s">
        <v>308</v>
      </c>
      <c r="D37" s="14" t="s">
        <v>296</v>
      </c>
      <c r="E37" s="100" t="str">
        <f>DEC2HEX(Y37*2^31+Z37*2^30+AA37*2^29+AB37*2^28+AC37*2^27+AD37*2^26+AE37*2^25+AF37*2^24+AG37*2^23+AH37*2^22+AI37*2^21+AJ37*2^20+AK37*2^19+AL37*2^18+AM37*2^17+AN37*2^16+AO37*2^15+AP37*2^14+AQ37*2^13+AR37*2^12+AS37*2^11+AT37*2^10+AU37*2^9+AV37*2^8+AW37*2^7+AX37*2^6+AY37*2^5+AZ37*2^4+BA37*2^3+BB37*2^2+BC37*2^1+BD37*2^0,8)</f>
        <v>00000007</v>
      </c>
      <c r="F37" s="36" t="s">
        <v>454</v>
      </c>
      <c r="G37"/>
      <c r="H37" s="188" t="s">
        <v>354</v>
      </c>
      <c r="I37" s="193" t="s">
        <v>122</v>
      </c>
      <c r="J37" s="188" t="s">
        <v>355</v>
      </c>
      <c r="K37" s="193" t="s">
        <v>37</v>
      </c>
      <c r="L37" s="188" t="s">
        <v>356</v>
      </c>
      <c r="M37" s="193" t="s">
        <v>37</v>
      </c>
      <c r="N37" s="188" t="s">
        <v>357</v>
      </c>
      <c r="O37" s="194" t="s">
        <v>37</v>
      </c>
      <c r="P37" s="192"/>
      <c r="Q37" s="189"/>
      <c r="R37" s="264" t="s">
        <v>358</v>
      </c>
      <c r="S37" s="287" t="str">
        <f>IF((COUNTIF(B42,"WR8")+COUNTIF(B42,"WR16")+COUNTIF(B42,"WR32"))&gt;0,"No","Auto Boot")</f>
        <v>Auto Boot</v>
      </c>
      <c r="T37" s="206" t="s">
        <v>359</v>
      </c>
      <c r="U37" s="335" t="s">
        <v>830</v>
      </c>
      <c r="V37" s="205" t="s">
        <v>360</v>
      </c>
      <c r="W37" s="335" t="s">
        <v>830</v>
      </c>
      <c r="Y37" s="129">
        <v>0</v>
      </c>
      <c r="Z37" s="129">
        <v>0</v>
      </c>
      <c r="AA37" s="129">
        <v>0</v>
      </c>
      <c r="AB37" s="129">
        <v>0</v>
      </c>
      <c r="AC37" s="129">
        <v>0</v>
      </c>
      <c r="AD37" s="129">
        <v>0</v>
      </c>
      <c r="AE37" s="129">
        <v>0</v>
      </c>
      <c r="AF37" s="129">
        <v>0</v>
      </c>
      <c r="AG37" s="129">
        <v>0</v>
      </c>
      <c r="AH37" s="129">
        <v>0</v>
      </c>
      <c r="AI37" s="129">
        <v>0</v>
      </c>
      <c r="AJ37" s="129">
        <v>0</v>
      </c>
      <c r="AK37" s="129">
        <v>0</v>
      </c>
      <c r="AL37" s="129">
        <v>0</v>
      </c>
      <c r="AM37" s="129">
        <v>0</v>
      </c>
      <c r="AN37" s="129">
        <v>0</v>
      </c>
      <c r="AO37" s="129">
        <v>0</v>
      </c>
      <c r="AP37" s="129">
        <v>0</v>
      </c>
      <c r="AQ37" s="129">
        <v>0</v>
      </c>
      <c r="AR37" s="129">
        <v>0</v>
      </c>
      <c r="AS37" s="129">
        <v>0</v>
      </c>
      <c r="AT37" s="129">
        <v>0</v>
      </c>
      <c r="AU37" s="129">
        <v>0</v>
      </c>
      <c r="AV37" s="129">
        <v>0</v>
      </c>
      <c r="AW37" s="256">
        <f>IF(I37="eFuse",1,0)</f>
        <v>0</v>
      </c>
      <c r="AX37" s="256">
        <f>IF(K37="Enable",1,0)</f>
        <v>0</v>
      </c>
      <c r="AY37" s="256">
        <f>IF(M37="Enable",1,0)</f>
        <v>0</v>
      </c>
      <c r="AZ37" s="256">
        <f>IF(O37="Enable",1,0)</f>
        <v>0</v>
      </c>
      <c r="BA37" s="129">
        <v>0</v>
      </c>
      <c r="BB37" s="256">
        <f>IF(S37="Auto Boot",1,0)</f>
        <v>1</v>
      </c>
      <c r="BC37" s="256">
        <f>IF(U37="Auto Boot",1,0)</f>
        <v>1</v>
      </c>
      <c r="BD37" s="256">
        <f>IF(W37="Auto Boot",1,0)</f>
        <v>1</v>
      </c>
    </row>
    <row r="38" spans="2:61">
      <c r="B38" s="89" t="str">
        <f>IF((COUNTIF(B42,"WR8")+COUNTIF(B42,"WR16")+COUNTIF(B42,"WR32"))&gt;0,"delay","REMnd")</f>
        <v>REMnd</v>
      </c>
      <c r="C38" s="5"/>
      <c r="D38" s="14">
        <v>1000</v>
      </c>
      <c r="E38" s="207"/>
      <c r="F38" s="36" t="s">
        <v>446</v>
      </c>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61">
      <c r="B39" s="89" t="str">
        <f>IF((COUNTIF(B42,"WR8")+COUNTIF(B42,"WR16")+COUNTIF(B42,"WR32"))&gt;0,"RD32","REMnd")</f>
        <v>REMnd</v>
      </c>
      <c r="C39" s="5" t="s">
        <v>309</v>
      </c>
      <c r="D39" s="14" t="s">
        <v>297</v>
      </c>
      <c r="E39" s="294" t="str">
        <f>DEC2HEX(Y39*2^31+Z39*2^30+AA39*2^29+AB39*2^28+AC39*2^27+AD39*2^26+AE39*2^25+AF39*2^24+AG39*2^23+AH39*2^22+AI39*2^21+AJ39*2^20+AK39*2^19+AL39*2^18+AM39*2^17+AN39*2^16+AO39*2^15+AP39*2^14+AQ39*2^13+AR39*2^12+AS39*2^11+AT39*2^10+AU39*2^9+AV39*2^8+AW39*2^7+AX39*2^6+AY39*2^5+AZ39*2^4+BA39*2^3+BB39*2^2+BC39*2^1+BD39*2^0,8)</f>
        <v>00000007</v>
      </c>
      <c r="F39" s="36" t="s">
        <v>380</v>
      </c>
      <c r="G39"/>
      <c r="H39"/>
      <c r="I39"/>
      <c r="J39"/>
      <c r="K39"/>
      <c r="L39"/>
      <c r="M39"/>
      <c r="N39"/>
      <c r="O39"/>
      <c r="P39"/>
      <c r="Q39"/>
      <c r="R39"/>
      <c r="S39"/>
      <c r="T39"/>
      <c r="U39"/>
      <c r="V39"/>
      <c r="W39"/>
      <c r="X39"/>
      <c r="Y39" s="129">
        <v>0</v>
      </c>
      <c r="Z39" s="129">
        <v>0</v>
      </c>
      <c r="AA39" s="129">
        <v>0</v>
      </c>
      <c r="AB39" s="129">
        <v>0</v>
      </c>
      <c r="AC39" s="129">
        <v>0</v>
      </c>
      <c r="AD39" s="129">
        <v>0</v>
      </c>
      <c r="AE39" s="129">
        <v>0</v>
      </c>
      <c r="AF39" s="129">
        <v>0</v>
      </c>
      <c r="AG39" s="129">
        <v>0</v>
      </c>
      <c r="AH39" s="129">
        <v>0</v>
      </c>
      <c r="AI39" s="129">
        <v>0</v>
      </c>
      <c r="AJ39" s="129">
        <v>0</v>
      </c>
      <c r="AK39" s="129">
        <v>0</v>
      </c>
      <c r="AL39" s="129">
        <v>0</v>
      </c>
      <c r="AM39" s="129">
        <v>0</v>
      </c>
      <c r="AN39" s="129">
        <v>0</v>
      </c>
      <c r="AO39" s="129">
        <v>0</v>
      </c>
      <c r="AP39" s="129">
        <v>0</v>
      </c>
      <c r="AQ39" s="129">
        <v>0</v>
      </c>
      <c r="AR39" s="129">
        <v>0</v>
      </c>
      <c r="AS39" s="129">
        <v>0</v>
      </c>
      <c r="AT39" s="129">
        <v>0</v>
      </c>
      <c r="AU39" s="129">
        <v>0</v>
      </c>
      <c r="AV39" s="129">
        <v>0</v>
      </c>
      <c r="AW39" s="129">
        <v>0</v>
      </c>
      <c r="AX39" s="129">
        <v>0</v>
      </c>
      <c r="AY39" s="129">
        <v>0</v>
      </c>
      <c r="AZ39" s="129">
        <v>0</v>
      </c>
      <c r="BA39" s="129">
        <v>0</v>
      </c>
      <c r="BB39" s="293">
        <f>IF(AND(BD37=1,BC37=1),1,0)</f>
        <v>1</v>
      </c>
      <c r="BC39" s="293">
        <f>IF(BD37=1,1,0)</f>
        <v>1</v>
      </c>
      <c r="BD39" s="293">
        <f>IF(AND(BB37=1,BC37=1,BD37=1),1,0)</f>
        <v>1</v>
      </c>
      <c r="BE39"/>
      <c r="BF39"/>
      <c r="BG39"/>
      <c r="BH39"/>
      <c r="BI39"/>
    </row>
    <row r="40" spans="2:61">
      <c r="B40" s="354" t="str">
        <f>IF((COUNTIF(B42,"WR8")+COUNTIF(B42,"WR16")+COUNTIF(B42,"WR32"))&gt;0,"CHECK","REMnd")</f>
        <v>REMnd</v>
      </c>
      <c r="C40" s="235" t="s">
        <v>931</v>
      </c>
      <c r="D40" s="236"/>
      <c r="E40" s="237"/>
      <c r="F40" s="235" t="s">
        <v>930</v>
      </c>
      <c r="G40"/>
      <c r="H40"/>
      <c r="I40" s="2"/>
    </row>
    <row r="41" spans="2:61">
      <c r="B41" s="80" t="str">
        <f>IF(Main_Parameters!$C$37=27,"REMnd","REM")</f>
        <v>REMnd</v>
      </c>
      <c r="C41" s="82" t="s">
        <v>1279</v>
      </c>
      <c r="D41" s="80"/>
      <c r="E41" s="101"/>
      <c r="F41" s="92"/>
      <c r="G41"/>
      <c r="H41"/>
      <c r="I41" s="2"/>
    </row>
    <row r="42" spans="2:61">
      <c r="B42" s="89" t="str">
        <f>IF(Main_Parameters!$C$37=27,"REMnd","WR8")</f>
        <v>REMnd</v>
      </c>
      <c r="C42" s="5" t="s">
        <v>312</v>
      </c>
      <c r="D42" s="14" t="s">
        <v>301</v>
      </c>
      <c r="E42" s="83" t="s">
        <v>379</v>
      </c>
      <c r="F42" s="36" t="s">
        <v>589</v>
      </c>
      <c r="G42"/>
      <c r="H42"/>
      <c r="I42" s="2"/>
    </row>
    <row r="43" spans="2:61">
      <c r="B43" s="16" t="s">
        <v>290</v>
      </c>
      <c r="C43" s="5" t="s">
        <v>308</v>
      </c>
      <c r="D43" s="14" t="s">
        <v>296</v>
      </c>
      <c r="E43" s="100" t="str">
        <f>DEC2HEX(Y43*2^31+Z43*2^30+AA43*2^29+AB43*2^28+AC43*2^27+AD43*2^26+AE43*2^25+AF43*2^24+AG43*2^23+AH43*2^22+AI43*2^21+AJ43*2^20+AK43*2^19+AL43*2^18+AM43*2^17+AN43*2^16+AO43*2^15+AP43*2^14+AQ43*2^13+AR43*2^12+AS43*2^11+AT43*2^10+AU43*2^9+AV43*2^8+AW43*2^7+AX43*2^6+AY43*2^5+AZ43*2^4+BA43*2^3+BB43*2^2+BC43*2^1+BD43*2^0,8)</f>
        <v>00000007</v>
      </c>
      <c r="F43" s="36" t="s">
        <v>454</v>
      </c>
      <c r="G43"/>
      <c r="H43" s="188" t="s">
        <v>354</v>
      </c>
      <c r="I43" s="193" t="s">
        <v>122</v>
      </c>
      <c r="J43" s="188" t="s">
        <v>355</v>
      </c>
      <c r="K43" s="193" t="s">
        <v>37</v>
      </c>
      <c r="L43" s="188" t="s">
        <v>356</v>
      </c>
      <c r="M43" s="193" t="s">
        <v>37</v>
      </c>
      <c r="N43" s="188" t="s">
        <v>357</v>
      </c>
      <c r="O43" s="194" t="s">
        <v>37</v>
      </c>
      <c r="P43" s="192"/>
      <c r="Q43" s="189"/>
      <c r="R43" s="264" t="s">
        <v>358</v>
      </c>
      <c r="S43" s="335" t="s">
        <v>830</v>
      </c>
      <c r="T43" s="206" t="s">
        <v>359</v>
      </c>
      <c r="U43" s="335" t="s">
        <v>830</v>
      </c>
      <c r="V43" s="205" t="s">
        <v>360</v>
      </c>
      <c r="W43" s="335" t="s">
        <v>830</v>
      </c>
      <c r="Y43" s="129">
        <v>0</v>
      </c>
      <c r="Z43" s="129">
        <v>0</v>
      </c>
      <c r="AA43" s="129">
        <v>0</v>
      </c>
      <c r="AB43" s="129">
        <v>0</v>
      </c>
      <c r="AC43" s="129">
        <v>0</v>
      </c>
      <c r="AD43" s="129">
        <v>0</v>
      </c>
      <c r="AE43" s="129">
        <v>0</v>
      </c>
      <c r="AF43" s="129">
        <v>0</v>
      </c>
      <c r="AG43" s="129">
        <v>0</v>
      </c>
      <c r="AH43" s="129">
        <v>0</v>
      </c>
      <c r="AI43" s="129">
        <v>0</v>
      </c>
      <c r="AJ43" s="129">
        <v>0</v>
      </c>
      <c r="AK43" s="129">
        <v>0</v>
      </c>
      <c r="AL43" s="129">
        <v>0</v>
      </c>
      <c r="AM43" s="129">
        <v>0</v>
      </c>
      <c r="AN43" s="129">
        <v>0</v>
      </c>
      <c r="AO43" s="129">
        <v>0</v>
      </c>
      <c r="AP43" s="129">
        <v>0</v>
      </c>
      <c r="AQ43" s="129">
        <v>0</v>
      </c>
      <c r="AR43" s="129">
        <v>0</v>
      </c>
      <c r="AS43" s="129">
        <v>0</v>
      </c>
      <c r="AT43" s="129">
        <v>0</v>
      </c>
      <c r="AU43" s="129">
        <v>0</v>
      </c>
      <c r="AV43" s="129">
        <v>0</v>
      </c>
      <c r="AW43" s="256">
        <f>IF(I43="eFuse",1,0)</f>
        <v>0</v>
      </c>
      <c r="AX43" s="256">
        <f>IF(K43="Enable",1,0)</f>
        <v>0</v>
      </c>
      <c r="AY43" s="256">
        <f>IF(M43="Enable",1,0)</f>
        <v>0</v>
      </c>
      <c r="AZ43" s="256">
        <f>IF(O43="Enable",1,0)</f>
        <v>0</v>
      </c>
      <c r="BA43" s="129">
        <v>0</v>
      </c>
      <c r="BB43" s="256">
        <f>IF(S43="Auto Boot",1,0)</f>
        <v>1</v>
      </c>
      <c r="BC43" s="256">
        <f>IF(U43="Auto Boot",1,0)</f>
        <v>1</v>
      </c>
      <c r="BD43" s="256">
        <f>IF(W43="Auto Boot",1,0)</f>
        <v>1</v>
      </c>
    </row>
    <row r="44" spans="2:61">
      <c r="B44" s="16" t="s">
        <v>425</v>
      </c>
      <c r="C44" s="5"/>
      <c r="D44" s="14">
        <v>1000</v>
      </c>
      <c r="E44" s="207"/>
      <c r="F44" s="36" t="s">
        <v>446</v>
      </c>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61">
      <c r="B45" s="16" t="s">
        <v>298</v>
      </c>
      <c r="C45" s="5" t="s">
        <v>309</v>
      </c>
      <c r="D45" s="14" t="s">
        <v>297</v>
      </c>
      <c r="E45" s="294" t="str">
        <f>DEC2HEX(Y45*2^31+Z45*2^30+AA45*2^29+AB45*2^28+AC45*2^27+AD45*2^26+AE45*2^25+AF45*2^24+AG45*2^23+AH45*2^22+AI45*2^21+AJ45*2^20+AK45*2^19+AL45*2^18+AM45*2^17+AN45*2^16+AO45*2^15+AP45*2^14+AQ45*2^13+AR45*2^12+AS45*2^11+AT45*2^10+AU45*2^9+AV45*2^8+AW45*2^7+AX45*2^6+AY45*2^5+AZ45*2^4+BA45*2^3+BB45*2^2+BC45*2^1+BD45*2^0,8)</f>
        <v>00000007</v>
      </c>
      <c r="F45" s="36" t="s">
        <v>380</v>
      </c>
      <c r="G45"/>
      <c r="H45"/>
      <c r="I45"/>
      <c r="J45"/>
      <c r="K45"/>
      <c r="L45"/>
      <c r="M45"/>
      <c r="N45"/>
      <c r="O45"/>
      <c r="P45"/>
      <c r="Q45"/>
      <c r="R45"/>
      <c r="S45"/>
      <c r="T45"/>
      <c r="U45"/>
      <c r="V45"/>
      <c r="W45"/>
      <c r="X45"/>
      <c r="Y45" s="129">
        <v>0</v>
      </c>
      <c r="Z45" s="129">
        <v>0</v>
      </c>
      <c r="AA45" s="129">
        <v>0</v>
      </c>
      <c r="AB45" s="129">
        <v>0</v>
      </c>
      <c r="AC45" s="129">
        <v>0</v>
      </c>
      <c r="AD45" s="129">
        <v>0</v>
      </c>
      <c r="AE45" s="129">
        <v>0</v>
      </c>
      <c r="AF45" s="129">
        <v>0</v>
      </c>
      <c r="AG45" s="129">
        <v>0</v>
      </c>
      <c r="AH45" s="129">
        <v>0</v>
      </c>
      <c r="AI45" s="129">
        <v>0</v>
      </c>
      <c r="AJ45" s="129">
        <v>0</v>
      </c>
      <c r="AK45" s="129">
        <v>0</v>
      </c>
      <c r="AL45" s="129">
        <v>0</v>
      </c>
      <c r="AM45" s="129">
        <v>0</v>
      </c>
      <c r="AN45" s="129">
        <v>0</v>
      </c>
      <c r="AO45" s="129">
        <v>0</v>
      </c>
      <c r="AP45" s="129">
        <v>0</v>
      </c>
      <c r="AQ45" s="129">
        <v>0</v>
      </c>
      <c r="AR45" s="129">
        <v>0</v>
      </c>
      <c r="AS45" s="129">
        <v>0</v>
      </c>
      <c r="AT45" s="129">
        <v>0</v>
      </c>
      <c r="AU45" s="129">
        <v>0</v>
      </c>
      <c r="AV45" s="129">
        <v>0</v>
      </c>
      <c r="AW45" s="129">
        <v>0</v>
      </c>
      <c r="AX45" s="129">
        <v>0</v>
      </c>
      <c r="AY45" s="129">
        <v>0</v>
      </c>
      <c r="AZ45" s="129">
        <v>0</v>
      </c>
      <c r="BA45" s="129">
        <v>0</v>
      </c>
      <c r="BB45" s="293">
        <f>IF(AND(BD43=1,BC43=1),1,0)</f>
        <v>1</v>
      </c>
      <c r="BC45" s="293">
        <f>IF(BD43=1,1,0)</f>
        <v>1</v>
      </c>
      <c r="BD45" s="293">
        <f>IF(AND(BB43=1,BC43=1,BD43=1),1,0)</f>
        <v>1</v>
      </c>
      <c r="BE45"/>
      <c r="BF45"/>
      <c r="BG45"/>
      <c r="BH45"/>
      <c r="BI45"/>
    </row>
    <row r="46" spans="2:61">
      <c r="B46" s="234" t="s">
        <v>419</v>
      </c>
      <c r="C46" s="235" t="s">
        <v>931</v>
      </c>
      <c r="D46" s="236"/>
      <c r="E46" s="237"/>
      <c r="F46" s="235" t="s">
        <v>930</v>
      </c>
      <c r="G46"/>
      <c r="H46"/>
      <c r="I46" s="2"/>
    </row>
    <row r="47" spans="2:61">
      <c r="B47" s="80" t="str">
        <f>IF(Main_Parameters!$B$20="Original","REM","REMnd")</f>
        <v>REM</v>
      </c>
      <c r="C47" s="82" t="s">
        <v>835</v>
      </c>
      <c r="D47" s="80"/>
      <c r="E47" s="101"/>
      <c r="F47" s="92"/>
      <c r="G47"/>
      <c r="H47"/>
      <c r="I47" s="2"/>
    </row>
    <row r="48" spans="2:61">
      <c r="B48" s="89" t="str">
        <f>IF(AND(Main_Parameters!$B$20="Original",Main_Parameters!$C$41="TX0/1 Enable"),"WR32","REMnd")</f>
        <v>WR32</v>
      </c>
      <c r="C48" s="333" t="s">
        <v>827</v>
      </c>
      <c r="D48" s="334" t="s">
        <v>824</v>
      </c>
      <c r="E48" s="100" t="str">
        <f ca="1">Main_Parameters!$C$289</f>
        <v>0000021C</v>
      </c>
      <c r="F48" s="135"/>
      <c r="G48"/>
      <c r="H48"/>
      <c r="I48" s="2"/>
    </row>
    <row r="49" spans="2:9">
      <c r="B49" s="89" t="str">
        <f>IF(AND(Main_Parameters!$B$20="Original",Main_Parameters!$C$41="TX0/1 Enable"),"WR32","REMnd")</f>
        <v>WR32</v>
      </c>
      <c r="C49" s="333" t="s">
        <v>828</v>
      </c>
      <c r="D49" s="334" t="s">
        <v>825</v>
      </c>
      <c r="E49" s="100" t="str">
        <f ca="1">Main_Parameters!$C$291</f>
        <v>0000021C</v>
      </c>
      <c r="F49" s="135"/>
      <c r="G49"/>
      <c r="H49"/>
      <c r="I49" s="2"/>
    </row>
    <row r="50" spans="2:9">
      <c r="B50" s="89" t="str">
        <f>IF(Main_Parameters!$B$20="Original","WR32","REMnd")</f>
        <v>WR32</v>
      </c>
      <c r="C50" s="333" t="s">
        <v>1327</v>
      </c>
      <c r="D50" s="334" t="s">
        <v>826</v>
      </c>
      <c r="E50" s="100" t="str">
        <f ca="1">Main_Parameters!$C$293</f>
        <v>00000438</v>
      </c>
      <c r="F50" s="135"/>
      <c r="G50"/>
      <c r="H50"/>
      <c r="I50" s="2"/>
    </row>
    <row r="51" spans="2:9">
      <c r="B51" s="89" t="str">
        <f>IF(Main_Parameters!I59=0,"REMnd","WR32")</f>
        <v>REMnd</v>
      </c>
      <c r="C51" s="333" t="s">
        <v>1516</v>
      </c>
      <c r="D51" s="334" t="s">
        <v>1518</v>
      </c>
      <c r="E51" s="100" t="str">
        <f>Main_Parameters!C295</f>
        <v>00000000</v>
      </c>
      <c r="F51" s="135"/>
      <c r="G51"/>
      <c r="H51"/>
      <c r="I51" s="2"/>
    </row>
    <row r="52" spans="2:9">
      <c r="B52" s="89" t="str">
        <f>IF(Main_Parameters!I60=0,"REMnd","WR32")</f>
        <v>REMnd</v>
      </c>
      <c r="C52" s="333" t="s">
        <v>1520</v>
      </c>
      <c r="D52" s="334" t="s">
        <v>1526</v>
      </c>
      <c r="E52" s="100" t="str">
        <f>Main_Parameters!C296</f>
        <v>00000000</v>
      </c>
      <c r="F52" s="135"/>
      <c r="G52"/>
      <c r="H52"/>
      <c r="I52" s="2"/>
    </row>
    <row r="53" spans="2:9">
      <c r="B53" s="89" t="str">
        <f>IF(Main_Parameters!J60=0,"REMnd","WR32")</f>
        <v>REMnd</v>
      </c>
      <c r="C53" s="333" t="s">
        <v>1522</v>
      </c>
      <c r="D53" s="334" t="s">
        <v>1524</v>
      </c>
      <c r="E53" s="100" t="str">
        <f>Main_Parameters!C297</f>
        <v>0000FF00</v>
      </c>
      <c r="F53" s="135"/>
      <c r="G53"/>
      <c r="H53"/>
      <c r="I53" s="2"/>
    </row>
    <row r="54" spans="2:9">
      <c r="B54" s="89" t="str">
        <f>IF(OR(Main_Parameters!$B$20="Original",Main_Parameters!J60&lt;&gt;0),"WR32","REMnd")</f>
        <v>WR32</v>
      </c>
      <c r="C54" s="333" t="s">
        <v>819</v>
      </c>
      <c r="D54" s="334" t="s">
        <v>820</v>
      </c>
      <c r="E54" s="100" t="str">
        <f ca="1">Main_Parameters!$C$300</f>
        <v>3E0B0654</v>
      </c>
      <c r="F54" s="135"/>
      <c r="G54"/>
      <c r="H54"/>
      <c r="I54" s="2"/>
    </row>
    <row r="55" spans="2:9">
      <c r="B55" s="89" t="str">
        <f>IF(AND(Main_Parameters!$B$20="Original",Main_Parameters!$C$41="TX0/1 Enable"),"WR32",IF(Main_Parameters!J60&lt;&gt;0,"WR32","REMnd"))</f>
        <v>WR32</v>
      </c>
      <c r="C55" s="333" t="s">
        <v>823</v>
      </c>
      <c r="D55" s="334" t="s">
        <v>822</v>
      </c>
      <c r="E55" s="100" t="str">
        <f ca="1">Main_Parameters!$C$302</f>
        <v>3E0B0654</v>
      </c>
      <c r="F55" s="135"/>
      <c r="G55"/>
      <c r="H55"/>
      <c r="I55" s="2"/>
    </row>
    <row r="56" spans="2:9">
      <c r="B56" s="80" t="str">
        <f>IF(Main_Parameters!$C$37=26,"REM","REMnd")</f>
        <v>REMnd</v>
      </c>
      <c r="C56" s="82" t="s">
        <v>1248</v>
      </c>
      <c r="D56" s="80"/>
      <c r="E56" s="101"/>
      <c r="F56" s="92"/>
      <c r="G56"/>
      <c r="H56"/>
      <c r="I56" s="2"/>
    </row>
    <row r="57" spans="2:9">
      <c r="B57" s="89" t="str">
        <f>IF(Main_Parameters!$C$37=26,"WR32","REMnd")</f>
        <v>REMnd</v>
      </c>
      <c r="C57" s="333" t="s">
        <v>1247</v>
      </c>
      <c r="D57" s="388" t="str">
        <f>IF(Main_Parameters!$C$41="TX0/1 Enable","4020","2020")</f>
        <v>4020</v>
      </c>
      <c r="E57" s="83" t="s">
        <v>1249</v>
      </c>
      <c r="F57" s="135"/>
      <c r="G57"/>
      <c r="H57"/>
      <c r="I57" s="2"/>
    </row>
    <row r="58" spans="2:9">
      <c r="B58" s="89" t="str">
        <f>IF(Main_Parameters!$C$37=26,"WR32","REMnd")</f>
        <v>REMnd</v>
      </c>
      <c r="C58" s="333" t="s">
        <v>1250</v>
      </c>
      <c r="D58" s="388" t="str">
        <f>IF(Main_Parameters!$C$41="TX0/1 Enable","4170","2170")</f>
        <v>4170</v>
      </c>
      <c r="E58" s="83" t="s">
        <v>1251</v>
      </c>
      <c r="F58" s="135"/>
      <c r="G58"/>
      <c r="H58"/>
      <c r="I58" s="2"/>
    </row>
    <row r="59" spans="2:9">
      <c r="B59" s="80" t="str">
        <f ca="1">IF(Main_Parameters!$BA$40="Preset","REMnd","REM")</f>
        <v>REM</v>
      </c>
      <c r="C59" s="82" t="s">
        <v>855</v>
      </c>
      <c r="D59" s="80"/>
      <c r="E59" s="101"/>
      <c r="F59" s="92"/>
      <c r="G59"/>
      <c r="H59"/>
      <c r="I59" s="2"/>
    </row>
    <row r="60" spans="2:9">
      <c r="B60" s="89" t="str">
        <f ca="1">IF(Main_Parameters!$BA$40="Preset","REMnd","WR32")</f>
        <v>WR32</v>
      </c>
      <c r="C60" s="333" t="s">
        <v>811</v>
      </c>
      <c r="D60" s="388" t="str">
        <f>IF(Main_Parameters!$C$41="TX0/1 Enable","4154","2154")</f>
        <v>4154</v>
      </c>
      <c r="E60" s="100" t="str">
        <f ca="1">Main_Parameters!$C$305</f>
        <v>00000006</v>
      </c>
      <c r="F60" s="135"/>
      <c r="G60"/>
      <c r="H60"/>
      <c r="I60" s="2"/>
    </row>
    <row r="61" spans="2:9">
      <c r="B61" s="163" t="s">
        <v>1544</v>
      </c>
      <c r="C61" s="333" t="s">
        <v>812</v>
      </c>
      <c r="D61" s="388" t="str">
        <f>IF(Main_Parameters!$C$41="TX0/1 Enable","4158","2158")</f>
        <v>4158</v>
      </c>
      <c r="E61" s="100" t="str">
        <f ca="1">Main_Parameters!$C$307</f>
        <v>00140003</v>
      </c>
      <c r="F61" s="135"/>
      <c r="G61"/>
      <c r="H61"/>
      <c r="I61" s="2"/>
    </row>
    <row r="62" spans="2:9">
      <c r="B62" s="89" t="str">
        <f ca="1">IF(Main_Parameters!$BA$40="Preset","REMnd","WR32")</f>
        <v>WR32</v>
      </c>
      <c r="C62" s="333" t="s">
        <v>813</v>
      </c>
      <c r="D62" s="388" t="str">
        <f>IF(Main_Parameters!$C$41="TX0/1 Enable","415C","215C")</f>
        <v>415C</v>
      </c>
      <c r="E62" s="100" t="str">
        <f ca="1">Main_Parameters!$C$309</f>
        <v>00060002</v>
      </c>
      <c r="F62" s="135"/>
      <c r="G62"/>
      <c r="H62"/>
      <c r="I62" s="2"/>
    </row>
    <row r="63" spans="2:9">
      <c r="B63" s="163" t="s">
        <v>1544</v>
      </c>
      <c r="C63" s="333" t="s">
        <v>814</v>
      </c>
      <c r="D63" s="388" t="str">
        <f>IF(Main_Parameters!$C$41="TX0/1 Enable","4160","2160")</f>
        <v>4160</v>
      </c>
      <c r="E63" s="100" t="str">
        <f ca="1">Main_Parameters!$C$311</f>
        <v>000A0003</v>
      </c>
      <c r="F63" s="135"/>
      <c r="G63"/>
      <c r="H63"/>
      <c r="I63" s="2"/>
    </row>
    <row r="64" spans="2:9">
      <c r="B64" s="163" t="s">
        <v>1544</v>
      </c>
      <c r="C64" s="333" t="s">
        <v>815</v>
      </c>
      <c r="D64" s="388" t="str">
        <f>IF(Main_Parameters!$C$41="TX0/1 Enable","4164","2164")</f>
        <v>4164</v>
      </c>
      <c r="E64" s="100" t="str">
        <f ca="1">Main_Parameters!$C$313</f>
        <v>00002710</v>
      </c>
      <c r="F64" s="135"/>
      <c r="G64"/>
      <c r="H64"/>
      <c r="I64" s="2"/>
    </row>
    <row r="65" spans="2:61">
      <c r="B65" s="163" t="s">
        <v>1544</v>
      </c>
      <c r="C65" s="333" t="s">
        <v>816</v>
      </c>
      <c r="D65" s="388" t="str">
        <f>IF(Main_Parameters!$C$41="TX0/1 Enable","4168","2168")</f>
        <v>4168</v>
      </c>
      <c r="E65" s="100" t="str">
        <f ca="1">Main_Parameters!$C$315</f>
        <v>0000000A</v>
      </c>
      <c r="F65" s="135"/>
      <c r="G65"/>
      <c r="H65"/>
      <c r="I65" s="2"/>
    </row>
    <row r="66" spans="2:61">
      <c r="B66" s="89" t="str">
        <f ca="1">IF(Main_Parameters!$BA$40="Preset","REMnd","WR32")</f>
        <v>WR32</v>
      </c>
      <c r="C66" s="333" t="s">
        <v>817</v>
      </c>
      <c r="D66" s="388" t="str">
        <f>IF(Main_Parameters!$C$41="TX0/1 Enable","416C","216C")</f>
        <v>416C</v>
      </c>
      <c r="E66" s="100" t="str">
        <f ca="1">Main_Parameters!$C$317</f>
        <v>00070005</v>
      </c>
      <c r="F66" s="135"/>
      <c r="G66"/>
      <c r="H66"/>
      <c r="I66" s="2"/>
    </row>
    <row r="67" spans="2:61">
      <c r="B67" s="89" t="str">
        <f ca="1">IF(Main_Parameters!$BA$40="Preset","REMnd","WR32")</f>
        <v>WR32</v>
      </c>
      <c r="C67" s="333" t="s">
        <v>818</v>
      </c>
      <c r="D67" s="388" t="str">
        <f>IF(Main_Parameters!$C$41="TX0/1 Enable","4178","2178")</f>
        <v>4178</v>
      </c>
      <c r="E67" s="100" t="str">
        <f ca="1">Main_Parameters!$C$319</f>
        <v>00060006</v>
      </c>
      <c r="F67" s="135"/>
      <c r="G67"/>
      <c r="H67"/>
      <c r="I67" s="2"/>
    </row>
    <row r="68" spans="2:61" s="129" customFormat="1">
      <c r="B68" s="80" t="s">
        <v>14</v>
      </c>
      <c r="C68" s="82" t="s">
        <v>422</v>
      </c>
      <c r="D68" s="80"/>
      <c r="E68" s="101"/>
      <c r="F68" s="92"/>
      <c r="G68"/>
      <c r="H68"/>
      <c r="I68"/>
      <c r="J68"/>
      <c r="K68"/>
      <c r="L68"/>
      <c r="M68"/>
      <c r="N68"/>
      <c r="O68"/>
      <c r="P68"/>
      <c r="Q68"/>
      <c r="R68"/>
      <c r="S68"/>
      <c r="T68"/>
      <c r="U68"/>
      <c r="V68"/>
      <c r="W68"/>
      <c r="X68" s="222"/>
      <c r="BF68" s="3"/>
      <c r="BG68" s="3"/>
      <c r="BH68" s="3"/>
      <c r="BI68" s="3"/>
    </row>
    <row r="69" spans="2:61">
      <c r="B69" s="89" t="str">
        <f>IF(Main_Parameters!$C$46="Enable","WR32","REMnd")</f>
        <v>REMnd</v>
      </c>
      <c r="C69" s="5" t="s">
        <v>575</v>
      </c>
      <c r="D69" s="14" t="s">
        <v>573</v>
      </c>
      <c r="E69" s="83" t="s">
        <v>574</v>
      </c>
      <c r="F69" s="36" t="s">
        <v>590</v>
      </c>
      <c r="G69"/>
      <c r="H69"/>
      <c r="I69" s="2"/>
    </row>
    <row r="70" spans="2:61">
      <c r="B70" s="89" t="str">
        <f>IF(Main_Parameters!$C$46="Enable","WR32","REMnd")</f>
        <v>REMnd</v>
      </c>
      <c r="C70" s="5" t="s">
        <v>576</v>
      </c>
      <c r="D70" s="14" t="s">
        <v>577</v>
      </c>
      <c r="E70" s="83" t="s">
        <v>574</v>
      </c>
      <c r="F70" s="36" t="s">
        <v>590</v>
      </c>
      <c r="G70"/>
      <c r="H70"/>
      <c r="I70" s="2"/>
    </row>
    <row r="71" spans="2:61">
      <c r="B71" s="89" t="str">
        <f>IF(Main_Parameters!$BB$42=1,"WR32","REMnd")</f>
        <v>REMnd</v>
      </c>
      <c r="C71" s="5" t="s">
        <v>932</v>
      </c>
      <c r="D71" s="14" t="s">
        <v>933</v>
      </c>
      <c r="E71" s="100" t="str">
        <f>DEC2HEX(Y71*2^31+Z71*2^30+AA71*2^29+AB71*2^28+AC71*2^27+AD71*2^26+AE71*2^25+AF71*2^24+AG71*2^23+AH71*2^22+AI71*2^21+AJ71*2^20+AK71*2^19+AL71*2^18+AM71*2^17+AN71*2^16+AO71*2^15+AP71*2^14+AQ71*2^13+AR71*2^12+AS71*2^11+AT71*2^10+AU71*2^9+AV71*2^8+AW71*2^7+AX71*2^6+AY71*2^5+AZ71*2^4+BA71*2^3+BB71*2^2+BC71*2^1+BD71*2^0,8)</f>
        <v>0F000000</v>
      </c>
      <c r="F71" s="36" t="s">
        <v>934</v>
      </c>
      <c r="G71"/>
      <c r="H71"/>
      <c r="I71" s="2"/>
      <c r="Y71" s="359">
        <v>0</v>
      </c>
      <c r="Z71" s="360">
        <v>0</v>
      </c>
      <c r="AA71" s="360">
        <v>0</v>
      </c>
      <c r="AB71" s="360">
        <v>0</v>
      </c>
      <c r="AC71" s="360">
        <v>1</v>
      </c>
      <c r="AD71" s="360">
        <v>1</v>
      </c>
      <c r="AE71" s="360">
        <v>1</v>
      </c>
      <c r="AF71" s="361">
        <v>1</v>
      </c>
      <c r="AG71" s="359">
        <v>0</v>
      </c>
      <c r="AH71" s="360">
        <v>0</v>
      </c>
      <c r="AI71" s="360">
        <v>0</v>
      </c>
      <c r="AJ71" s="360">
        <v>0</v>
      </c>
      <c r="AK71" s="360">
        <v>0</v>
      </c>
      <c r="AL71" s="360">
        <v>0</v>
      </c>
      <c r="AM71" s="360">
        <v>0</v>
      </c>
      <c r="AN71" s="363">
        <f>IF(Main_Parameters!$C$46="Disable",0,1)</f>
        <v>0</v>
      </c>
      <c r="AO71" s="359">
        <v>0</v>
      </c>
      <c r="AP71" s="360">
        <v>0</v>
      </c>
      <c r="AQ71" s="360">
        <v>0</v>
      </c>
      <c r="AR71" s="360">
        <v>0</v>
      </c>
      <c r="AS71" s="360">
        <v>0</v>
      </c>
      <c r="AT71" s="360">
        <v>0</v>
      </c>
      <c r="AU71" s="363">
        <f>Main_Parameters!$BA$42</f>
        <v>0</v>
      </c>
      <c r="AV71" s="364">
        <f>IF(Main_Parameters!$C$41="TX0/1 Enable",0,1)</f>
        <v>0</v>
      </c>
      <c r="AW71" s="360">
        <v>0</v>
      </c>
      <c r="AX71" s="360">
        <v>0</v>
      </c>
      <c r="AY71" s="360">
        <v>0</v>
      </c>
      <c r="AZ71" s="360">
        <v>0</v>
      </c>
      <c r="BA71" s="360">
        <v>0</v>
      </c>
      <c r="BB71" s="360">
        <v>0</v>
      </c>
      <c r="BC71" s="360">
        <v>0</v>
      </c>
      <c r="BD71" s="361">
        <v>0</v>
      </c>
    </row>
    <row r="72" spans="2:61" s="129" customFormat="1">
      <c r="B72" s="16" t="s">
        <v>290</v>
      </c>
      <c r="C72" s="5" t="s">
        <v>320</v>
      </c>
      <c r="D72" s="285" t="str">
        <f>IF(Main_Parameters!$C$41="TX0/1 Enable","407C","207C")</f>
        <v>407C</v>
      </c>
      <c r="E72" s="100" t="str">
        <f>DEC2HEX(Y72*2^31+Z72*2^30+AA72*2^29+AB72*2^28+AC72*2^27+AD72*2^26+AE72*2^25+AF72*2^24+AG72*2^23+AH72*2^22+AI72*2^21+AJ72*2^20+AK72*2^19+AL72*2^18+AM72*2^17+AN72*2^16+AO72*2^15+AP72*2^14+AQ72*2^13+AR72*2^12+AS72*2^11+AT72*2^10+AU72*2^9+AV72*2^8+AW72*2^7+AX72*2^6+AY72*2^5+AZ72*2^4+BA72*2^3+BB72*2^2+BC72*2^1+BD72*2^0,8)</f>
        <v>00000081</v>
      </c>
      <c r="F72" s="36"/>
      <c r="G72"/>
      <c r="H72" s="188" t="s">
        <v>383</v>
      </c>
      <c r="I72" s="267" t="str">
        <f>IF(Main_Parameters!$C$70="LP","Disable","Enable")</f>
        <v>Enable</v>
      </c>
      <c r="J72" s="192"/>
      <c r="K72" s="191"/>
      <c r="L72" s="191"/>
      <c r="M72" s="191"/>
      <c r="N72" s="191"/>
      <c r="O72" s="191"/>
      <c r="P72" s="191"/>
      <c r="Q72" s="191"/>
      <c r="R72" s="191"/>
      <c r="S72" s="189"/>
      <c r="T72" s="264" t="s">
        <v>384</v>
      </c>
      <c r="U72" s="194" t="s">
        <v>385</v>
      </c>
      <c r="V72" s="265" t="s">
        <v>378</v>
      </c>
      <c r="W72" s="267" t="str">
        <f>Main_Parameters!$C$42</f>
        <v>SyncEvent</v>
      </c>
      <c r="Y72" s="359">
        <v>0</v>
      </c>
      <c r="Z72" s="360">
        <v>0</v>
      </c>
      <c r="AA72" s="360">
        <v>0</v>
      </c>
      <c r="AB72" s="360">
        <v>0</v>
      </c>
      <c r="AC72" s="360">
        <v>0</v>
      </c>
      <c r="AD72" s="360">
        <v>0</v>
      </c>
      <c r="AE72" s="360">
        <v>0</v>
      </c>
      <c r="AF72" s="361">
        <v>0</v>
      </c>
      <c r="AG72" s="359">
        <v>0</v>
      </c>
      <c r="AH72" s="360">
        <v>0</v>
      </c>
      <c r="AI72" s="360">
        <v>0</v>
      </c>
      <c r="AJ72" s="360">
        <v>0</v>
      </c>
      <c r="AK72" s="360">
        <v>0</v>
      </c>
      <c r="AL72" s="360">
        <v>0</v>
      </c>
      <c r="AM72" s="360">
        <v>0</v>
      </c>
      <c r="AN72" s="361">
        <v>0</v>
      </c>
      <c r="AO72" s="359">
        <v>0</v>
      </c>
      <c r="AP72" s="360">
        <v>0</v>
      </c>
      <c r="AQ72" s="360">
        <v>0</v>
      </c>
      <c r="AR72" s="360">
        <v>0</v>
      </c>
      <c r="AS72" s="360">
        <v>0</v>
      </c>
      <c r="AT72" s="360">
        <v>0</v>
      </c>
      <c r="AU72" s="387"/>
      <c r="AV72" s="361">
        <v>0</v>
      </c>
      <c r="AW72" s="362">
        <f>IF(I72="Enable",1,0)</f>
        <v>1</v>
      </c>
      <c r="AX72" s="360">
        <v>0</v>
      </c>
      <c r="AY72" s="360">
        <v>0</v>
      </c>
      <c r="AZ72" s="360">
        <v>0</v>
      </c>
      <c r="BA72" s="360">
        <v>0</v>
      </c>
      <c r="BB72" s="360">
        <v>0</v>
      </c>
      <c r="BC72" s="363">
        <f>IF(U72="VSYNC",0,IF(U72="HSYNC Count",1,2))</f>
        <v>0</v>
      </c>
      <c r="BD72" s="364">
        <f>IF(W72="SyncEvent",1,0)</f>
        <v>1</v>
      </c>
      <c r="BF72" s="3"/>
      <c r="BG72" s="3"/>
      <c r="BH72" s="3"/>
      <c r="BI72" s="3"/>
    </row>
    <row r="73" spans="2:61" s="129" customFormat="1">
      <c r="B73" s="16" t="s">
        <v>290</v>
      </c>
      <c r="C73" s="5" t="s">
        <v>1303</v>
      </c>
      <c r="D73" s="285" t="str">
        <f>IF(Main_Parameters!$C$41="TX0/1 Enable","4050","2050")</f>
        <v>4050</v>
      </c>
      <c r="E73" s="14" t="s">
        <v>634</v>
      </c>
      <c r="F73" s="36" t="s">
        <v>1330</v>
      </c>
      <c r="G73"/>
      <c r="H73" s="407"/>
      <c r="I73" s="408"/>
      <c r="J73" s="407"/>
      <c r="K73" s="407"/>
      <c r="L73" s="407"/>
      <c r="M73" s="407"/>
      <c r="N73" s="407"/>
      <c r="O73" s="407"/>
      <c r="P73" s="407"/>
      <c r="Q73" s="407"/>
      <c r="R73" s="407"/>
      <c r="S73" s="407"/>
      <c r="T73" s="407"/>
      <c r="U73" s="409"/>
      <c r="V73" s="407"/>
      <c r="W73" s="408"/>
      <c r="Y73" s="410"/>
      <c r="Z73" s="410"/>
      <c r="AA73" s="410"/>
      <c r="AB73" s="410"/>
      <c r="AC73" s="410"/>
      <c r="AD73" s="410"/>
      <c r="AE73" s="410"/>
      <c r="AF73" s="410"/>
      <c r="AG73" s="410"/>
      <c r="AH73" s="410"/>
      <c r="AI73" s="410"/>
      <c r="AJ73" s="410"/>
      <c r="AK73" s="410"/>
      <c r="AL73" s="410"/>
      <c r="AM73" s="410"/>
      <c r="AN73" s="410"/>
      <c r="AO73" s="410"/>
      <c r="AP73" s="410"/>
      <c r="AQ73" s="410"/>
      <c r="AR73" s="410"/>
      <c r="AS73" s="410"/>
      <c r="AT73" s="410"/>
      <c r="AU73" s="412"/>
      <c r="AV73" s="410"/>
      <c r="AW73" s="411"/>
      <c r="AX73" s="410"/>
      <c r="AY73" s="410"/>
      <c r="AZ73" s="410"/>
      <c r="BA73" s="410"/>
      <c r="BB73" s="410"/>
      <c r="BC73" s="411"/>
      <c r="BD73" s="411"/>
      <c r="BF73" s="3"/>
      <c r="BG73" s="3"/>
      <c r="BH73" s="3"/>
      <c r="BI73" s="3"/>
    </row>
    <row r="74" spans="2:61" s="129" customFormat="1">
      <c r="B74" s="16" t="s">
        <v>290</v>
      </c>
      <c r="C74" s="5" t="s">
        <v>321</v>
      </c>
      <c r="D74" s="285" t="str">
        <f>IF(Main_Parameters!$C$41="TX0/1 Enable","401C","201C")</f>
        <v>401C</v>
      </c>
      <c r="E74" s="14" t="s">
        <v>167</v>
      </c>
      <c r="F74" s="36"/>
      <c r="G74"/>
      <c r="H74"/>
      <c r="I74" s="2"/>
      <c r="J74" s="3"/>
      <c r="K74" s="3"/>
      <c r="L74" s="3"/>
      <c r="M74" s="3"/>
      <c r="N74" s="3"/>
      <c r="O74" s="3"/>
      <c r="P74" s="3"/>
      <c r="Q74" s="3"/>
      <c r="R74" s="3"/>
      <c r="S74" s="3"/>
      <c r="T74" s="3"/>
      <c r="U74" s="3"/>
      <c r="V74" s="3"/>
      <c r="W74" s="3"/>
      <c r="BF74" s="3"/>
      <c r="BG74" s="3"/>
      <c r="BH74" s="3"/>
      <c r="BI74" s="3"/>
    </row>
    <row r="75" spans="2:61" s="129" customFormat="1">
      <c r="B75" s="16" t="s">
        <v>425</v>
      </c>
      <c r="C75" s="5"/>
      <c r="D75" s="13">
        <v>100</v>
      </c>
      <c r="E75" s="14"/>
      <c r="F75" s="36" t="s">
        <v>426</v>
      </c>
      <c r="G75"/>
      <c r="H75"/>
      <c r="I75" s="2"/>
      <c r="J75" s="3"/>
      <c r="K75" s="3"/>
      <c r="L75" s="3"/>
      <c r="M75" s="3"/>
      <c r="N75" s="3"/>
      <c r="O75" s="3"/>
      <c r="P75" s="3"/>
      <c r="Q75" s="3"/>
      <c r="R75" s="3"/>
      <c r="S75" s="3"/>
      <c r="T75" s="3"/>
      <c r="U75" s="3"/>
      <c r="V75" s="3"/>
      <c r="W75" s="3"/>
      <c r="BF75" s="3"/>
      <c r="BG75" s="3"/>
      <c r="BH75" s="3"/>
      <c r="BI75" s="3"/>
    </row>
    <row r="76" spans="2:61" s="129" customFormat="1">
      <c r="B76" s="16" t="s">
        <v>298</v>
      </c>
      <c r="C76" s="5" t="s">
        <v>424</v>
      </c>
      <c r="D76" s="285" t="str">
        <f>IF(Main_Parameters!$C$41="TX0/1 Enable","4060","2060")</f>
        <v>4060</v>
      </c>
      <c r="E76" s="283" t="s">
        <v>174</v>
      </c>
      <c r="F76" s="36"/>
      <c r="G76"/>
      <c r="H76"/>
      <c r="I76" s="2"/>
      <c r="J76" s="3"/>
      <c r="K76" s="3"/>
      <c r="L76" s="3"/>
      <c r="M76" s="3"/>
      <c r="N76" s="3"/>
      <c r="O76" s="3"/>
      <c r="P76" s="3"/>
      <c r="Q76" s="3"/>
      <c r="R76" s="3"/>
      <c r="S76" s="3"/>
      <c r="T76" s="3"/>
      <c r="U76" s="3"/>
      <c r="V76" s="3"/>
      <c r="W76" s="3"/>
      <c r="BF76" s="3"/>
      <c r="BG76" s="3"/>
      <c r="BH76" s="3"/>
      <c r="BI76" s="3"/>
    </row>
    <row r="77" spans="2:61" s="129" customFormat="1">
      <c r="B77" s="234" t="s">
        <v>419</v>
      </c>
      <c r="C77" s="235" t="s">
        <v>428</v>
      </c>
      <c r="D77" s="236"/>
      <c r="E77" s="237"/>
      <c r="F77" s="235" t="s">
        <v>429</v>
      </c>
      <c r="G77"/>
      <c r="H77"/>
      <c r="I77" s="2"/>
      <c r="J77" s="3"/>
      <c r="K77" s="3"/>
      <c r="L77" s="3"/>
      <c r="M77" s="3"/>
      <c r="N77" s="3"/>
      <c r="O77" s="3"/>
      <c r="P77" s="3"/>
      <c r="Q77" s="3"/>
      <c r="R77" s="3"/>
      <c r="S77" s="3"/>
      <c r="T77" s="3"/>
      <c r="U77" s="3"/>
      <c r="V77" s="3"/>
      <c r="W77" s="3"/>
      <c r="BF77" s="3"/>
      <c r="BG77" s="3"/>
      <c r="BH77" s="3"/>
      <c r="BI77" s="3"/>
    </row>
    <row r="78" spans="2:61" s="129" customFormat="1" ht="15">
      <c r="B78" s="280" t="s">
        <v>14</v>
      </c>
      <c r="C78" s="281" t="s">
        <v>449</v>
      </c>
      <c r="D78" s="282"/>
      <c r="E78" s="278"/>
      <c r="F78" s="279"/>
      <c r="G78"/>
      <c r="H78"/>
      <c r="I78"/>
      <c r="J78"/>
      <c r="K78"/>
      <c r="L78"/>
      <c r="M78"/>
      <c r="N78"/>
      <c r="O78"/>
      <c r="P78"/>
      <c r="Q78"/>
      <c r="R78"/>
      <c r="S78"/>
      <c r="T78"/>
      <c r="U78"/>
      <c r="V78"/>
      <c r="W78"/>
      <c r="BF78" s="3"/>
      <c r="BG78" s="3"/>
      <c r="BH78" s="3"/>
      <c r="BI78" s="3"/>
    </row>
    <row r="79" spans="2:61" s="129" customFormat="1">
      <c r="B79" s="306" t="s">
        <v>290</v>
      </c>
      <c r="C79" s="307" t="s">
        <v>1305</v>
      </c>
      <c r="D79" s="308" t="s">
        <v>1306</v>
      </c>
      <c r="E79" s="308" t="s">
        <v>1334</v>
      </c>
      <c r="F79" s="309" t="s">
        <v>1307</v>
      </c>
      <c r="G79"/>
      <c r="H79"/>
      <c r="I79"/>
      <c r="J79"/>
      <c r="K79"/>
      <c r="L79"/>
      <c r="M79"/>
      <c r="N79"/>
      <c r="O79"/>
      <c r="P79"/>
      <c r="Q79"/>
      <c r="R79"/>
      <c r="S79"/>
      <c r="T79"/>
      <c r="U79"/>
      <c r="V79"/>
      <c r="W79"/>
      <c r="BF79" s="3"/>
      <c r="BG79" s="3"/>
      <c r="BH79" s="3"/>
      <c r="BI79" s="3"/>
    </row>
    <row r="80" spans="2:61" s="129" customFormat="1">
      <c r="B80" s="306" t="s">
        <v>290</v>
      </c>
      <c r="C80" s="307" t="s">
        <v>452</v>
      </c>
      <c r="D80" s="308" t="s">
        <v>453</v>
      </c>
      <c r="E80" s="308" t="s">
        <v>1336</v>
      </c>
      <c r="F80" s="309" t="s">
        <v>1337</v>
      </c>
      <c r="G80"/>
      <c r="H80"/>
      <c r="I80"/>
      <c r="J80"/>
      <c r="K80"/>
      <c r="L80"/>
      <c r="M80"/>
      <c r="N80"/>
      <c r="O80"/>
      <c r="P80"/>
      <c r="Q80"/>
      <c r="R80"/>
      <c r="S80"/>
      <c r="T80"/>
      <c r="U80"/>
      <c r="V80"/>
      <c r="W80"/>
      <c r="BF80" s="3"/>
      <c r="BG80" s="3"/>
      <c r="BH80" s="3"/>
      <c r="BI80" s="3"/>
    </row>
    <row r="81" spans="2:61" s="129" customFormat="1">
      <c r="B81" s="306" t="s">
        <v>290</v>
      </c>
      <c r="C81" s="307" t="s">
        <v>1310</v>
      </c>
      <c r="D81" s="308" t="s">
        <v>1311</v>
      </c>
      <c r="E81" s="308" t="s">
        <v>1336</v>
      </c>
      <c r="F81" s="309" t="s">
        <v>1312</v>
      </c>
      <c r="G81"/>
      <c r="H81"/>
      <c r="I81"/>
      <c r="J81"/>
      <c r="K81"/>
      <c r="L81"/>
      <c r="M81"/>
      <c r="N81"/>
      <c r="O81"/>
      <c r="P81"/>
      <c r="Q81"/>
      <c r="R81"/>
      <c r="S81"/>
      <c r="T81"/>
      <c r="U81"/>
      <c r="V81"/>
      <c r="W81"/>
      <c r="BF81" s="3"/>
      <c r="BG81" s="3"/>
      <c r="BH81" s="3"/>
      <c r="BI81" s="3"/>
    </row>
    <row r="82" spans="2:61" s="129" customFormat="1">
      <c r="B82" s="306" t="s">
        <v>290</v>
      </c>
      <c r="C82" s="307" t="s">
        <v>1310</v>
      </c>
      <c r="D82" s="308" t="s">
        <v>1311</v>
      </c>
      <c r="E82" s="308" t="s">
        <v>634</v>
      </c>
      <c r="F82" s="309" t="s">
        <v>1314</v>
      </c>
      <c r="G82"/>
      <c r="H82"/>
      <c r="I82"/>
      <c r="J82"/>
      <c r="K82"/>
      <c r="L82"/>
      <c r="M82"/>
      <c r="N82"/>
      <c r="O82"/>
      <c r="P82"/>
      <c r="Q82"/>
      <c r="R82"/>
      <c r="S82"/>
      <c r="T82"/>
      <c r="U82"/>
      <c r="V82"/>
      <c r="W82"/>
      <c r="BF82" s="3"/>
      <c r="BG82" s="3"/>
      <c r="BH82" s="3"/>
      <c r="BI82" s="3"/>
    </row>
    <row r="83" spans="2:61" s="129" customFormat="1">
      <c r="B83" s="306" t="s">
        <v>290</v>
      </c>
      <c r="C83" s="307" t="s">
        <v>1310</v>
      </c>
      <c r="D83" s="308" t="s">
        <v>1311</v>
      </c>
      <c r="E83" s="308" t="s">
        <v>1335</v>
      </c>
      <c r="F83" s="309" t="s">
        <v>1312</v>
      </c>
      <c r="G83"/>
      <c r="H83"/>
      <c r="I83"/>
      <c r="J83"/>
      <c r="K83"/>
      <c r="L83"/>
      <c r="M83"/>
      <c r="N83"/>
      <c r="O83"/>
      <c r="P83"/>
      <c r="Q83"/>
      <c r="R83"/>
      <c r="S83"/>
      <c r="T83"/>
      <c r="U83"/>
      <c r="V83"/>
      <c r="W83"/>
      <c r="BF83" s="3"/>
      <c r="BG83" s="3"/>
      <c r="BH83" s="3"/>
      <c r="BI83" s="3"/>
    </row>
    <row r="84" spans="2:61">
      <c r="B84" s="306" t="s">
        <v>425</v>
      </c>
      <c r="C84" s="307"/>
      <c r="D84" s="310">
        <v>50000</v>
      </c>
      <c r="E84" s="310"/>
      <c r="F84" s="309" t="s">
        <v>1316</v>
      </c>
      <c r="G84"/>
      <c r="H84"/>
      <c r="I84"/>
      <c r="J84"/>
      <c r="K84"/>
      <c r="L84"/>
      <c r="M84"/>
      <c r="N84"/>
      <c r="O84"/>
      <c r="P84"/>
      <c r="Q84"/>
      <c r="R84"/>
      <c r="S84"/>
      <c r="T84"/>
      <c r="U84"/>
      <c r="V84"/>
      <c r="W84"/>
    </row>
    <row r="85" spans="2:61">
      <c r="B85" s="306"/>
      <c r="C85" s="307"/>
      <c r="D85" s="310"/>
      <c r="E85" s="310"/>
      <c r="F85" s="309"/>
      <c r="G85"/>
      <c r="H85"/>
      <c r="I85"/>
      <c r="J85"/>
      <c r="K85"/>
      <c r="L85"/>
      <c r="M85"/>
      <c r="N85"/>
      <c r="O85"/>
      <c r="P85"/>
      <c r="Q85"/>
      <c r="R85"/>
      <c r="S85"/>
      <c r="T85"/>
      <c r="U85"/>
      <c r="V85"/>
      <c r="W85"/>
    </row>
    <row r="86" spans="2:61">
      <c r="B86" s="306"/>
      <c r="C86" s="307"/>
      <c r="D86" s="310"/>
      <c r="E86" s="310"/>
      <c r="F86" s="309"/>
      <c r="G86"/>
      <c r="H86"/>
      <c r="I86"/>
      <c r="J86"/>
      <c r="K86"/>
      <c r="L86"/>
      <c r="M86"/>
      <c r="N86"/>
      <c r="O86"/>
      <c r="P86"/>
      <c r="Q86"/>
      <c r="R86"/>
      <c r="S86"/>
      <c r="T86"/>
      <c r="U86"/>
      <c r="V86"/>
      <c r="W86"/>
    </row>
    <row r="87" spans="2:61">
      <c r="B87" s="306"/>
      <c r="C87" s="307"/>
      <c r="D87" s="310"/>
      <c r="E87" s="310"/>
      <c r="F87" s="309"/>
      <c r="G87"/>
      <c r="H87"/>
      <c r="I87"/>
      <c r="J87"/>
      <c r="K87"/>
      <c r="L87"/>
      <c r="M87"/>
      <c r="N87"/>
      <c r="O87"/>
      <c r="P87"/>
      <c r="Q87"/>
      <c r="R87"/>
      <c r="S87"/>
      <c r="T87"/>
      <c r="U87"/>
      <c r="V87"/>
      <c r="W87"/>
    </row>
    <row r="88" spans="2:61">
      <c r="B88" s="306"/>
      <c r="C88" s="307"/>
      <c r="D88" s="310"/>
      <c r="E88" s="310"/>
      <c r="F88" s="309"/>
      <c r="G88"/>
      <c r="H88"/>
      <c r="I88"/>
      <c r="J88"/>
      <c r="K88"/>
      <c r="L88"/>
      <c r="M88"/>
      <c r="N88"/>
      <c r="O88"/>
      <c r="P88"/>
      <c r="Q88"/>
      <c r="R88"/>
      <c r="S88"/>
      <c r="T88"/>
      <c r="U88"/>
      <c r="V88"/>
      <c r="W88"/>
    </row>
    <row r="89" spans="2:61">
      <c r="B89" s="80" t="s">
        <v>14</v>
      </c>
      <c r="C89" s="82" t="s">
        <v>1322</v>
      </c>
      <c r="D89" s="80"/>
      <c r="E89" s="101"/>
      <c r="F89" s="92"/>
      <c r="G89"/>
      <c r="H89"/>
      <c r="I89"/>
      <c r="J89"/>
      <c r="K89"/>
      <c r="L89"/>
      <c r="M89"/>
      <c r="N89"/>
      <c r="O89"/>
      <c r="P89"/>
      <c r="Q89"/>
      <c r="R89"/>
      <c r="S89"/>
      <c r="T89"/>
      <c r="U89"/>
      <c r="V89"/>
      <c r="W89"/>
      <c r="X89" s="222"/>
    </row>
    <row r="90" spans="2:61">
      <c r="B90" s="89" t="str">
        <f>IF(Main_Parameters!$C$47="Continuous","WR32","REMnd")</f>
        <v>WR32</v>
      </c>
      <c r="C90" s="5" t="s">
        <v>1303</v>
      </c>
      <c r="D90" s="285" t="str">
        <f>IF(Main_Parameters!$C$41="TX0/1 Enable","4050","2050")</f>
        <v>4050</v>
      </c>
      <c r="E90" s="100" t="str">
        <f>Main_Parameters!$C$322</f>
        <v>00000020</v>
      </c>
      <c r="F90" s="36"/>
      <c r="G90"/>
      <c r="H90"/>
      <c r="I90" s="2"/>
      <c r="Y90" s="410"/>
      <c r="Z90" s="410"/>
      <c r="AA90" s="410"/>
      <c r="AB90" s="410"/>
      <c r="AC90" s="410"/>
      <c r="AD90" s="410"/>
      <c r="AE90" s="410"/>
      <c r="AF90" s="410"/>
      <c r="AG90" s="410"/>
      <c r="AH90" s="410"/>
      <c r="AI90" s="410"/>
      <c r="AJ90" s="410"/>
      <c r="AK90" s="410"/>
      <c r="AL90" s="410"/>
      <c r="AM90" s="410"/>
      <c r="AN90" s="410"/>
      <c r="AO90" s="410"/>
      <c r="AP90" s="410"/>
      <c r="AQ90" s="410"/>
      <c r="AR90" s="410"/>
      <c r="AS90" s="410"/>
      <c r="AT90" s="410"/>
      <c r="AU90" s="410"/>
      <c r="AV90" s="410"/>
      <c r="AW90" s="411"/>
      <c r="AX90" s="410"/>
      <c r="AY90" s="410"/>
      <c r="AZ90" s="410"/>
      <c r="BA90" s="410"/>
      <c r="BB90" s="410"/>
      <c r="BC90" s="411"/>
      <c r="BD90" s="411"/>
    </row>
    <row r="91" spans="2:61">
      <c r="B91" s="89" t="str">
        <f>IF(Main_Parameters!$C$47="Continuous","delay","REMnd")</f>
        <v>delay</v>
      </c>
      <c r="C91" s="5"/>
      <c r="D91" s="285">
        <v>100000</v>
      </c>
      <c r="E91" s="100"/>
      <c r="F91" s="36" t="s">
        <v>1317</v>
      </c>
      <c r="G91"/>
      <c r="H91"/>
      <c r="I91" s="2"/>
      <c r="Y91" s="410"/>
      <c r="Z91" s="410"/>
      <c r="AA91" s="410"/>
      <c r="AB91" s="410"/>
      <c r="AC91" s="410"/>
      <c r="AD91" s="410"/>
      <c r="AE91" s="410"/>
      <c r="AF91" s="410"/>
      <c r="AG91" s="410"/>
      <c r="AH91" s="410"/>
      <c r="AI91" s="410"/>
      <c r="AJ91" s="410"/>
      <c r="AK91" s="410"/>
      <c r="AL91" s="410"/>
      <c r="AM91" s="410"/>
      <c r="AN91" s="410"/>
      <c r="AO91" s="410"/>
      <c r="AP91" s="410"/>
      <c r="AQ91" s="410"/>
      <c r="AR91" s="410"/>
      <c r="AS91" s="410"/>
      <c r="AT91" s="410"/>
      <c r="AU91" s="410"/>
      <c r="AV91" s="410"/>
      <c r="AW91" s="411"/>
      <c r="AX91" s="410"/>
      <c r="AY91" s="410"/>
      <c r="AZ91" s="410"/>
      <c r="BA91" s="410"/>
      <c r="BB91" s="410"/>
      <c r="BC91" s="411"/>
      <c r="BD91" s="411"/>
    </row>
    <row r="92" spans="2:61" s="129" customFormat="1" ht="15">
      <c r="B92" s="280" t="s">
        <v>14</v>
      </c>
      <c r="C92" s="281" t="s">
        <v>450</v>
      </c>
      <c r="D92" s="282"/>
      <c r="E92" s="278"/>
      <c r="F92" s="279"/>
      <c r="G92"/>
      <c r="H92"/>
      <c r="I92"/>
      <c r="J92"/>
      <c r="K92"/>
      <c r="L92"/>
      <c r="M92"/>
      <c r="N92"/>
      <c r="O92"/>
      <c r="P92"/>
      <c r="Q92"/>
      <c r="R92"/>
      <c r="S92"/>
      <c r="T92"/>
      <c r="U92"/>
      <c r="V92"/>
      <c r="W92"/>
      <c r="BF92" s="3"/>
      <c r="BG92" s="3"/>
      <c r="BH92" s="3"/>
      <c r="BI92" s="3"/>
    </row>
    <row r="93" spans="2:61" s="129" customFormat="1" outlineLevel="1">
      <c r="B93" s="167" t="s">
        <v>1338</v>
      </c>
      <c r="C93" s="168" t="s">
        <v>1339</v>
      </c>
      <c r="D93" s="169"/>
      <c r="E93" s="170"/>
      <c r="F93" s="171"/>
      <c r="G93"/>
      <c r="H93"/>
      <c r="I93"/>
      <c r="J93"/>
      <c r="K93"/>
      <c r="L93"/>
      <c r="M93"/>
      <c r="N93"/>
      <c r="O93"/>
      <c r="P93"/>
      <c r="Q93"/>
      <c r="R93"/>
      <c r="S93"/>
      <c r="T93"/>
      <c r="U93"/>
      <c r="V93"/>
      <c r="W93"/>
      <c r="BF93" s="3"/>
      <c r="BG93" s="3"/>
      <c r="BH93" s="3"/>
      <c r="BI93" s="3"/>
    </row>
    <row r="94" spans="2:61" s="129" customFormat="1" outlineLevel="1">
      <c r="B94" s="167"/>
      <c r="C94" s="168"/>
      <c r="D94" s="169"/>
      <c r="E94" s="170"/>
      <c r="F94" s="171"/>
      <c r="G94"/>
      <c r="H94"/>
      <c r="I94"/>
      <c r="J94"/>
      <c r="K94"/>
      <c r="L94"/>
      <c r="M94"/>
      <c r="N94"/>
      <c r="O94"/>
      <c r="P94"/>
      <c r="Q94"/>
      <c r="R94"/>
      <c r="S94"/>
      <c r="T94"/>
      <c r="U94"/>
      <c r="V94"/>
      <c r="W94"/>
      <c r="BF94" s="3"/>
      <c r="BG94" s="3"/>
      <c r="BH94" s="3"/>
      <c r="BI94" s="3"/>
    </row>
    <row r="95" spans="2:61" s="129" customFormat="1" outlineLevel="1">
      <c r="B95" s="167"/>
      <c r="C95" s="168"/>
      <c r="D95" s="311"/>
      <c r="E95" s="170"/>
      <c r="F95" s="171"/>
      <c r="G95"/>
      <c r="H95"/>
      <c r="I95"/>
      <c r="J95"/>
      <c r="K95"/>
      <c r="L95"/>
      <c r="M95"/>
      <c r="N95"/>
      <c r="O95"/>
      <c r="P95"/>
      <c r="Q95"/>
      <c r="R95"/>
      <c r="S95"/>
      <c r="T95"/>
      <c r="U95"/>
      <c r="V95"/>
      <c r="W95"/>
      <c r="BF95" s="3"/>
      <c r="BG95" s="3"/>
      <c r="BH95" s="3"/>
      <c r="BI95" s="3"/>
    </row>
    <row r="96" spans="2:61" s="129" customFormat="1" outlineLevel="1">
      <c r="B96" s="167"/>
      <c r="C96" s="168"/>
      <c r="D96" s="170"/>
      <c r="E96" s="170"/>
      <c r="F96" s="171"/>
      <c r="G96"/>
      <c r="H96"/>
      <c r="I96"/>
      <c r="J96"/>
      <c r="K96"/>
      <c r="L96"/>
      <c r="M96"/>
      <c r="N96"/>
      <c r="O96"/>
      <c r="P96"/>
      <c r="Q96"/>
      <c r="R96"/>
      <c r="S96"/>
      <c r="T96"/>
      <c r="U96"/>
      <c r="V96"/>
      <c r="W96"/>
      <c r="BF96" s="3"/>
      <c r="BG96" s="3"/>
      <c r="BH96" s="3"/>
      <c r="BI96" s="3"/>
    </row>
    <row r="97" spans="2:61" s="129" customFormat="1" outlineLevel="1">
      <c r="B97" s="167"/>
      <c r="C97" s="168"/>
      <c r="D97" s="311"/>
      <c r="E97" s="286"/>
      <c r="F97" s="171"/>
      <c r="G97"/>
      <c r="H97"/>
      <c r="I97"/>
      <c r="J97"/>
      <c r="K97"/>
      <c r="L97"/>
      <c r="M97"/>
      <c r="N97"/>
      <c r="O97"/>
      <c r="P97"/>
      <c r="Q97"/>
      <c r="R97"/>
      <c r="S97"/>
      <c r="T97"/>
      <c r="U97"/>
      <c r="V97"/>
      <c r="W97"/>
      <c r="BF97" s="3"/>
      <c r="BG97" s="3"/>
      <c r="BH97" s="3"/>
      <c r="BI97" s="3"/>
    </row>
    <row r="98" spans="2:61" s="129" customFormat="1" outlineLevel="1">
      <c r="B98" s="268"/>
      <c r="C98" s="269"/>
      <c r="D98" s="270"/>
      <c r="E98" s="271"/>
      <c r="F98" s="269"/>
      <c r="G98"/>
      <c r="H98"/>
      <c r="I98"/>
      <c r="J98"/>
      <c r="K98"/>
      <c r="L98"/>
      <c r="M98"/>
      <c r="N98"/>
      <c r="O98"/>
      <c r="P98"/>
      <c r="Q98"/>
      <c r="R98"/>
      <c r="S98"/>
      <c r="T98"/>
      <c r="U98"/>
      <c r="V98"/>
      <c r="W98"/>
      <c r="BF98" s="3"/>
      <c r="BG98" s="3"/>
      <c r="BH98" s="3"/>
      <c r="BI98" s="3"/>
    </row>
    <row r="99" spans="2:61" s="129" customFormat="1" outlineLevel="1">
      <c r="B99" s="167"/>
      <c r="C99" s="168"/>
      <c r="D99" s="169"/>
      <c r="E99" s="170"/>
      <c r="F99" s="171"/>
      <c r="G99"/>
      <c r="H99"/>
      <c r="I99"/>
      <c r="J99"/>
      <c r="K99"/>
      <c r="L99"/>
      <c r="M99"/>
      <c r="N99"/>
      <c r="O99"/>
      <c r="P99"/>
      <c r="Q99"/>
      <c r="R99"/>
      <c r="S99"/>
      <c r="T99"/>
      <c r="U99"/>
      <c r="V99"/>
      <c r="W99"/>
      <c r="BF99" s="3"/>
      <c r="BG99" s="3"/>
      <c r="BH99" s="3"/>
      <c r="BI99" s="3"/>
    </row>
    <row r="100" spans="2:61" s="129" customFormat="1" outlineLevel="1">
      <c r="B100" s="167"/>
      <c r="C100" s="168"/>
      <c r="D100" s="311"/>
      <c r="E100" s="170"/>
      <c r="F100" s="171"/>
      <c r="G100"/>
      <c r="H100"/>
      <c r="I100"/>
      <c r="J100"/>
      <c r="K100"/>
      <c r="L100"/>
      <c r="M100"/>
      <c r="N100"/>
      <c r="O100"/>
      <c r="P100"/>
      <c r="Q100"/>
      <c r="R100"/>
      <c r="S100"/>
      <c r="T100"/>
      <c r="U100"/>
      <c r="V100"/>
      <c r="W100"/>
      <c r="BF100" s="3"/>
      <c r="BG100" s="3"/>
      <c r="BH100" s="3"/>
      <c r="BI100" s="3"/>
    </row>
    <row r="101" spans="2:61" s="129" customFormat="1" outlineLevel="1">
      <c r="B101" s="167"/>
      <c r="C101" s="168"/>
      <c r="D101" s="170"/>
      <c r="E101" s="170"/>
      <c r="F101" s="171"/>
      <c r="G101"/>
      <c r="H101"/>
      <c r="I101"/>
      <c r="J101"/>
      <c r="K101"/>
      <c r="L101"/>
      <c r="M101"/>
      <c r="N101"/>
      <c r="O101"/>
      <c r="P101"/>
      <c r="Q101"/>
      <c r="R101"/>
      <c r="S101"/>
      <c r="T101"/>
      <c r="U101"/>
      <c r="V101"/>
      <c r="W101"/>
      <c r="BF101" s="3"/>
      <c r="BG101" s="3"/>
      <c r="BH101" s="3"/>
      <c r="BI101" s="3"/>
    </row>
    <row r="102" spans="2:61" s="129" customFormat="1" outlineLevel="1">
      <c r="B102" s="167"/>
      <c r="C102" s="168"/>
      <c r="D102" s="311"/>
      <c r="E102" s="286"/>
      <c r="F102" s="171"/>
      <c r="G102"/>
      <c r="H102"/>
      <c r="I102"/>
      <c r="J102"/>
      <c r="K102"/>
      <c r="L102"/>
      <c r="M102"/>
      <c r="N102"/>
      <c r="O102"/>
      <c r="P102"/>
      <c r="Q102"/>
      <c r="R102"/>
      <c r="S102"/>
      <c r="T102"/>
      <c r="U102"/>
      <c r="V102"/>
      <c r="W102"/>
      <c r="BF102" s="3"/>
      <c r="BG102" s="3"/>
      <c r="BH102" s="3"/>
      <c r="BI102" s="3"/>
    </row>
    <row r="103" spans="2:61" s="129" customFormat="1" outlineLevel="1">
      <c r="B103" s="268"/>
      <c r="C103" s="269"/>
      <c r="D103" s="270"/>
      <c r="E103" s="271"/>
      <c r="F103" s="269"/>
      <c r="G103"/>
      <c r="H103"/>
      <c r="I103"/>
      <c r="J103"/>
      <c r="K103"/>
      <c r="L103"/>
      <c r="M103"/>
      <c r="N103"/>
      <c r="O103"/>
      <c r="P103"/>
      <c r="Q103"/>
      <c r="R103"/>
      <c r="S103"/>
      <c r="T103"/>
      <c r="U103"/>
      <c r="V103"/>
      <c r="W103"/>
      <c r="BF103" s="3"/>
      <c r="BG103" s="3"/>
      <c r="BH103" s="3"/>
      <c r="BI103" s="3"/>
    </row>
    <row r="104" spans="2:61" s="129" customFormat="1" outlineLevel="1">
      <c r="B104" s="167"/>
      <c r="C104" s="168"/>
      <c r="D104" s="169"/>
      <c r="E104" s="170"/>
      <c r="F104" s="171"/>
      <c r="G104"/>
      <c r="H104"/>
      <c r="I104"/>
      <c r="J104"/>
      <c r="K104"/>
      <c r="L104"/>
      <c r="M104"/>
      <c r="N104"/>
      <c r="O104"/>
      <c r="P104"/>
      <c r="Q104"/>
      <c r="R104"/>
      <c r="S104"/>
      <c r="T104"/>
      <c r="U104"/>
      <c r="V104"/>
      <c r="W104"/>
      <c r="BF104" s="3"/>
      <c r="BG104" s="3"/>
      <c r="BH104" s="3"/>
      <c r="BI104" s="3"/>
    </row>
    <row r="105" spans="2:61" s="129" customFormat="1" outlineLevel="1">
      <c r="B105" s="167"/>
      <c r="C105" s="168"/>
      <c r="D105" s="311"/>
      <c r="E105" s="170"/>
      <c r="F105" s="171"/>
      <c r="G105"/>
      <c r="H105"/>
      <c r="I105"/>
      <c r="J105"/>
      <c r="K105"/>
      <c r="L105"/>
      <c r="M105"/>
      <c r="N105"/>
      <c r="O105"/>
      <c r="P105"/>
      <c r="Q105"/>
      <c r="R105"/>
      <c r="S105"/>
      <c r="T105"/>
      <c r="U105"/>
      <c r="V105"/>
      <c r="W105"/>
      <c r="BF105" s="3"/>
      <c r="BG105" s="3"/>
      <c r="BH105" s="3"/>
      <c r="BI105" s="3"/>
    </row>
    <row r="106" spans="2:61" s="129" customFormat="1" outlineLevel="1">
      <c r="B106" s="167"/>
      <c r="C106" s="168"/>
      <c r="D106" s="311"/>
      <c r="E106" s="170"/>
      <c r="F106" s="171"/>
      <c r="G106"/>
      <c r="H106"/>
      <c r="I106"/>
      <c r="J106"/>
      <c r="K106"/>
      <c r="L106"/>
      <c r="M106"/>
      <c r="N106"/>
      <c r="O106"/>
      <c r="P106"/>
      <c r="Q106"/>
      <c r="R106"/>
      <c r="S106"/>
      <c r="T106"/>
      <c r="U106"/>
      <c r="V106"/>
      <c r="W106"/>
      <c r="BF106" s="3"/>
      <c r="BG106" s="3"/>
      <c r="BH106" s="3"/>
      <c r="BI106" s="3"/>
    </row>
    <row r="107" spans="2:61" s="129" customFormat="1" outlineLevel="1">
      <c r="B107" s="167"/>
      <c r="C107" s="168"/>
      <c r="D107" s="311"/>
      <c r="E107" s="170"/>
      <c r="F107" s="171"/>
      <c r="G107"/>
      <c r="H107"/>
      <c r="I107"/>
      <c r="J107"/>
      <c r="K107"/>
      <c r="L107"/>
      <c r="M107"/>
      <c r="N107"/>
      <c r="O107"/>
      <c r="P107"/>
      <c r="Q107"/>
      <c r="R107"/>
      <c r="S107"/>
      <c r="T107"/>
      <c r="U107"/>
      <c r="V107"/>
      <c r="W107"/>
      <c r="BF107" s="3"/>
      <c r="BG107" s="3"/>
      <c r="BH107" s="3"/>
      <c r="BI107" s="3"/>
    </row>
    <row r="108" spans="2:61" s="129" customFormat="1" outlineLevel="1">
      <c r="B108" s="167"/>
      <c r="C108" s="168"/>
      <c r="D108" s="170"/>
      <c r="E108" s="170"/>
      <c r="F108" s="171"/>
      <c r="G108"/>
      <c r="H108"/>
      <c r="I108"/>
      <c r="J108"/>
      <c r="K108"/>
      <c r="L108"/>
      <c r="M108"/>
      <c r="N108"/>
      <c r="O108"/>
      <c r="P108"/>
      <c r="Q108"/>
      <c r="R108"/>
      <c r="S108"/>
      <c r="T108"/>
      <c r="U108"/>
      <c r="V108"/>
      <c r="W108"/>
      <c r="BF108" s="3"/>
      <c r="BG108" s="3"/>
      <c r="BH108" s="3"/>
      <c r="BI108" s="3"/>
    </row>
    <row r="109" spans="2:61" s="129" customFormat="1" outlineLevel="1">
      <c r="B109" s="167"/>
      <c r="C109" s="168"/>
      <c r="D109" s="311"/>
      <c r="E109" s="286"/>
      <c r="F109" s="171"/>
      <c r="G109"/>
      <c r="H109"/>
      <c r="I109"/>
      <c r="J109"/>
      <c r="K109"/>
      <c r="L109"/>
      <c r="M109"/>
      <c r="N109"/>
      <c r="O109"/>
      <c r="P109"/>
      <c r="Q109"/>
      <c r="R109"/>
      <c r="S109"/>
      <c r="T109"/>
      <c r="U109"/>
      <c r="V109"/>
      <c r="W109"/>
      <c r="BF109" s="3"/>
      <c r="BG109" s="3"/>
      <c r="BH109" s="3"/>
      <c r="BI109" s="3"/>
    </row>
    <row r="110" spans="2:61" s="129" customFormat="1" outlineLevel="1">
      <c r="B110" s="268"/>
      <c r="C110" s="269"/>
      <c r="D110" s="270"/>
      <c r="E110" s="271"/>
      <c r="F110" s="269"/>
      <c r="G110"/>
      <c r="H110"/>
      <c r="I110"/>
      <c r="J110"/>
      <c r="K110"/>
      <c r="L110"/>
      <c r="M110"/>
      <c r="N110"/>
      <c r="O110"/>
      <c r="P110"/>
      <c r="Q110"/>
      <c r="R110"/>
      <c r="S110"/>
      <c r="T110"/>
      <c r="U110"/>
      <c r="V110"/>
      <c r="W110"/>
      <c r="BF110" s="3"/>
      <c r="BG110" s="3"/>
      <c r="BH110" s="3"/>
      <c r="BI110" s="3"/>
    </row>
    <row r="111" spans="2:61" s="129" customFormat="1" outlineLevel="1">
      <c r="B111" s="167"/>
      <c r="C111" s="168"/>
      <c r="D111" s="169"/>
      <c r="E111" s="170"/>
      <c r="F111" s="171"/>
      <c r="G111"/>
      <c r="H111"/>
      <c r="I111"/>
      <c r="J111"/>
      <c r="K111"/>
      <c r="L111"/>
      <c r="M111"/>
      <c r="N111"/>
      <c r="O111"/>
      <c r="P111"/>
      <c r="Q111"/>
      <c r="R111"/>
      <c r="S111"/>
      <c r="T111"/>
      <c r="U111"/>
      <c r="V111"/>
      <c r="W111"/>
      <c r="BF111" s="3"/>
      <c r="BG111" s="3"/>
      <c r="BH111" s="3"/>
      <c r="BI111" s="3"/>
    </row>
    <row r="112" spans="2:61" s="129" customFormat="1" outlineLevel="1">
      <c r="B112" s="167"/>
      <c r="C112" s="168"/>
      <c r="D112" s="311"/>
      <c r="E112" s="170"/>
      <c r="F112" s="171"/>
      <c r="G112"/>
      <c r="H112"/>
      <c r="I112"/>
      <c r="J112"/>
      <c r="K112"/>
      <c r="L112"/>
      <c r="M112"/>
      <c r="N112"/>
      <c r="O112"/>
      <c r="P112"/>
      <c r="Q112"/>
      <c r="R112"/>
      <c r="S112"/>
      <c r="T112"/>
      <c r="U112"/>
      <c r="V112"/>
      <c r="W112"/>
      <c r="BF112" s="3"/>
      <c r="BG112" s="3"/>
      <c r="BH112" s="3"/>
      <c r="BI112" s="3"/>
    </row>
    <row r="113" spans="2:61" s="129" customFormat="1" outlineLevel="1">
      <c r="B113" s="167"/>
      <c r="C113" s="168"/>
      <c r="D113" s="311"/>
      <c r="E113" s="170"/>
      <c r="F113" s="171"/>
      <c r="G113"/>
      <c r="H113"/>
      <c r="I113"/>
      <c r="J113"/>
      <c r="K113"/>
      <c r="L113" s="3"/>
      <c r="M113" s="3"/>
      <c r="N113" s="3"/>
      <c r="O113" s="3"/>
      <c r="P113" s="3"/>
      <c r="Q113" s="3"/>
      <c r="R113" s="3"/>
      <c r="S113"/>
      <c r="T113"/>
      <c r="U113"/>
      <c r="V113"/>
      <c r="W113" s="266"/>
      <c r="BF113" s="3"/>
      <c r="BG113" s="3"/>
      <c r="BH113" s="3"/>
      <c r="BI113" s="3"/>
    </row>
    <row r="114" spans="2:61" s="129" customFormat="1" outlineLevel="1">
      <c r="B114" s="167"/>
      <c r="C114" s="168"/>
      <c r="D114" s="311"/>
      <c r="E114" s="170"/>
      <c r="F114" s="171"/>
      <c r="G114"/>
      <c r="H114"/>
      <c r="I114"/>
      <c r="J114"/>
      <c r="K114"/>
      <c r="L114"/>
      <c r="M114"/>
      <c r="N114"/>
      <c r="O114"/>
      <c r="P114"/>
      <c r="Q114"/>
      <c r="R114" s="3"/>
      <c r="S114"/>
      <c r="T114"/>
      <c r="U114"/>
      <c r="V114"/>
      <c r="W114"/>
      <c r="BF114" s="3"/>
      <c r="BG114" s="3"/>
      <c r="BH114" s="3"/>
      <c r="BI114" s="3"/>
    </row>
    <row r="115" spans="2:61" s="129" customFormat="1" outlineLevel="1">
      <c r="B115" s="167"/>
      <c r="C115" s="168"/>
      <c r="D115" s="170"/>
      <c r="E115" s="170"/>
      <c r="F115" s="171"/>
      <c r="G115"/>
      <c r="H115"/>
      <c r="I115"/>
      <c r="J115"/>
      <c r="K115"/>
      <c r="L115"/>
      <c r="M115"/>
      <c r="N115"/>
      <c r="O115"/>
      <c r="P115"/>
      <c r="Q115"/>
      <c r="R115"/>
      <c r="S115"/>
      <c r="T115"/>
      <c r="U115"/>
      <c r="V115"/>
      <c r="W115"/>
      <c r="BF115" s="3"/>
      <c r="BG115" s="3"/>
      <c r="BH115" s="3"/>
      <c r="BI115" s="3"/>
    </row>
    <row r="116" spans="2:61" s="129" customFormat="1" outlineLevel="1">
      <c r="B116" s="167"/>
      <c r="C116" s="168"/>
      <c r="D116" s="311"/>
      <c r="E116" s="286"/>
      <c r="F116" s="171"/>
      <c r="G116"/>
      <c r="H116"/>
      <c r="I116"/>
      <c r="J116"/>
      <c r="K116"/>
      <c r="L116"/>
      <c r="M116"/>
      <c r="N116"/>
      <c r="O116"/>
      <c r="P116"/>
      <c r="Q116"/>
      <c r="R116"/>
      <c r="S116"/>
      <c r="T116"/>
      <c r="U116"/>
      <c r="V116"/>
      <c r="W116"/>
      <c r="BF116" s="3"/>
      <c r="BG116" s="3"/>
      <c r="BH116" s="3"/>
      <c r="BI116" s="3"/>
    </row>
    <row r="117" spans="2:61" s="129" customFormat="1" outlineLevel="1">
      <c r="B117" s="268"/>
      <c r="C117" s="269"/>
      <c r="D117" s="270"/>
      <c r="E117" s="271"/>
      <c r="F117" s="269"/>
      <c r="G117"/>
      <c r="H117"/>
      <c r="I117"/>
      <c r="J117"/>
      <c r="K117"/>
      <c r="L117"/>
      <c r="M117"/>
      <c r="N117"/>
      <c r="O117"/>
      <c r="P117"/>
      <c r="Q117"/>
      <c r="R117"/>
      <c r="S117"/>
      <c r="T117"/>
      <c r="U117"/>
      <c r="V117"/>
      <c r="W117"/>
      <c r="BF117" s="3"/>
      <c r="BG117" s="3"/>
      <c r="BH117" s="3"/>
      <c r="BI117" s="3"/>
    </row>
    <row r="118" spans="2:61" s="129" customFormat="1" outlineLevel="1">
      <c r="B118" s="167"/>
      <c r="C118" s="168"/>
      <c r="D118" s="169"/>
      <c r="E118" s="170"/>
      <c r="F118" s="171"/>
      <c r="G118"/>
      <c r="H118"/>
      <c r="I118"/>
      <c r="J118"/>
      <c r="K118"/>
      <c r="L118"/>
      <c r="M118"/>
      <c r="N118"/>
      <c r="O118"/>
      <c r="P118"/>
      <c r="Q118"/>
      <c r="R118"/>
      <c r="S118"/>
      <c r="T118"/>
      <c r="U118"/>
      <c r="V118"/>
      <c r="W118"/>
      <c r="BF118" s="3"/>
      <c r="BG118" s="3"/>
      <c r="BH118" s="3"/>
      <c r="BI118" s="3"/>
    </row>
    <row r="119" spans="2:61" s="129" customFormat="1" outlineLevel="1">
      <c r="B119" s="167"/>
      <c r="C119" s="168"/>
      <c r="D119" s="311"/>
      <c r="E119" s="170"/>
      <c r="F119" s="171"/>
      <c r="G119"/>
      <c r="H119"/>
      <c r="I119"/>
      <c r="J119"/>
      <c r="K119"/>
      <c r="L119"/>
      <c r="M119"/>
      <c r="N119"/>
      <c r="O119"/>
      <c r="P119"/>
      <c r="Q119"/>
      <c r="R119"/>
      <c r="S119"/>
      <c r="T119"/>
      <c r="U119"/>
      <c r="V119"/>
      <c r="W119"/>
      <c r="BF119" s="3"/>
      <c r="BG119" s="3"/>
      <c r="BH119" s="3"/>
      <c r="BI119" s="3"/>
    </row>
    <row r="120" spans="2:61" s="129" customFormat="1" outlineLevel="1">
      <c r="B120" s="167"/>
      <c r="C120" s="168"/>
      <c r="D120" s="170"/>
      <c r="E120" s="170"/>
      <c r="F120" s="171"/>
      <c r="G120"/>
      <c r="H120"/>
      <c r="I120"/>
      <c r="J120"/>
      <c r="K120"/>
      <c r="L120"/>
      <c r="M120"/>
      <c r="N120"/>
      <c r="O120"/>
      <c r="P120"/>
      <c r="Q120"/>
      <c r="R120"/>
      <c r="S120"/>
      <c r="T120"/>
      <c r="U120"/>
      <c r="V120"/>
      <c r="W120"/>
      <c r="BF120" s="3"/>
      <c r="BG120" s="3"/>
      <c r="BH120" s="3"/>
      <c r="BI120" s="3"/>
    </row>
    <row r="121" spans="2:61" s="129" customFormat="1" outlineLevel="1">
      <c r="B121" s="167"/>
      <c r="C121" s="168"/>
      <c r="D121" s="311"/>
      <c r="E121" s="286"/>
      <c r="F121" s="171"/>
      <c r="G121"/>
      <c r="H121"/>
      <c r="I121"/>
      <c r="J121"/>
      <c r="K121"/>
      <c r="L121"/>
      <c r="M121"/>
      <c r="N121"/>
      <c r="O121"/>
      <c r="P121"/>
      <c r="Q121"/>
      <c r="R121"/>
      <c r="S121"/>
      <c r="T121"/>
      <c r="U121"/>
      <c r="V121"/>
      <c r="W121"/>
      <c r="BF121" s="3"/>
      <c r="BG121" s="3"/>
      <c r="BH121" s="3"/>
      <c r="BI121" s="3"/>
    </row>
    <row r="122" spans="2:61" s="129" customFormat="1" outlineLevel="1">
      <c r="B122" s="268"/>
      <c r="C122" s="269"/>
      <c r="D122" s="270"/>
      <c r="E122" s="271"/>
      <c r="F122" s="269"/>
      <c r="G122"/>
      <c r="H122"/>
      <c r="I122"/>
      <c r="J122"/>
      <c r="K122"/>
      <c r="L122"/>
      <c r="M122"/>
      <c r="N122"/>
      <c r="O122"/>
      <c r="P122"/>
      <c r="Q122"/>
      <c r="R122"/>
      <c r="S122"/>
      <c r="T122"/>
      <c r="U122"/>
      <c r="V122"/>
      <c r="W122"/>
      <c r="BF122" s="3"/>
      <c r="BG122" s="3"/>
      <c r="BH122" s="3"/>
      <c r="BI122" s="3"/>
    </row>
    <row r="123" spans="2:61" s="129" customFormat="1" outlineLevel="1">
      <c r="B123" s="167"/>
      <c r="C123" s="168"/>
      <c r="D123" s="169"/>
      <c r="E123" s="170"/>
      <c r="F123" s="171"/>
      <c r="G123"/>
      <c r="H123"/>
      <c r="I123"/>
      <c r="J123"/>
      <c r="K123"/>
      <c r="L123"/>
      <c r="M123"/>
      <c r="N123"/>
      <c r="O123"/>
      <c r="P123"/>
      <c r="Q123"/>
      <c r="R123"/>
      <c r="S123"/>
      <c r="T123"/>
      <c r="U123"/>
      <c r="V123"/>
      <c r="W123"/>
      <c r="BF123" s="3"/>
      <c r="BG123" s="3"/>
      <c r="BH123" s="3"/>
      <c r="BI123" s="3"/>
    </row>
    <row r="124" spans="2:61" s="129" customFormat="1" outlineLevel="1">
      <c r="B124" s="167"/>
      <c r="C124" s="168"/>
      <c r="D124" s="311"/>
      <c r="E124" s="170"/>
      <c r="F124" s="171"/>
      <c r="G124"/>
      <c r="H124"/>
      <c r="I124"/>
      <c r="J124"/>
      <c r="K124"/>
      <c r="L124"/>
      <c r="M124"/>
      <c r="N124"/>
      <c r="O124"/>
      <c r="P124"/>
      <c r="Q124"/>
      <c r="R124"/>
      <c r="S124"/>
      <c r="T124"/>
      <c r="U124"/>
      <c r="V124"/>
      <c r="W124"/>
      <c r="BF124" s="3"/>
      <c r="BG124" s="3"/>
      <c r="BH124" s="3"/>
      <c r="BI124" s="3"/>
    </row>
    <row r="125" spans="2:61" s="129" customFormat="1" outlineLevel="1">
      <c r="B125" s="167"/>
      <c r="C125" s="168"/>
      <c r="D125" s="311"/>
      <c r="E125" s="170"/>
      <c r="F125" s="171"/>
      <c r="G125"/>
      <c r="H125"/>
      <c r="I125"/>
      <c r="J125"/>
      <c r="K125"/>
      <c r="L125"/>
      <c r="M125"/>
      <c r="N125"/>
      <c r="O125"/>
      <c r="P125"/>
      <c r="Q125"/>
      <c r="R125"/>
      <c r="S125"/>
      <c r="T125"/>
      <c r="U125"/>
      <c r="V125"/>
      <c r="W125"/>
      <c r="BF125" s="3"/>
      <c r="BG125" s="3"/>
      <c r="BH125" s="3"/>
      <c r="BI125" s="3"/>
    </row>
    <row r="126" spans="2:61" s="129" customFormat="1" outlineLevel="1">
      <c r="B126" s="167"/>
      <c r="C126" s="168"/>
      <c r="D126" s="170"/>
      <c r="E126" s="170"/>
      <c r="F126" s="171"/>
      <c r="G126"/>
      <c r="H126"/>
      <c r="I126"/>
      <c r="J126"/>
      <c r="K126"/>
      <c r="L126"/>
      <c r="M126"/>
      <c r="N126"/>
      <c r="O126"/>
      <c r="P126"/>
      <c r="Q126"/>
      <c r="R126"/>
      <c r="S126"/>
      <c r="T126"/>
      <c r="U126"/>
      <c r="V126"/>
      <c r="W126"/>
      <c r="BF126" s="3"/>
      <c r="BG126" s="3"/>
      <c r="BH126" s="3"/>
      <c r="BI126" s="3"/>
    </row>
    <row r="127" spans="2:61" s="129" customFormat="1" outlineLevel="1">
      <c r="B127" s="167"/>
      <c r="C127" s="168"/>
      <c r="D127" s="311"/>
      <c r="E127" s="286"/>
      <c r="F127" s="171"/>
      <c r="G127"/>
      <c r="H127"/>
      <c r="I127"/>
      <c r="J127"/>
      <c r="K127"/>
      <c r="L127"/>
      <c r="M127"/>
      <c r="N127"/>
      <c r="O127"/>
      <c r="P127"/>
      <c r="Q127"/>
      <c r="R127"/>
      <c r="S127"/>
      <c r="T127"/>
      <c r="U127"/>
      <c r="V127"/>
      <c r="W127"/>
      <c r="BF127" s="3"/>
      <c r="BG127" s="3"/>
      <c r="BH127" s="3"/>
      <c r="BI127" s="3"/>
    </row>
    <row r="128" spans="2:61" s="129" customFormat="1" outlineLevel="1">
      <c r="B128" s="268"/>
      <c r="C128" s="269"/>
      <c r="D128" s="270"/>
      <c r="E128" s="271"/>
      <c r="F128" s="269"/>
      <c r="G128"/>
      <c r="H128"/>
      <c r="I128"/>
      <c r="J128"/>
      <c r="K128"/>
      <c r="L128"/>
      <c r="M128"/>
      <c r="N128"/>
      <c r="O128"/>
      <c r="P128"/>
      <c r="Q128"/>
      <c r="R128"/>
      <c r="S128"/>
      <c r="T128"/>
      <c r="U128"/>
      <c r="V128"/>
      <c r="W128"/>
      <c r="BF128" s="3"/>
      <c r="BG128" s="3"/>
      <c r="BH128" s="3"/>
      <c r="BI128" s="3"/>
    </row>
    <row r="129" spans="2:61" s="129" customFormat="1" outlineLevel="1">
      <c r="B129" s="167"/>
      <c r="C129" s="168"/>
      <c r="D129" s="169"/>
      <c r="E129" s="170"/>
      <c r="F129" s="171"/>
      <c r="G129"/>
      <c r="H129"/>
      <c r="I129"/>
      <c r="J129"/>
      <c r="K129"/>
      <c r="L129"/>
      <c r="M129"/>
      <c r="N129"/>
      <c r="O129"/>
      <c r="P129"/>
      <c r="Q129"/>
      <c r="R129"/>
      <c r="S129"/>
      <c r="T129"/>
      <c r="U129"/>
      <c r="V129"/>
      <c r="W129"/>
      <c r="BF129" s="3"/>
      <c r="BG129" s="3"/>
      <c r="BH129" s="3"/>
      <c r="BI129" s="3"/>
    </row>
    <row r="130" spans="2:61" s="129" customFormat="1" outlineLevel="1">
      <c r="B130" s="167"/>
      <c r="C130" s="168"/>
      <c r="D130" s="311"/>
      <c r="E130" s="170"/>
      <c r="F130" s="171"/>
      <c r="G130"/>
      <c r="H130"/>
      <c r="I130"/>
      <c r="J130"/>
      <c r="K130"/>
      <c r="L130"/>
      <c r="M130"/>
      <c r="N130"/>
      <c r="O130"/>
      <c r="P130"/>
      <c r="Q130"/>
      <c r="R130"/>
      <c r="S130"/>
      <c r="T130"/>
      <c r="U130"/>
      <c r="V130"/>
      <c r="W130"/>
      <c r="BF130" s="3"/>
      <c r="BG130" s="3"/>
      <c r="BH130" s="3"/>
      <c r="BI130" s="3"/>
    </row>
    <row r="131" spans="2:61" s="129" customFormat="1" outlineLevel="1">
      <c r="B131" s="167"/>
      <c r="C131" s="168"/>
      <c r="D131" s="170"/>
      <c r="E131" s="170"/>
      <c r="F131" s="171"/>
      <c r="G131"/>
      <c r="H131"/>
      <c r="I131"/>
      <c r="J131"/>
      <c r="K131"/>
      <c r="L131"/>
      <c r="M131"/>
      <c r="N131"/>
      <c r="O131"/>
      <c r="P131"/>
      <c r="Q131"/>
      <c r="R131"/>
      <c r="S131"/>
      <c r="T131"/>
      <c r="U131"/>
      <c r="V131"/>
      <c r="W131"/>
      <c r="BF131" s="3"/>
      <c r="BG131" s="3"/>
      <c r="BH131" s="3"/>
      <c r="BI131" s="3"/>
    </row>
    <row r="132" spans="2:61" s="129" customFormat="1" outlineLevel="1">
      <c r="B132" s="167"/>
      <c r="C132" s="168"/>
      <c r="D132" s="311"/>
      <c r="E132" s="286"/>
      <c r="F132" s="171"/>
      <c r="G132"/>
      <c r="H132"/>
      <c r="I132"/>
      <c r="J132"/>
      <c r="K132"/>
      <c r="L132"/>
      <c r="M132"/>
      <c r="N132"/>
      <c r="O132"/>
      <c r="P132"/>
      <c r="Q132"/>
      <c r="R132"/>
      <c r="S132"/>
      <c r="T132"/>
      <c r="U132"/>
      <c r="V132"/>
      <c r="W132"/>
      <c r="BF132" s="3"/>
      <c r="BG132" s="3"/>
      <c r="BH132" s="3"/>
      <c r="BI132" s="3"/>
    </row>
    <row r="133" spans="2:61" s="129" customFormat="1" outlineLevel="1">
      <c r="B133" s="268"/>
      <c r="C133" s="269"/>
      <c r="D133" s="270"/>
      <c r="E133" s="271"/>
      <c r="F133" s="269"/>
      <c r="G133"/>
      <c r="H133"/>
      <c r="I133"/>
      <c r="J133"/>
      <c r="K133"/>
      <c r="L133"/>
      <c r="M133"/>
      <c r="N133"/>
      <c r="O133"/>
      <c r="P133"/>
      <c r="Q133"/>
      <c r="R133"/>
      <c r="S133"/>
      <c r="T133"/>
      <c r="U133"/>
      <c r="V133"/>
      <c r="W133"/>
      <c r="BF133" s="3"/>
      <c r="BG133" s="3"/>
      <c r="BH133" s="3"/>
      <c r="BI133" s="3"/>
    </row>
    <row r="134" spans="2:61" s="129" customFormat="1" outlineLevel="1">
      <c r="B134" s="167"/>
      <c r="C134" s="168"/>
      <c r="D134" s="169"/>
      <c r="E134" s="170"/>
      <c r="F134" s="171"/>
      <c r="G134"/>
      <c r="H134"/>
      <c r="I134"/>
      <c r="J134"/>
      <c r="K134"/>
      <c r="L134"/>
      <c r="M134"/>
      <c r="N134"/>
      <c r="O134"/>
      <c r="P134"/>
      <c r="Q134"/>
      <c r="R134"/>
      <c r="S134"/>
      <c r="T134"/>
      <c r="U134"/>
      <c r="V134"/>
      <c r="W134"/>
      <c r="BF134" s="3"/>
      <c r="BG134" s="3"/>
      <c r="BH134" s="3"/>
      <c r="BI134" s="3"/>
    </row>
    <row r="135" spans="2:61" s="129" customFormat="1" outlineLevel="1">
      <c r="B135" s="167"/>
      <c r="C135" s="168"/>
      <c r="D135" s="311"/>
      <c r="E135" s="170"/>
      <c r="F135" s="171"/>
      <c r="G135"/>
      <c r="H135"/>
      <c r="I135"/>
      <c r="J135"/>
      <c r="K135"/>
      <c r="L135"/>
      <c r="M135"/>
      <c r="N135"/>
      <c r="O135"/>
      <c r="P135"/>
      <c r="Q135"/>
      <c r="R135"/>
      <c r="S135"/>
      <c r="T135"/>
      <c r="U135"/>
      <c r="V135"/>
      <c r="W135"/>
      <c r="BF135" s="3"/>
      <c r="BG135" s="3"/>
      <c r="BH135" s="3"/>
      <c r="BI135" s="3"/>
    </row>
    <row r="136" spans="2:61" s="129" customFormat="1" outlineLevel="1">
      <c r="B136" s="167"/>
      <c r="C136" s="168"/>
      <c r="D136" s="170"/>
      <c r="E136" s="170"/>
      <c r="F136" s="171"/>
      <c r="G136"/>
      <c r="H136"/>
      <c r="I136"/>
      <c r="J136"/>
      <c r="K136"/>
      <c r="L136"/>
      <c r="M136"/>
      <c r="N136"/>
      <c r="O136"/>
      <c r="P136"/>
      <c r="Q136"/>
      <c r="R136"/>
      <c r="S136"/>
      <c r="T136"/>
      <c r="U136"/>
      <c r="V136"/>
      <c r="W136"/>
      <c r="BF136" s="3"/>
      <c r="BG136" s="3"/>
      <c r="BH136" s="3"/>
      <c r="BI136" s="3"/>
    </row>
    <row r="137" spans="2:61" s="129" customFormat="1" outlineLevel="1">
      <c r="B137" s="167"/>
      <c r="C137" s="168"/>
      <c r="D137" s="311"/>
      <c r="E137" s="286"/>
      <c r="F137" s="171"/>
      <c r="G137"/>
      <c r="H137"/>
      <c r="I137"/>
      <c r="J137"/>
      <c r="K137"/>
      <c r="L137"/>
      <c r="M137"/>
      <c r="N137"/>
      <c r="O137"/>
      <c r="P137"/>
      <c r="Q137"/>
      <c r="R137"/>
      <c r="S137"/>
      <c r="T137"/>
      <c r="U137"/>
      <c r="V137"/>
      <c r="W137"/>
      <c r="BF137" s="3"/>
      <c r="BG137" s="3"/>
      <c r="BH137" s="3"/>
      <c r="BI137" s="3"/>
    </row>
    <row r="138" spans="2:61" s="129" customFormat="1" outlineLevel="1">
      <c r="B138" s="268"/>
      <c r="C138" s="269"/>
      <c r="D138" s="270"/>
      <c r="E138" s="271"/>
      <c r="F138" s="269"/>
      <c r="G138"/>
      <c r="H138"/>
      <c r="I138"/>
      <c r="J138"/>
      <c r="K138"/>
      <c r="L138"/>
      <c r="M138"/>
      <c r="N138"/>
      <c r="O138"/>
      <c r="P138"/>
      <c r="Q138"/>
      <c r="R138"/>
      <c r="S138"/>
      <c r="T138"/>
      <c r="U138"/>
      <c r="V138"/>
      <c r="W138"/>
      <c r="BF138" s="3"/>
      <c r="BG138" s="3"/>
      <c r="BH138" s="3"/>
      <c r="BI138" s="3"/>
    </row>
    <row r="139" spans="2:61" s="129" customFormat="1" outlineLevel="1">
      <c r="B139" s="167"/>
      <c r="C139" s="168"/>
      <c r="D139" s="169"/>
      <c r="E139" s="170"/>
      <c r="F139" s="171"/>
      <c r="G139"/>
      <c r="H139"/>
      <c r="I139"/>
      <c r="J139"/>
      <c r="K139"/>
      <c r="L139"/>
      <c r="M139"/>
      <c r="N139"/>
      <c r="O139"/>
      <c r="P139"/>
      <c r="Q139"/>
      <c r="R139"/>
      <c r="S139"/>
      <c r="T139"/>
      <c r="U139"/>
      <c r="V139"/>
      <c r="W139"/>
      <c r="BF139" s="3"/>
      <c r="BG139" s="3"/>
      <c r="BH139" s="3"/>
      <c r="BI139" s="3"/>
    </row>
    <row r="140" spans="2:61" s="129" customFormat="1" outlineLevel="1">
      <c r="B140" s="167"/>
      <c r="C140" s="168"/>
      <c r="D140" s="311"/>
      <c r="E140" s="170"/>
      <c r="F140" s="171"/>
      <c r="G140"/>
      <c r="H140"/>
      <c r="I140"/>
      <c r="J140"/>
      <c r="K140"/>
      <c r="L140"/>
      <c r="M140"/>
      <c r="N140"/>
      <c r="O140"/>
      <c r="P140"/>
      <c r="Q140"/>
      <c r="R140"/>
      <c r="S140"/>
      <c r="T140"/>
      <c r="U140"/>
      <c r="V140"/>
      <c r="W140"/>
      <c r="BF140" s="3"/>
      <c r="BG140" s="3"/>
      <c r="BH140" s="3"/>
      <c r="BI140" s="3"/>
    </row>
    <row r="141" spans="2:61" s="129" customFormat="1" outlineLevel="1">
      <c r="B141" s="167"/>
      <c r="C141" s="168"/>
      <c r="D141" s="170"/>
      <c r="E141" s="170"/>
      <c r="F141" s="171"/>
      <c r="G141"/>
      <c r="H141"/>
      <c r="I141"/>
      <c r="J141"/>
      <c r="K141"/>
      <c r="L141"/>
      <c r="M141"/>
      <c r="N141"/>
      <c r="O141"/>
      <c r="P141"/>
      <c r="Q141"/>
      <c r="R141"/>
      <c r="S141"/>
      <c r="T141"/>
      <c r="U141"/>
      <c r="V141"/>
      <c r="W141"/>
      <c r="BF141" s="3"/>
      <c r="BG141" s="3"/>
      <c r="BH141" s="3"/>
      <c r="BI141" s="3"/>
    </row>
    <row r="142" spans="2:61" s="129" customFormat="1" outlineLevel="1">
      <c r="B142" s="167"/>
      <c r="C142" s="168"/>
      <c r="D142" s="311"/>
      <c r="E142" s="286"/>
      <c r="F142" s="171"/>
      <c r="G142"/>
      <c r="H142"/>
      <c r="I142"/>
      <c r="J142"/>
      <c r="K142"/>
      <c r="L142"/>
      <c r="M142"/>
      <c r="N142"/>
      <c r="O142"/>
      <c r="P142"/>
      <c r="Q142"/>
      <c r="R142"/>
      <c r="S142"/>
      <c r="T142"/>
      <c r="U142"/>
      <c r="V142"/>
      <c r="W142"/>
      <c r="BF142" s="3"/>
      <c r="BG142" s="3"/>
      <c r="BH142" s="3"/>
      <c r="BI142" s="3"/>
    </row>
    <row r="143" spans="2:61" s="129" customFormat="1" outlineLevel="1">
      <c r="B143" s="268"/>
      <c r="C143" s="269"/>
      <c r="D143" s="270"/>
      <c r="E143" s="271"/>
      <c r="F143" s="269"/>
      <c r="G143"/>
      <c r="H143"/>
      <c r="I143"/>
      <c r="J143"/>
      <c r="K143"/>
      <c r="L143"/>
      <c r="M143"/>
      <c r="N143"/>
      <c r="O143"/>
      <c r="P143"/>
      <c r="Q143"/>
      <c r="R143"/>
      <c r="S143"/>
      <c r="T143"/>
      <c r="U143"/>
      <c r="V143"/>
      <c r="W143"/>
      <c r="BF143" s="3"/>
      <c r="BG143" s="3"/>
      <c r="BH143" s="3"/>
      <c r="BI143" s="3"/>
    </row>
    <row r="144" spans="2:61" s="129" customFormat="1" outlineLevel="1">
      <c r="B144" s="167"/>
      <c r="C144" s="168"/>
      <c r="D144" s="170"/>
      <c r="E144" s="170"/>
      <c r="F144" s="171"/>
      <c r="G144"/>
      <c r="H144"/>
      <c r="I144"/>
      <c r="J144"/>
      <c r="K144"/>
      <c r="L144"/>
      <c r="M144"/>
      <c r="N144"/>
      <c r="O144"/>
      <c r="P144"/>
      <c r="Q144"/>
      <c r="R144"/>
      <c r="S144"/>
      <c r="T144"/>
      <c r="U144"/>
      <c r="V144"/>
      <c r="W144"/>
      <c r="BF144" s="3"/>
      <c r="BG144" s="3"/>
      <c r="BH144" s="3"/>
      <c r="BI144" s="3"/>
    </row>
    <row r="145" spans="2:61" s="129" customFormat="1" outlineLevel="1">
      <c r="B145" s="167"/>
      <c r="C145" s="168"/>
      <c r="D145" s="311"/>
      <c r="E145" s="170"/>
      <c r="F145" s="171"/>
      <c r="G145"/>
      <c r="H145"/>
      <c r="I145"/>
      <c r="J145"/>
      <c r="K145"/>
      <c r="L145"/>
      <c r="M145"/>
      <c r="N145"/>
      <c r="O145"/>
      <c r="P145"/>
      <c r="Q145"/>
      <c r="R145"/>
      <c r="S145"/>
      <c r="T145"/>
      <c r="U145"/>
      <c r="V145"/>
      <c r="W145"/>
      <c r="BF145" s="3"/>
      <c r="BG145" s="3"/>
      <c r="BH145" s="3"/>
      <c r="BI145" s="3"/>
    </row>
    <row r="146" spans="2:61" s="129" customFormat="1" outlineLevel="1">
      <c r="B146" s="167"/>
      <c r="C146" s="168"/>
      <c r="D146" s="170"/>
      <c r="E146" s="170"/>
      <c r="F146" s="171"/>
      <c r="G146"/>
      <c r="H146"/>
      <c r="I146"/>
      <c r="J146"/>
      <c r="K146"/>
      <c r="L146"/>
      <c r="M146"/>
      <c r="N146"/>
      <c r="O146"/>
      <c r="P146"/>
      <c r="Q146"/>
      <c r="R146"/>
      <c r="S146"/>
      <c r="T146"/>
      <c r="U146"/>
      <c r="V146"/>
      <c r="W146"/>
      <c r="BF146" s="3"/>
      <c r="BG146" s="3"/>
      <c r="BH146" s="3"/>
      <c r="BI146" s="3"/>
    </row>
    <row r="147" spans="2:61" s="129" customFormat="1" outlineLevel="1">
      <c r="B147" s="167"/>
      <c r="C147" s="168"/>
      <c r="D147" s="311"/>
      <c r="E147" s="286"/>
      <c r="F147" s="171"/>
      <c r="G147"/>
      <c r="H147"/>
      <c r="I147"/>
      <c r="J147"/>
      <c r="K147"/>
      <c r="L147"/>
      <c r="M147"/>
      <c r="N147"/>
      <c r="O147"/>
      <c r="P147"/>
      <c r="Q147"/>
      <c r="R147"/>
      <c r="S147"/>
      <c r="T147"/>
      <c r="U147"/>
      <c r="V147"/>
      <c r="W147"/>
      <c r="BF147" s="3"/>
      <c r="BG147" s="3"/>
      <c r="BH147" s="3"/>
      <c r="BI147" s="3"/>
    </row>
    <row r="148" spans="2:61" s="129" customFormat="1" outlineLevel="1">
      <c r="B148" s="268"/>
      <c r="C148" s="269"/>
      <c r="D148" s="270"/>
      <c r="E148" s="271"/>
      <c r="F148" s="269"/>
      <c r="G148"/>
      <c r="H148"/>
      <c r="I148"/>
      <c r="J148"/>
      <c r="K148"/>
      <c r="L148"/>
      <c r="M148"/>
      <c r="N148"/>
      <c r="O148"/>
      <c r="P148"/>
      <c r="Q148"/>
      <c r="R148"/>
      <c r="S148"/>
      <c r="T148"/>
      <c r="U148"/>
      <c r="V148"/>
      <c r="W148"/>
      <c r="BF148" s="3"/>
      <c r="BG148" s="3"/>
      <c r="BH148" s="3"/>
      <c r="BI148" s="3"/>
    </row>
    <row r="149" spans="2:61" s="129" customFormat="1" outlineLevel="1">
      <c r="B149" s="390"/>
      <c r="C149" s="391"/>
      <c r="D149" s="413"/>
      <c r="E149" s="271"/>
      <c r="F149" s="269"/>
      <c r="G149"/>
      <c r="H149"/>
      <c r="I149"/>
      <c r="J149"/>
      <c r="K149"/>
      <c r="L149"/>
      <c r="M149"/>
      <c r="N149"/>
      <c r="O149"/>
      <c r="P149"/>
      <c r="Q149"/>
      <c r="R149"/>
      <c r="S149"/>
      <c r="T149"/>
      <c r="U149"/>
      <c r="V149"/>
      <c r="W149"/>
      <c r="BF149" s="3"/>
      <c r="BG149" s="3"/>
      <c r="BH149" s="3"/>
      <c r="BI149" s="3"/>
    </row>
    <row r="150" spans="2:61" s="129" customFormat="1" outlineLevel="1">
      <c r="B150" s="167"/>
      <c r="C150" s="168"/>
      <c r="D150" s="170"/>
      <c r="E150" s="170"/>
      <c r="F150" s="171"/>
      <c r="G150"/>
      <c r="H150"/>
      <c r="I150"/>
      <c r="J150"/>
      <c r="K150"/>
      <c r="L150"/>
      <c r="M150"/>
      <c r="N150"/>
      <c r="O150"/>
      <c r="P150"/>
      <c r="Q150"/>
      <c r="R150"/>
      <c r="S150"/>
      <c r="T150"/>
      <c r="U150"/>
      <c r="V150"/>
      <c r="W150"/>
      <c r="BF150" s="3"/>
      <c r="BG150" s="3"/>
      <c r="BH150" s="3"/>
      <c r="BI150" s="3"/>
    </row>
    <row r="151" spans="2:61" s="129" customFormat="1" outlineLevel="1">
      <c r="B151" s="167"/>
      <c r="C151" s="168"/>
      <c r="D151" s="311"/>
      <c r="E151" s="170"/>
      <c r="F151" s="171"/>
      <c r="G151"/>
      <c r="H151"/>
      <c r="I151"/>
      <c r="J151"/>
      <c r="K151"/>
      <c r="L151"/>
      <c r="M151"/>
      <c r="N151"/>
      <c r="O151"/>
      <c r="P151"/>
      <c r="Q151"/>
      <c r="R151"/>
      <c r="S151"/>
      <c r="T151"/>
      <c r="U151"/>
      <c r="V151"/>
      <c r="W151"/>
      <c r="BF151" s="3"/>
      <c r="BG151" s="3"/>
      <c r="BH151" s="3"/>
      <c r="BI151" s="3"/>
    </row>
    <row r="152" spans="2:61" s="129" customFormat="1" outlineLevel="1">
      <c r="B152" s="167"/>
      <c r="C152" s="168"/>
      <c r="D152" s="170"/>
      <c r="E152" s="170"/>
      <c r="F152" s="171"/>
      <c r="G152"/>
      <c r="H152"/>
      <c r="I152"/>
      <c r="J152"/>
      <c r="K152"/>
      <c r="L152"/>
      <c r="M152"/>
      <c r="N152"/>
      <c r="O152"/>
      <c r="P152"/>
      <c r="Q152"/>
      <c r="R152"/>
      <c r="S152"/>
      <c r="T152"/>
      <c r="U152"/>
      <c r="V152"/>
      <c r="W152"/>
      <c r="BF152" s="3"/>
      <c r="BG152" s="3"/>
      <c r="BH152" s="3"/>
      <c r="BI152" s="3"/>
    </row>
    <row r="153" spans="2:61" s="129" customFormat="1" outlineLevel="1">
      <c r="B153" s="167"/>
      <c r="C153" s="168"/>
      <c r="D153" s="311"/>
      <c r="E153" s="286"/>
      <c r="F153" s="171"/>
      <c r="G153"/>
      <c r="H153"/>
      <c r="I153"/>
      <c r="J153"/>
      <c r="K153"/>
      <c r="L153"/>
      <c r="M153"/>
      <c r="N153"/>
      <c r="O153"/>
      <c r="P153"/>
      <c r="Q153"/>
      <c r="R153"/>
      <c r="S153"/>
      <c r="T153"/>
      <c r="U153"/>
      <c r="V153"/>
      <c r="W153"/>
      <c r="BF153" s="3"/>
      <c r="BG153" s="3"/>
      <c r="BH153" s="3"/>
      <c r="BI153" s="3"/>
    </row>
    <row r="154" spans="2:61" s="129" customFormat="1" outlineLevel="1">
      <c r="B154" s="268"/>
      <c r="C154" s="269"/>
      <c r="D154" s="270"/>
      <c r="E154" s="271"/>
      <c r="F154" s="269"/>
      <c r="G154"/>
      <c r="H154"/>
      <c r="I154"/>
      <c r="J154"/>
      <c r="K154"/>
      <c r="L154"/>
      <c r="M154"/>
      <c r="N154"/>
      <c r="O154"/>
      <c r="P154"/>
      <c r="Q154"/>
      <c r="R154"/>
      <c r="S154"/>
      <c r="T154"/>
      <c r="U154"/>
      <c r="V154"/>
      <c r="W154"/>
      <c r="BF154" s="3"/>
      <c r="BG154" s="3"/>
      <c r="BH154" s="3"/>
      <c r="BI154" s="3"/>
    </row>
    <row r="155" spans="2:61" s="129" customFormat="1" outlineLevel="1">
      <c r="B155" s="167"/>
      <c r="C155" s="168"/>
      <c r="D155" s="169"/>
      <c r="E155" s="170"/>
      <c r="F155" s="171"/>
      <c r="G155"/>
      <c r="H155"/>
      <c r="I155"/>
      <c r="J155"/>
      <c r="K155"/>
      <c r="L155"/>
      <c r="M155"/>
      <c r="N155"/>
      <c r="O155"/>
      <c r="P155"/>
      <c r="Q155"/>
      <c r="R155"/>
      <c r="S155"/>
      <c r="T155"/>
      <c r="U155"/>
      <c r="V155"/>
      <c r="W155"/>
      <c r="BF155" s="3"/>
      <c r="BG155" s="3"/>
      <c r="BH155" s="3"/>
      <c r="BI155" s="3"/>
    </row>
    <row r="156" spans="2:61" s="129" customFormat="1" outlineLevel="1">
      <c r="B156" s="167"/>
      <c r="C156" s="168"/>
      <c r="D156" s="311"/>
      <c r="E156" s="170"/>
      <c r="F156" s="171"/>
      <c r="G156"/>
      <c r="H156"/>
      <c r="I156"/>
      <c r="J156"/>
      <c r="K156"/>
      <c r="L156"/>
      <c r="M156"/>
      <c r="N156"/>
      <c r="O156"/>
      <c r="P156"/>
      <c r="Q156"/>
      <c r="R156"/>
      <c r="S156"/>
      <c r="T156"/>
      <c r="U156"/>
      <c r="V156"/>
      <c r="W156"/>
      <c r="BF156" s="3"/>
      <c r="BG156" s="3"/>
      <c r="BH156" s="3"/>
      <c r="BI156" s="3"/>
    </row>
    <row r="157" spans="2:61" s="129" customFormat="1" outlineLevel="1">
      <c r="B157" s="167"/>
      <c r="C157" s="168"/>
      <c r="D157" s="311"/>
      <c r="E157" s="170"/>
      <c r="F157" s="171"/>
      <c r="G157"/>
      <c r="H157"/>
      <c r="I157"/>
      <c r="J157"/>
      <c r="K157"/>
      <c r="L157"/>
      <c r="M157"/>
      <c r="N157"/>
      <c r="O157"/>
      <c r="P157"/>
      <c r="Q157"/>
      <c r="R157"/>
      <c r="S157"/>
      <c r="T157"/>
      <c r="U157"/>
      <c r="V157"/>
      <c r="W157"/>
      <c r="BF157" s="3"/>
      <c r="BG157" s="3"/>
      <c r="BH157" s="3"/>
      <c r="BI157" s="3"/>
    </row>
    <row r="158" spans="2:61" s="129" customFormat="1" outlineLevel="1">
      <c r="B158" s="167"/>
      <c r="C158" s="168"/>
      <c r="D158" s="311"/>
      <c r="E158" s="170"/>
      <c r="F158" s="171"/>
      <c r="G158"/>
      <c r="H158"/>
      <c r="I158"/>
      <c r="J158"/>
      <c r="K158"/>
      <c r="L158"/>
      <c r="M158"/>
      <c r="N158"/>
      <c r="O158"/>
      <c r="P158"/>
      <c r="Q158"/>
      <c r="R158"/>
      <c r="S158"/>
      <c r="T158"/>
      <c r="U158"/>
      <c r="V158"/>
      <c r="W158"/>
      <c r="BF158" s="3"/>
      <c r="BG158" s="3"/>
      <c r="BH158" s="3"/>
      <c r="BI158" s="3"/>
    </row>
    <row r="159" spans="2:61" s="129" customFormat="1" outlineLevel="1">
      <c r="B159" s="167"/>
      <c r="C159" s="168"/>
      <c r="D159" s="311"/>
      <c r="E159" s="170"/>
      <c r="F159" s="171"/>
      <c r="G159"/>
      <c r="H159"/>
      <c r="I159"/>
      <c r="J159"/>
      <c r="K159"/>
      <c r="L159"/>
      <c r="M159"/>
      <c r="N159"/>
      <c r="O159"/>
      <c r="P159"/>
      <c r="Q159"/>
      <c r="R159"/>
      <c r="S159"/>
      <c r="T159"/>
      <c r="U159"/>
      <c r="V159"/>
      <c r="W159"/>
      <c r="BF159" s="3"/>
      <c r="BG159" s="3"/>
      <c r="BH159" s="3"/>
      <c r="BI159" s="3"/>
    </row>
    <row r="160" spans="2:61" s="129" customFormat="1" outlineLevel="1">
      <c r="B160" s="167"/>
      <c r="C160" s="168"/>
      <c r="D160" s="311"/>
      <c r="E160" s="170"/>
      <c r="F160" s="171"/>
      <c r="G160"/>
      <c r="H160"/>
      <c r="I160"/>
      <c r="J160"/>
      <c r="K160"/>
      <c r="L160"/>
      <c r="M160"/>
      <c r="N160"/>
      <c r="O160"/>
      <c r="P160"/>
      <c r="Q160"/>
      <c r="R160"/>
      <c r="S160"/>
      <c r="T160"/>
      <c r="U160"/>
      <c r="V160"/>
      <c r="W160"/>
      <c r="BF160" s="3"/>
      <c r="BG160" s="3"/>
      <c r="BH160" s="3"/>
      <c r="BI160" s="3"/>
    </row>
    <row r="161" spans="2:61" s="129" customFormat="1" outlineLevel="1">
      <c r="B161" s="167"/>
      <c r="C161" s="168"/>
      <c r="D161" s="311"/>
      <c r="E161" s="170"/>
      <c r="F161" s="171"/>
      <c r="G161"/>
      <c r="H161"/>
      <c r="I161"/>
      <c r="J161"/>
      <c r="K161"/>
      <c r="L161"/>
      <c r="M161"/>
      <c r="N161"/>
      <c r="O161"/>
      <c r="P161"/>
      <c r="Q161"/>
      <c r="R161"/>
      <c r="S161"/>
      <c r="T161"/>
      <c r="U161"/>
      <c r="V161"/>
      <c r="W161"/>
      <c r="BF161" s="3"/>
      <c r="BG161" s="3"/>
      <c r="BH161" s="3"/>
      <c r="BI161" s="3"/>
    </row>
    <row r="162" spans="2:61" s="129" customFormat="1" outlineLevel="1">
      <c r="B162" s="167"/>
      <c r="C162" s="168"/>
      <c r="D162" s="170"/>
      <c r="E162" s="170"/>
      <c r="F162" s="171"/>
      <c r="G162"/>
      <c r="H162"/>
      <c r="I162"/>
      <c r="J162"/>
      <c r="K162"/>
      <c r="L162"/>
      <c r="M162"/>
      <c r="N162"/>
      <c r="O162"/>
      <c r="P162"/>
      <c r="Q162"/>
      <c r="R162"/>
      <c r="S162"/>
      <c r="T162"/>
      <c r="U162"/>
      <c r="V162"/>
      <c r="W162"/>
      <c r="BF162" s="3"/>
      <c r="BG162" s="3"/>
      <c r="BH162" s="3"/>
      <c r="BI162" s="3"/>
    </row>
    <row r="163" spans="2:61" s="129" customFormat="1" outlineLevel="1">
      <c r="B163" s="167"/>
      <c r="C163" s="168"/>
      <c r="D163" s="311"/>
      <c r="E163" s="286"/>
      <c r="F163" s="171"/>
      <c r="G163"/>
      <c r="H163"/>
      <c r="I163"/>
      <c r="J163"/>
      <c r="K163"/>
      <c r="L163"/>
      <c r="M163"/>
      <c r="N163"/>
      <c r="O163"/>
      <c r="P163"/>
      <c r="Q163"/>
      <c r="R163"/>
      <c r="S163"/>
      <c r="T163"/>
      <c r="U163"/>
      <c r="V163"/>
      <c r="W163"/>
      <c r="BF163" s="3"/>
      <c r="BG163" s="3"/>
      <c r="BH163" s="3"/>
      <c r="BI163" s="3"/>
    </row>
    <row r="164" spans="2:61" s="129" customFormat="1" outlineLevel="1">
      <c r="B164" s="268"/>
      <c r="C164" s="269"/>
      <c r="D164" s="270"/>
      <c r="E164" s="271"/>
      <c r="F164" s="269"/>
      <c r="G164"/>
      <c r="H164"/>
      <c r="I164"/>
      <c r="J164"/>
      <c r="K164"/>
      <c r="L164"/>
      <c r="M164"/>
      <c r="N164"/>
      <c r="O164"/>
      <c r="P164"/>
      <c r="Q164"/>
      <c r="R164"/>
      <c r="S164"/>
      <c r="T164"/>
      <c r="U164"/>
      <c r="V164"/>
      <c r="W164"/>
      <c r="BF164" s="3"/>
      <c r="BG164" s="3"/>
      <c r="BH164" s="3"/>
      <c r="BI164" s="3"/>
    </row>
    <row r="165" spans="2:61" s="129" customFormat="1" outlineLevel="1">
      <c r="B165" s="270"/>
      <c r="C165" s="270"/>
      <c r="D165" s="270"/>
      <c r="E165" s="270"/>
      <c r="F165" s="270"/>
      <c r="G165"/>
      <c r="H165"/>
      <c r="I165"/>
      <c r="J165"/>
      <c r="K165"/>
      <c r="L165"/>
      <c r="M165"/>
      <c r="N165"/>
      <c r="O165"/>
      <c r="P165"/>
      <c r="Q165"/>
      <c r="R165"/>
      <c r="S165"/>
      <c r="T165"/>
      <c r="U165"/>
      <c r="V165"/>
      <c r="W165"/>
      <c r="BF165" s="3"/>
      <c r="BG165" s="3"/>
      <c r="BH165" s="3"/>
      <c r="BI165" s="3"/>
    </row>
    <row r="166" spans="2:61" s="129" customFormat="1" outlineLevel="1">
      <c r="B166" s="167"/>
      <c r="C166" s="168"/>
      <c r="D166" s="169"/>
      <c r="E166" s="170"/>
      <c r="F166" s="171"/>
      <c r="G166"/>
      <c r="H166"/>
      <c r="I166"/>
      <c r="J166"/>
      <c r="K166"/>
      <c r="L166"/>
      <c r="M166"/>
      <c r="N166"/>
      <c r="O166"/>
      <c r="P166"/>
      <c r="Q166"/>
      <c r="R166"/>
      <c r="S166"/>
      <c r="T166"/>
      <c r="U166"/>
      <c r="V166"/>
      <c r="W166"/>
      <c r="BF166" s="3"/>
      <c r="BG166" s="3"/>
      <c r="BH166" s="3"/>
      <c r="BI166" s="3"/>
    </row>
    <row r="167" spans="2:61" s="129" customFormat="1" outlineLevel="1">
      <c r="B167" s="167"/>
      <c r="C167" s="168"/>
      <c r="D167" s="169"/>
      <c r="E167" s="170"/>
      <c r="F167" s="171"/>
      <c r="G167"/>
      <c r="H167"/>
      <c r="I167"/>
      <c r="J167"/>
      <c r="K167"/>
      <c r="L167"/>
      <c r="M167"/>
      <c r="N167"/>
      <c r="O167"/>
      <c r="P167"/>
      <c r="Q167"/>
      <c r="R167"/>
      <c r="S167"/>
      <c r="T167"/>
      <c r="U167"/>
      <c r="V167"/>
      <c r="W167"/>
      <c r="BF167" s="3"/>
      <c r="BG167" s="3"/>
      <c r="BH167" s="3"/>
      <c r="BI167" s="3"/>
    </row>
    <row r="168" spans="2:61" s="129" customFormat="1" outlineLevel="1">
      <c r="B168" s="167"/>
      <c r="C168" s="168"/>
      <c r="D168" s="169"/>
      <c r="E168" s="170"/>
      <c r="F168" s="171"/>
      <c r="G168"/>
      <c r="H168"/>
      <c r="I168"/>
      <c r="J168"/>
      <c r="K168"/>
      <c r="L168"/>
      <c r="M168"/>
      <c r="N168"/>
      <c r="O168"/>
      <c r="P168"/>
      <c r="Q168"/>
      <c r="R168"/>
      <c r="S168"/>
      <c r="T168"/>
      <c r="U168"/>
      <c r="V168"/>
      <c r="W168"/>
      <c r="BF168" s="3"/>
      <c r="BG168" s="3"/>
      <c r="BH168" s="3"/>
      <c r="BI168" s="3"/>
    </row>
    <row r="169" spans="2:61" s="129" customFormat="1" outlineLevel="1">
      <c r="B169" s="167"/>
      <c r="C169" s="168"/>
      <c r="D169" s="169"/>
      <c r="E169" s="170"/>
      <c r="F169" s="171"/>
      <c r="G169"/>
      <c r="H169"/>
      <c r="I169"/>
      <c r="J169"/>
      <c r="K169"/>
      <c r="L169"/>
      <c r="M169"/>
      <c r="N169"/>
      <c r="O169"/>
      <c r="P169"/>
      <c r="Q169"/>
      <c r="R169"/>
      <c r="S169"/>
      <c r="T169"/>
      <c r="U169"/>
      <c r="V169"/>
      <c r="W169"/>
      <c r="BF169" s="3"/>
      <c r="BG169" s="3"/>
      <c r="BH169" s="3"/>
      <c r="BI169" s="3"/>
    </row>
    <row r="170" spans="2:61" s="129" customFormat="1" outlineLevel="1">
      <c r="B170" s="167"/>
      <c r="C170" s="168"/>
      <c r="D170" s="169"/>
      <c r="E170" s="170"/>
      <c r="F170" s="171"/>
      <c r="G170"/>
      <c r="H170"/>
      <c r="I170"/>
      <c r="J170"/>
      <c r="K170"/>
      <c r="L170"/>
      <c r="M170"/>
      <c r="N170"/>
      <c r="O170"/>
      <c r="P170"/>
      <c r="Q170"/>
      <c r="R170"/>
      <c r="S170"/>
      <c r="T170"/>
      <c r="U170"/>
      <c r="V170"/>
      <c r="W170"/>
      <c r="BF170" s="3"/>
      <c r="BG170" s="3"/>
      <c r="BH170" s="3"/>
      <c r="BI170" s="3"/>
    </row>
    <row r="171" spans="2:61" s="129" customFormat="1" outlineLevel="1">
      <c r="B171" s="167"/>
      <c r="C171" s="168"/>
      <c r="D171" s="170"/>
      <c r="E171" s="170"/>
      <c r="F171" s="171"/>
      <c r="G171"/>
      <c r="H171"/>
      <c r="I171"/>
      <c r="J171"/>
      <c r="K171"/>
      <c r="L171"/>
      <c r="M171"/>
      <c r="N171"/>
      <c r="O171"/>
      <c r="P171"/>
      <c r="Q171"/>
      <c r="R171"/>
      <c r="S171"/>
      <c r="T171"/>
      <c r="U171"/>
      <c r="V171"/>
      <c r="W171"/>
      <c r="BF171" s="3"/>
      <c r="BG171" s="3"/>
      <c r="BH171" s="3"/>
      <c r="BI171" s="3"/>
    </row>
    <row r="172" spans="2:61" s="129" customFormat="1" outlineLevel="1">
      <c r="B172" s="167"/>
      <c r="C172" s="168"/>
      <c r="D172" s="169"/>
      <c r="E172" s="170"/>
      <c r="F172" s="171"/>
      <c r="G172"/>
      <c r="H172"/>
      <c r="I172"/>
      <c r="J172"/>
      <c r="K172"/>
      <c r="L172"/>
      <c r="M172"/>
      <c r="N172"/>
      <c r="O172"/>
      <c r="P172"/>
      <c r="Q172"/>
      <c r="R172"/>
      <c r="S172"/>
      <c r="T172"/>
      <c r="U172"/>
      <c r="V172"/>
      <c r="W172"/>
      <c r="BF172" s="3"/>
      <c r="BG172" s="3"/>
      <c r="BH172" s="3"/>
      <c r="BI172" s="3"/>
    </row>
    <row r="173" spans="2:61" s="129" customFormat="1" outlineLevel="1">
      <c r="B173" s="167"/>
      <c r="C173" s="168"/>
      <c r="D173" s="169"/>
      <c r="E173" s="170"/>
      <c r="F173" s="171"/>
      <c r="G173"/>
      <c r="H173"/>
      <c r="I173"/>
      <c r="J173"/>
      <c r="K173"/>
      <c r="L173"/>
      <c r="M173"/>
      <c r="N173"/>
      <c r="O173"/>
      <c r="P173"/>
      <c r="Q173"/>
      <c r="R173"/>
      <c r="S173"/>
      <c r="T173"/>
      <c r="U173"/>
      <c r="V173"/>
      <c r="W173"/>
      <c r="BF173" s="3"/>
      <c r="BG173" s="3"/>
      <c r="BH173" s="3"/>
      <c r="BI173" s="3"/>
    </row>
    <row r="174" spans="2:61" s="129" customFormat="1" outlineLevel="1">
      <c r="B174" s="167"/>
      <c r="C174" s="168"/>
      <c r="D174" s="169"/>
      <c r="E174" s="170"/>
      <c r="F174" s="171"/>
      <c r="G174"/>
      <c r="H174"/>
      <c r="I174"/>
      <c r="J174"/>
      <c r="K174"/>
      <c r="L174"/>
      <c r="M174"/>
      <c r="N174"/>
      <c r="O174"/>
      <c r="P174"/>
      <c r="Q174"/>
      <c r="R174"/>
      <c r="S174"/>
      <c r="T174"/>
      <c r="U174"/>
      <c r="V174"/>
      <c r="W174"/>
      <c r="BF174" s="3"/>
      <c r="BG174" s="3"/>
      <c r="BH174" s="3"/>
      <c r="BI174" s="3"/>
    </row>
    <row r="175" spans="2:61" s="129" customFormat="1" outlineLevel="1">
      <c r="B175" s="167"/>
      <c r="C175" s="168"/>
      <c r="D175" s="169"/>
      <c r="E175" s="170"/>
      <c r="F175" s="171"/>
      <c r="G175"/>
      <c r="H175"/>
      <c r="I175"/>
      <c r="J175"/>
      <c r="K175"/>
      <c r="L175"/>
      <c r="M175"/>
      <c r="N175"/>
      <c r="O175"/>
      <c r="P175"/>
      <c r="Q175"/>
      <c r="R175"/>
      <c r="S175"/>
      <c r="T175"/>
      <c r="U175"/>
      <c r="V175"/>
      <c r="W175"/>
      <c r="BF175" s="3"/>
      <c r="BG175" s="3"/>
      <c r="BH175" s="3"/>
      <c r="BI175" s="3"/>
    </row>
    <row r="176" spans="2:61" s="129" customFormat="1" outlineLevel="1">
      <c r="B176" s="167"/>
      <c r="C176" s="168"/>
      <c r="D176" s="169"/>
      <c r="E176" s="170"/>
      <c r="F176" s="171"/>
      <c r="G176"/>
      <c r="H176"/>
      <c r="I176"/>
      <c r="J176"/>
      <c r="K176"/>
      <c r="L176"/>
      <c r="M176"/>
      <c r="N176"/>
      <c r="O176"/>
      <c r="P176"/>
      <c r="Q176"/>
      <c r="R176"/>
      <c r="S176"/>
      <c r="T176"/>
      <c r="U176"/>
      <c r="V176"/>
      <c r="W176"/>
      <c r="BF176" s="3"/>
      <c r="BG176" s="3"/>
      <c r="BH176" s="3"/>
      <c r="BI176" s="3"/>
    </row>
    <row r="177" spans="2:61" s="129" customFormat="1" outlineLevel="1">
      <c r="B177" s="167"/>
      <c r="C177" s="168"/>
      <c r="D177" s="169"/>
      <c r="E177" s="170"/>
      <c r="F177" s="171"/>
      <c r="G177"/>
      <c r="H177"/>
      <c r="I177"/>
      <c r="J177"/>
      <c r="K177"/>
      <c r="L177"/>
      <c r="M177"/>
      <c r="N177"/>
      <c r="O177"/>
      <c r="P177"/>
      <c r="Q177"/>
      <c r="R177"/>
      <c r="S177"/>
      <c r="T177"/>
      <c r="U177"/>
      <c r="V177"/>
      <c r="W177"/>
      <c r="BF177" s="3"/>
      <c r="BG177" s="3"/>
      <c r="BH177" s="3"/>
      <c r="BI177" s="3"/>
    </row>
    <row r="178" spans="2:61" s="129" customFormat="1" outlineLevel="1">
      <c r="B178" s="167"/>
      <c r="C178" s="168"/>
      <c r="D178" s="169"/>
      <c r="E178" s="170"/>
      <c r="F178" s="171"/>
      <c r="G178"/>
      <c r="H178"/>
      <c r="I178"/>
      <c r="J178"/>
      <c r="K178"/>
      <c r="L178"/>
      <c r="M178"/>
      <c r="N178"/>
      <c r="O178"/>
      <c r="P178"/>
      <c r="Q178"/>
      <c r="R178"/>
      <c r="S178"/>
      <c r="T178"/>
      <c r="U178"/>
      <c r="V178"/>
      <c r="W178"/>
      <c r="BF178" s="3"/>
      <c r="BG178" s="3"/>
      <c r="BH178" s="3"/>
      <c r="BI178" s="3"/>
    </row>
    <row r="179" spans="2:61" s="129" customFormat="1" outlineLevel="1">
      <c r="B179" s="167"/>
      <c r="C179" s="168"/>
      <c r="D179" s="169"/>
      <c r="E179" s="170"/>
      <c r="F179" s="171"/>
      <c r="G179"/>
      <c r="H179"/>
      <c r="I179"/>
      <c r="J179"/>
      <c r="K179"/>
      <c r="L179"/>
      <c r="M179"/>
      <c r="N179"/>
      <c r="O179"/>
      <c r="P179"/>
      <c r="Q179"/>
      <c r="R179"/>
      <c r="S179"/>
      <c r="T179"/>
      <c r="U179"/>
      <c r="V179"/>
      <c r="W179"/>
      <c r="BF179" s="3"/>
      <c r="BG179" s="3"/>
      <c r="BH179" s="3"/>
      <c r="BI179" s="3"/>
    </row>
    <row r="180" spans="2:61" s="129" customFormat="1" outlineLevel="1">
      <c r="B180" s="167"/>
      <c r="C180" s="168"/>
      <c r="D180" s="169"/>
      <c r="E180" s="170"/>
      <c r="F180" s="171"/>
      <c r="G180"/>
      <c r="H180"/>
      <c r="I180"/>
      <c r="J180"/>
      <c r="K180"/>
      <c r="L180"/>
      <c r="M180"/>
      <c r="N180"/>
      <c r="O180"/>
      <c r="P180"/>
      <c r="Q180"/>
      <c r="R180"/>
      <c r="S180"/>
      <c r="T180"/>
      <c r="U180"/>
      <c r="V180"/>
      <c r="W180"/>
      <c r="BF180" s="3"/>
      <c r="BG180" s="3"/>
      <c r="BH180" s="3"/>
      <c r="BI180" s="3"/>
    </row>
    <row r="181" spans="2:61" s="129" customFormat="1" outlineLevel="1">
      <c r="B181" s="167"/>
      <c r="C181" s="168"/>
      <c r="D181" s="169"/>
      <c r="E181" s="170"/>
      <c r="F181" s="171"/>
      <c r="G181"/>
      <c r="H181"/>
      <c r="I181"/>
      <c r="J181"/>
      <c r="K181"/>
      <c r="L181"/>
      <c r="M181"/>
      <c r="N181"/>
      <c r="O181"/>
      <c r="P181"/>
      <c r="Q181"/>
      <c r="R181"/>
      <c r="S181"/>
      <c r="T181"/>
      <c r="U181"/>
      <c r="V181"/>
      <c r="W181"/>
      <c r="BF181" s="3"/>
      <c r="BG181" s="3"/>
      <c r="BH181" s="3"/>
      <c r="BI181" s="3"/>
    </row>
    <row r="182" spans="2:61" s="129" customFormat="1" outlineLevel="1">
      <c r="B182" s="167"/>
      <c r="C182" s="168"/>
      <c r="D182" s="169"/>
      <c r="E182" s="170"/>
      <c r="F182" s="171"/>
      <c r="G182"/>
      <c r="H182"/>
      <c r="I182"/>
      <c r="J182"/>
      <c r="K182"/>
      <c r="L182"/>
      <c r="M182"/>
      <c r="N182"/>
      <c r="O182"/>
      <c r="P182"/>
      <c r="Q182"/>
      <c r="R182"/>
      <c r="S182"/>
      <c r="T182"/>
      <c r="U182"/>
      <c r="V182"/>
      <c r="W182"/>
      <c r="BF182" s="3"/>
      <c r="BG182" s="3"/>
      <c r="BH182" s="3"/>
      <c r="BI182" s="3"/>
    </row>
    <row r="183" spans="2:61" s="129" customFormat="1" outlineLevel="1">
      <c r="B183" s="167"/>
      <c r="C183" s="168"/>
      <c r="D183" s="169"/>
      <c r="E183" s="170"/>
      <c r="F183" s="171"/>
      <c r="G183"/>
      <c r="H183"/>
      <c r="I183"/>
      <c r="J183"/>
      <c r="K183"/>
      <c r="L183"/>
      <c r="M183"/>
      <c r="N183"/>
      <c r="O183"/>
      <c r="P183"/>
      <c r="Q183"/>
      <c r="R183"/>
      <c r="S183"/>
      <c r="T183"/>
      <c r="U183"/>
      <c r="V183"/>
      <c r="W183"/>
      <c r="BF183" s="3"/>
      <c r="BG183" s="3"/>
      <c r="BH183" s="3"/>
      <c r="BI183" s="3"/>
    </row>
    <row r="184" spans="2:61" s="129" customFormat="1" outlineLevel="1">
      <c r="B184" s="167"/>
      <c r="C184" s="168"/>
      <c r="D184" s="169"/>
      <c r="E184" s="170"/>
      <c r="F184" s="171"/>
      <c r="G184"/>
      <c r="H184"/>
      <c r="I184"/>
      <c r="J184"/>
      <c r="K184"/>
      <c r="L184"/>
      <c r="M184"/>
      <c r="N184"/>
      <c r="O184"/>
      <c r="P184"/>
      <c r="Q184"/>
      <c r="R184"/>
      <c r="S184"/>
      <c r="T184"/>
      <c r="U184"/>
      <c r="V184"/>
      <c r="W184"/>
      <c r="BF184" s="3"/>
      <c r="BG184" s="3"/>
      <c r="BH184" s="3"/>
      <c r="BI184" s="3"/>
    </row>
    <row r="185" spans="2:61" s="129" customFormat="1" outlineLevel="1">
      <c r="B185" s="172"/>
      <c r="C185" s="173"/>
      <c r="D185" s="174"/>
      <c r="E185" s="175"/>
      <c r="F185" s="171"/>
      <c r="G185"/>
      <c r="H185"/>
      <c r="I185"/>
      <c r="J185"/>
      <c r="K185"/>
      <c r="L185"/>
      <c r="M185"/>
      <c r="N185"/>
      <c r="O185"/>
      <c r="P185"/>
      <c r="Q185"/>
      <c r="R185"/>
      <c r="S185"/>
      <c r="T185"/>
      <c r="U185"/>
      <c r="V185"/>
      <c r="W185"/>
      <c r="BF185" s="3"/>
      <c r="BG185" s="3"/>
      <c r="BH185" s="3"/>
      <c r="BI185" s="3"/>
    </row>
    <row r="186" spans="2:61" s="129" customFormat="1" outlineLevel="1">
      <c r="B186" s="167"/>
      <c r="C186" s="168"/>
      <c r="D186" s="169"/>
      <c r="E186" s="170"/>
      <c r="F186" s="171"/>
      <c r="G186"/>
      <c r="H186"/>
      <c r="I186"/>
      <c r="J186"/>
      <c r="K186"/>
      <c r="L186"/>
      <c r="M186"/>
      <c r="N186"/>
      <c r="O186"/>
      <c r="P186"/>
      <c r="Q186"/>
      <c r="R186"/>
      <c r="S186"/>
      <c r="T186"/>
      <c r="U186"/>
      <c r="V186"/>
      <c r="W186"/>
      <c r="BF186" s="3"/>
      <c r="BG186" s="3"/>
      <c r="BH186" s="3"/>
      <c r="BI186" s="3"/>
    </row>
    <row r="187" spans="2:61" s="129" customFormat="1" outlineLevel="1">
      <c r="B187" s="172"/>
      <c r="C187" s="173"/>
      <c r="D187" s="174"/>
      <c r="E187" s="175"/>
      <c r="F187" s="171"/>
      <c r="G187"/>
      <c r="H187"/>
      <c r="I187"/>
      <c r="J187"/>
      <c r="K187"/>
      <c r="L187"/>
      <c r="M187"/>
      <c r="N187"/>
      <c r="O187"/>
      <c r="P187"/>
      <c r="Q187"/>
      <c r="R187"/>
      <c r="S187"/>
      <c r="T187"/>
      <c r="U187"/>
      <c r="V187"/>
      <c r="W187"/>
      <c r="BF187" s="3"/>
      <c r="BG187" s="3"/>
      <c r="BH187" s="3"/>
      <c r="BI187" s="3"/>
    </row>
    <row r="188" spans="2:61" s="129" customFormat="1" outlineLevel="1">
      <c r="B188" s="167"/>
      <c r="C188" s="168"/>
      <c r="D188" s="169"/>
      <c r="E188" s="170"/>
      <c r="F188" s="171"/>
      <c r="G188"/>
      <c r="H188"/>
      <c r="I188"/>
      <c r="J188"/>
      <c r="K188"/>
      <c r="L188"/>
      <c r="M188"/>
      <c r="N188"/>
      <c r="O188"/>
      <c r="P188"/>
      <c r="Q188"/>
      <c r="R188"/>
      <c r="S188"/>
      <c r="T188"/>
      <c r="U188"/>
      <c r="V188"/>
      <c r="W188"/>
      <c r="BF188" s="3"/>
      <c r="BG188" s="3"/>
      <c r="BH188" s="3"/>
      <c r="BI188" s="3"/>
    </row>
    <row r="189" spans="2:61" s="129" customFormat="1" outlineLevel="1">
      <c r="B189" s="172"/>
      <c r="C189" s="173"/>
      <c r="D189" s="174"/>
      <c r="E189" s="175"/>
      <c r="F189" s="171"/>
      <c r="G189"/>
      <c r="H189"/>
      <c r="I189"/>
      <c r="J189"/>
      <c r="K189"/>
      <c r="L189"/>
      <c r="M189"/>
      <c r="N189"/>
      <c r="O189"/>
      <c r="P189"/>
      <c r="Q189"/>
      <c r="R189"/>
      <c r="S189"/>
      <c r="T189"/>
      <c r="U189"/>
      <c r="V189"/>
      <c r="W189"/>
      <c r="BF189" s="3"/>
      <c r="BG189" s="3"/>
      <c r="BH189" s="3"/>
      <c r="BI189" s="3"/>
    </row>
    <row r="190" spans="2:61" s="129" customFormat="1" outlineLevel="1">
      <c r="B190" s="167"/>
      <c r="C190" s="168"/>
      <c r="D190" s="169"/>
      <c r="E190" s="170"/>
      <c r="F190" s="171"/>
      <c r="G190"/>
      <c r="H190"/>
      <c r="I190"/>
      <c r="J190"/>
      <c r="K190"/>
      <c r="L190"/>
      <c r="M190"/>
      <c r="N190"/>
      <c r="O190"/>
      <c r="P190"/>
      <c r="Q190"/>
      <c r="R190"/>
      <c r="S190"/>
      <c r="T190"/>
      <c r="U190"/>
      <c r="V190"/>
      <c r="W190"/>
      <c r="BF190" s="3"/>
      <c r="BG190" s="3"/>
      <c r="BH190" s="3"/>
      <c r="BI190" s="3"/>
    </row>
    <row r="191" spans="2:61" s="129" customFormat="1" outlineLevel="1">
      <c r="B191" s="172"/>
      <c r="C191" s="173"/>
      <c r="D191" s="174"/>
      <c r="E191" s="175"/>
      <c r="F191" s="171"/>
      <c r="G191"/>
      <c r="H191"/>
      <c r="I191"/>
      <c r="J191"/>
      <c r="K191"/>
      <c r="L191"/>
      <c r="M191"/>
      <c r="N191"/>
      <c r="O191"/>
      <c r="P191"/>
      <c r="Q191"/>
      <c r="R191"/>
      <c r="S191"/>
      <c r="T191"/>
      <c r="U191"/>
      <c r="V191"/>
      <c r="W191"/>
      <c r="BF191" s="3"/>
      <c r="BG191" s="3"/>
      <c r="BH191" s="3"/>
      <c r="BI191" s="3"/>
    </row>
    <row r="192" spans="2:61" s="129" customFormat="1" outlineLevel="1">
      <c r="B192" s="167"/>
      <c r="C192" s="168"/>
      <c r="D192" s="169"/>
      <c r="E192" s="170"/>
      <c r="F192" s="171"/>
      <c r="G192"/>
      <c r="H192"/>
      <c r="I192"/>
      <c r="J192"/>
      <c r="K192"/>
      <c r="L192"/>
      <c r="M192"/>
      <c r="N192"/>
      <c r="O192"/>
      <c r="P192"/>
      <c r="Q192"/>
      <c r="R192"/>
      <c r="S192"/>
      <c r="T192"/>
      <c r="U192"/>
      <c r="V192"/>
      <c r="W192"/>
      <c r="BF192" s="3"/>
      <c r="BG192" s="3"/>
      <c r="BH192" s="3"/>
      <c r="BI192" s="3"/>
    </row>
    <row r="193" spans="2:61" s="129" customFormat="1" outlineLevel="1">
      <c r="B193" s="172"/>
      <c r="C193" s="173"/>
      <c r="D193" s="174"/>
      <c r="E193" s="175"/>
      <c r="F193" s="171"/>
      <c r="G193"/>
      <c r="H193"/>
      <c r="I193"/>
      <c r="J193"/>
      <c r="K193"/>
      <c r="L193"/>
      <c r="M193"/>
      <c r="N193"/>
      <c r="O193"/>
      <c r="P193"/>
      <c r="Q193"/>
      <c r="R193"/>
      <c r="S193"/>
      <c r="T193"/>
      <c r="U193"/>
      <c r="V193"/>
      <c r="W193"/>
      <c r="BF193" s="3"/>
      <c r="BG193" s="3"/>
      <c r="BH193" s="3"/>
      <c r="BI193" s="3"/>
    </row>
    <row r="194" spans="2:61" s="129" customFormat="1" outlineLevel="1">
      <c r="B194" s="167"/>
      <c r="C194" s="168"/>
      <c r="D194" s="169"/>
      <c r="E194" s="170"/>
      <c r="F194" s="171"/>
      <c r="G194"/>
      <c r="H194"/>
      <c r="I194"/>
      <c r="J194"/>
      <c r="K194"/>
      <c r="L194"/>
      <c r="M194"/>
      <c r="N194"/>
      <c r="O194"/>
      <c r="P194"/>
      <c r="Q194"/>
      <c r="R194"/>
      <c r="S194"/>
      <c r="T194"/>
      <c r="U194"/>
      <c r="V194"/>
      <c r="W194"/>
      <c r="BF194" s="3"/>
      <c r="BG194" s="3"/>
      <c r="BH194" s="3"/>
      <c r="BI194" s="3"/>
    </row>
    <row r="195" spans="2:61" s="129" customFormat="1" outlineLevel="1">
      <c r="B195" s="172"/>
      <c r="C195" s="173"/>
      <c r="D195" s="174"/>
      <c r="E195" s="175"/>
      <c r="F195" s="171"/>
      <c r="G195"/>
      <c r="H195"/>
      <c r="I195"/>
      <c r="J195"/>
      <c r="K195"/>
      <c r="L195"/>
      <c r="M195"/>
      <c r="N195"/>
      <c r="O195"/>
      <c r="P195"/>
      <c r="Q195"/>
      <c r="R195"/>
      <c r="S195"/>
      <c r="T195"/>
      <c r="U195"/>
      <c r="V195"/>
      <c r="W195"/>
      <c r="BF195" s="3"/>
      <c r="BG195" s="3"/>
      <c r="BH195" s="3"/>
      <c r="BI195" s="3"/>
    </row>
    <row r="196" spans="2:61" s="129" customFormat="1" outlineLevel="1">
      <c r="B196" s="167"/>
      <c r="C196" s="168"/>
      <c r="D196" s="169"/>
      <c r="E196" s="170"/>
      <c r="F196" s="171"/>
      <c r="G196"/>
      <c r="H196"/>
      <c r="I196"/>
      <c r="J196"/>
      <c r="K196"/>
      <c r="L196"/>
      <c r="M196"/>
      <c r="N196"/>
      <c r="O196"/>
      <c r="P196"/>
      <c r="Q196"/>
      <c r="R196"/>
      <c r="S196"/>
      <c r="T196"/>
      <c r="U196"/>
      <c r="V196"/>
      <c r="W196"/>
      <c r="BF196" s="3"/>
      <c r="BG196" s="3"/>
      <c r="BH196" s="3"/>
      <c r="BI196" s="3"/>
    </row>
    <row r="197" spans="2:61" s="129" customFormat="1" outlineLevel="1">
      <c r="B197" s="172"/>
      <c r="C197" s="173"/>
      <c r="D197" s="174"/>
      <c r="E197" s="175"/>
      <c r="F197" s="171"/>
      <c r="G197"/>
      <c r="H197"/>
      <c r="I197"/>
      <c r="J197"/>
      <c r="K197"/>
      <c r="L197"/>
      <c r="M197"/>
      <c r="N197"/>
      <c r="O197"/>
      <c r="P197"/>
      <c r="Q197"/>
      <c r="R197"/>
      <c r="S197"/>
      <c r="T197"/>
      <c r="U197"/>
      <c r="V197"/>
      <c r="W197"/>
      <c r="BF197" s="3"/>
      <c r="BG197" s="3"/>
      <c r="BH197" s="3"/>
      <c r="BI197" s="3"/>
    </row>
    <row r="198" spans="2:61" s="129" customFormat="1" outlineLevel="1">
      <c r="B198" s="167"/>
      <c r="C198" s="168"/>
      <c r="D198" s="169"/>
      <c r="E198" s="170"/>
      <c r="F198" s="171"/>
      <c r="G198"/>
      <c r="H198"/>
      <c r="I198"/>
      <c r="J198"/>
      <c r="K198"/>
      <c r="L198"/>
      <c r="M198"/>
      <c r="N198"/>
      <c r="O198"/>
      <c r="P198"/>
      <c r="Q198"/>
      <c r="R198"/>
      <c r="S198"/>
      <c r="T198"/>
      <c r="U198"/>
      <c r="V198"/>
      <c r="W198"/>
      <c r="BF198" s="3"/>
      <c r="BG198" s="3"/>
      <c r="BH198" s="3"/>
      <c r="BI198" s="3"/>
    </row>
    <row r="199" spans="2:61" s="129" customFormat="1" outlineLevel="1">
      <c r="B199" s="172"/>
      <c r="C199" s="173"/>
      <c r="D199" s="174"/>
      <c r="E199" s="175"/>
      <c r="F199" s="171"/>
      <c r="G199"/>
      <c r="H199"/>
      <c r="I199"/>
      <c r="J199"/>
      <c r="K199"/>
      <c r="L199"/>
      <c r="M199"/>
      <c r="N199"/>
      <c r="O199"/>
      <c r="P199"/>
      <c r="Q199"/>
      <c r="R199"/>
      <c r="S199"/>
      <c r="T199"/>
      <c r="U199"/>
      <c r="V199"/>
      <c r="W199"/>
      <c r="BF199" s="3"/>
      <c r="BG199" s="3"/>
      <c r="BH199" s="3"/>
      <c r="BI199" s="3"/>
    </row>
    <row r="200" spans="2:61" s="129" customFormat="1" outlineLevel="1">
      <c r="B200" s="167"/>
      <c r="C200" s="168"/>
      <c r="D200" s="169"/>
      <c r="E200" s="170"/>
      <c r="F200" s="171"/>
      <c r="G200"/>
      <c r="H200"/>
      <c r="I200"/>
      <c r="J200"/>
      <c r="K200"/>
      <c r="L200"/>
      <c r="M200"/>
      <c r="N200"/>
      <c r="O200"/>
      <c r="P200"/>
      <c r="Q200"/>
      <c r="R200"/>
      <c r="S200"/>
      <c r="T200"/>
      <c r="U200"/>
      <c r="V200"/>
      <c r="W200"/>
      <c r="BF200" s="3"/>
      <c r="BG200" s="3"/>
      <c r="BH200" s="3"/>
      <c r="BI200" s="3"/>
    </row>
    <row r="201" spans="2:61" s="129" customFormat="1" outlineLevel="1">
      <c r="B201" s="172"/>
      <c r="C201" s="173"/>
      <c r="D201" s="174"/>
      <c r="E201" s="175"/>
      <c r="F201" s="171"/>
      <c r="G201"/>
      <c r="H201"/>
      <c r="I201"/>
      <c r="J201"/>
      <c r="K201"/>
      <c r="L201"/>
      <c r="M201"/>
      <c r="N201"/>
      <c r="O201"/>
      <c r="P201"/>
      <c r="Q201"/>
      <c r="R201"/>
      <c r="S201"/>
      <c r="T201"/>
      <c r="U201"/>
      <c r="V201"/>
      <c r="W201"/>
      <c r="BF201" s="3"/>
      <c r="BG201" s="3"/>
      <c r="BH201" s="3"/>
      <c r="BI201" s="3"/>
    </row>
    <row r="202" spans="2:61" s="129" customFormat="1" outlineLevel="1">
      <c r="B202" s="167"/>
      <c r="C202" s="168"/>
      <c r="D202" s="169"/>
      <c r="E202" s="170"/>
      <c r="F202" s="171"/>
      <c r="G202"/>
      <c r="H202"/>
      <c r="I202"/>
      <c r="J202"/>
      <c r="K202"/>
      <c r="L202"/>
      <c r="M202"/>
      <c r="N202"/>
      <c r="O202"/>
      <c r="P202"/>
      <c r="Q202"/>
      <c r="R202"/>
      <c r="S202"/>
      <c r="T202"/>
      <c r="U202"/>
      <c r="V202"/>
      <c r="W202"/>
      <c r="BF202" s="3"/>
      <c r="BG202" s="3"/>
      <c r="BH202" s="3"/>
      <c r="BI202" s="3"/>
    </row>
    <row r="203" spans="2:61" s="129" customFormat="1" outlineLevel="1">
      <c r="B203" s="172"/>
      <c r="C203" s="173"/>
      <c r="D203" s="174"/>
      <c r="E203" s="175"/>
      <c r="F203" s="171"/>
      <c r="G203"/>
      <c r="H203"/>
      <c r="I203"/>
      <c r="J203"/>
      <c r="K203"/>
      <c r="L203"/>
      <c r="M203"/>
      <c r="N203"/>
      <c r="O203"/>
      <c r="P203"/>
      <c r="Q203"/>
      <c r="R203"/>
      <c r="S203"/>
      <c r="T203"/>
      <c r="U203"/>
      <c r="V203"/>
      <c r="W203"/>
      <c r="BF203" s="3"/>
      <c r="BG203" s="3"/>
      <c r="BH203" s="3"/>
      <c r="BI203" s="3"/>
    </row>
    <row r="204" spans="2:61" s="129" customFormat="1" outlineLevel="1">
      <c r="B204" s="167"/>
      <c r="C204" s="168"/>
      <c r="D204" s="169"/>
      <c r="E204" s="170"/>
      <c r="F204" s="171"/>
      <c r="G204"/>
      <c r="H204"/>
      <c r="I204"/>
      <c r="J204"/>
      <c r="K204"/>
      <c r="L204"/>
      <c r="M204"/>
      <c r="N204"/>
      <c r="O204"/>
      <c r="P204"/>
      <c r="Q204"/>
      <c r="R204"/>
      <c r="S204"/>
      <c r="T204"/>
      <c r="U204"/>
      <c r="V204"/>
      <c r="W204"/>
      <c r="BF204" s="3"/>
      <c r="BG204" s="3"/>
      <c r="BH204" s="3"/>
      <c r="BI204" s="3"/>
    </row>
    <row r="205" spans="2:61" s="129" customFormat="1" outlineLevel="1">
      <c r="B205" s="172"/>
      <c r="C205" s="173"/>
      <c r="D205" s="174"/>
      <c r="E205" s="175"/>
      <c r="F205" s="171"/>
      <c r="G205"/>
      <c r="H205"/>
      <c r="I205"/>
      <c r="J205"/>
      <c r="K205"/>
      <c r="L205"/>
      <c r="M205"/>
      <c r="N205"/>
      <c r="O205"/>
      <c r="P205"/>
      <c r="Q205"/>
      <c r="R205"/>
      <c r="S205"/>
      <c r="T205"/>
      <c r="U205"/>
      <c r="V205"/>
      <c r="W205"/>
      <c r="BF205" s="3"/>
      <c r="BG205" s="3"/>
      <c r="BH205" s="3"/>
      <c r="BI205" s="3"/>
    </row>
    <row r="206" spans="2:61" s="129" customFormat="1" outlineLevel="1">
      <c r="B206" s="167"/>
      <c r="C206" s="168"/>
      <c r="D206" s="169"/>
      <c r="E206" s="170"/>
      <c r="F206" s="171"/>
      <c r="G206"/>
      <c r="H206"/>
      <c r="I206"/>
      <c r="J206"/>
      <c r="K206"/>
      <c r="L206"/>
      <c r="M206"/>
      <c r="N206"/>
      <c r="O206"/>
      <c r="P206"/>
      <c r="Q206"/>
      <c r="R206"/>
      <c r="S206"/>
      <c r="T206"/>
      <c r="U206"/>
      <c r="V206"/>
      <c r="W206"/>
      <c r="BF206" s="3"/>
      <c r="BG206" s="3"/>
      <c r="BH206" s="3"/>
      <c r="BI206" s="3"/>
    </row>
    <row r="207" spans="2:61" s="129" customFormat="1" outlineLevel="1">
      <c r="B207" s="172"/>
      <c r="C207" s="173"/>
      <c r="D207" s="174"/>
      <c r="E207" s="175"/>
      <c r="F207" s="171"/>
      <c r="G207"/>
      <c r="H207"/>
      <c r="I207"/>
      <c r="J207"/>
      <c r="K207"/>
      <c r="L207"/>
      <c r="M207"/>
      <c r="N207"/>
      <c r="O207"/>
      <c r="P207"/>
      <c r="Q207"/>
      <c r="R207"/>
      <c r="S207"/>
      <c r="T207"/>
      <c r="U207"/>
      <c r="V207"/>
      <c r="W207"/>
      <c r="BF207" s="3"/>
      <c r="BG207" s="3"/>
      <c r="BH207" s="3"/>
      <c r="BI207" s="3"/>
    </row>
    <row r="208" spans="2:61" s="129" customFormat="1" outlineLevel="1">
      <c r="B208" s="167"/>
      <c r="C208" s="168"/>
      <c r="D208" s="169"/>
      <c r="E208" s="170"/>
      <c r="F208" s="171"/>
      <c r="G208"/>
      <c r="H208"/>
      <c r="I208"/>
      <c r="J208"/>
      <c r="K208"/>
      <c r="L208"/>
      <c r="M208"/>
      <c r="N208"/>
      <c r="O208"/>
      <c r="P208"/>
      <c r="Q208"/>
      <c r="R208"/>
      <c r="S208"/>
      <c r="T208"/>
      <c r="U208"/>
      <c r="V208"/>
      <c r="W208"/>
      <c r="BF208" s="3"/>
      <c r="BG208" s="3"/>
      <c r="BH208" s="3"/>
      <c r="BI208" s="3"/>
    </row>
    <row r="209" spans="2:61" s="129" customFormat="1" outlineLevel="1">
      <c r="B209" s="172"/>
      <c r="C209" s="173"/>
      <c r="D209" s="174"/>
      <c r="E209" s="175"/>
      <c r="F209" s="171"/>
      <c r="G209"/>
      <c r="H209"/>
      <c r="I209"/>
      <c r="J209"/>
      <c r="K209"/>
      <c r="L209"/>
      <c r="M209"/>
      <c r="N209"/>
      <c r="O209"/>
      <c r="P209"/>
      <c r="Q209"/>
      <c r="R209"/>
      <c r="S209"/>
      <c r="T209"/>
      <c r="U209"/>
      <c r="V209"/>
      <c r="W209"/>
      <c r="BF209" s="3"/>
      <c r="BG209" s="3"/>
      <c r="BH209" s="3"/>
      <c r="BI209" s="3"/>
    </row>
    <row r="210" spans="2:61" s="129" customFormat="1" outlineLevel="1">
      <c r="B210" s="167"/>
      <c r="C210" s="168"/>
      <c r="D210" s="169"/>
      <c r="E210" s="170"/>
      <c r="F210" s="171"/>
      <c r="G210"/>
      <c r="H210"/>
      <c r="I210"/>
      <c r="J210"/>
      <c r="K210"/>
      <c r="L210"/>
      <c r="M210"/>
      <c r="N210"/>
      <c r="O210"/>
      <c r="P210"/>
      <c r="Q210"/>
      <c r="R210"/>
      <c r="S210"/>
      <c r="T210"/>
      <c r="U210"/>
      <c r="V210"/>
      <c r="W210"/>
      <c r="BF210" s="3"/>
      <c r="BG210" s="3"/>
      <c r="BH210" s="3"/>
      <c r="BI210" s="3"/>
    </row>
    <row r="211" spans="2:61" s="129" customFormat="1" outlineLevel="1">
      <c r="B211" s="172"/>
      <c r="C211" s="173"/>
      <c r="D211" s="174"/>
      <c r="E211" s="175"/>
      <c r="F211" s="171"/>
      <c r="G211"/>
      <c r="H211"/>
      <c r="I211"/>
      <c r="J211"/>
      <c r="K211"/>
      <c r="L211"/>
      <c r="M211"/>
      <c r="N211"/>
      <c r="O211"/>
      <c r="P211"/>
      <c r="Q211"/>
      <c r="R211"/>
      <c r="S211"/>
      <c r="T211"/>
      <c r="U211"/>
      <c r="V211"/>
      <c r="W211"/>
      <c r="BF211" s="3"/>
      <c r="BG211" s="3"/>
      <c r="BH211" s="3"/>
      <c r="BI211" s="3"/>
    </row>
    <row r="212" spans="2:61" s="129" customFormat="1" outlineLevel="1">
      <c r="B212" s="167"/>
      <c r="C212" s="168"/>
      <c r="D212" s="169"/>
      <c r="E212" s="170"/>
      <c r="F212" s="171"/>
      <c r="G212"/>
      <c r="H212"/>
      <c r="I212"/>
      <c r="J212"/>
      <c r="K212"/>
      <c r="L212"/>
      <c r="M212"/>
      <c r="N212"/>
      <c r="O212"/>
      <c r="P212"/>
      <c r="Q212"/>
      <c r="R212"/>
      <c r="S212"/>
      <c r="T212"/>
      <c r="U212"/>
      <c r="V212"/>
      <c r="W212"/>
      <c r="BF212" s="3"/>
      <c r="BG212" s="3"/>
      <c r="BH212" s="3"/>
      <c r="BI212" s="3"/>
    </row>
    <row r="213" spans="2:61" s="129" customFormat="1" outlineLevel="1">
      <c r="B213" s="172"/>
      <c r="C213" s="173"/>
      <c r="D213" s="174"/>
      <c r="E213" s="175"/>
      <c r="F213" s="171"/>
      <c r="G213"/>
      <c r="H213"/>
      <c r="I213"/>
      <c r="J213"/>
      <c r="K213"/>
      <c r="L213"/>
      <c r="M213"/>
      <c r="N213"/>
      <c r="O213"/>
      <c r="P213"/>
      <c r="Q213"/>
      <c r="R213"/>
      <c r="S213"/>
      <c r="T213"/>
      <c r="U213"/>
      <c r="V213"/>
      <c r="W213"/>
      <c r="BF213" s="3"/>
      <c r="BG213" s="3"/>
      <c r="BH213" s="3"/>
      <c r="BI213" s="3"/>
    </row>
    <row r="214" spans="2:61" s="129" customFormat="1" outlineLevel="1">
      <c r="B214" s="167"/>
      <c r="C214" s="168"/>
      <c r="D214" s="169"/>
      <c r="E214" s="170"/>
      <c r="F214" s="171"/>
      <c r="G214"/>
      <c r="H214"/>
      <c r="I214"/>
      <c r="J214"/>
      <c r="K214"/>
      <c r="L214"/>
      <c r="M214"/>
      <c r="N214"/>
      <c r="O214"/>
      <c r="P214"/>
      <c r="Q214"/>
      <c r="R214"/>
      <c r="S214"/>
      <c r="T214"/>
      <c r="U214"/>
      <c r="V214"/>
      <c r="W214"/>
      <c r="BF214" s="3"/>
      <c r="BG214" s="3"/>
      <c r="BH214" s="3"/>
      <c r="BI214" s="3"/>
    </row>
    <row r="215" spans="2:61" s="129" customFormat="1" outlineLevel="1">
      <c r="B215" s="172"/>
      <c r="C215" s="173"/>
      <c r="D215" s="174"/>
      <c r="E215" s="175"/>
      <c r="F215" s="171"/>
      <c r="G215"/>
      <c r="H215"/>
      <c r="I215"/>
      <c r="J215"/>
      <c r="K215"/>
      <c r="L215"/>
      <c r="M215"/>
      <c r="N215"/>
      <c r="O215"/>
      <c r="P215"/>
      <c r="Q215"/>
      <c r="R215"/>
      <c r="S215"/>
      <c r="T215"/>
      <c r="U215"/>
      <c r="V215"/>
      <c r="W215"/>
      <c r="BF215" s="3"/>
      <c r="BG215" s="3"/>
      <c r="BH215" s="3"/>
      <c r="BI215" s="3"/>
    </row>
    <row r="216" spans="2:61" s="129" customFormat="1" outlineLevel="1">
      <c r="B216" s="167"/>
      <c r="C216" s="168"/>
      <c r="D216" s="169"/>
      <c r="E216" s="170"/>
      <c r="F216" s="171"/>
      <c r="G216"/>
      <c r="H216"/>
      <c r="I216"/>
      <c r="J216"/>
      <c r="K216"/>
      <c r="L216"/>
      <c r="M216"/>
      <c r="N216"/>
      <c r="O216"/>
      <c r="P216"/>
      <c r="Q216"/>
      <c r="R216"/>
      <c r="S216"/>
      <c r="T216"/>
      <c r="U216"/>
      <c r="V216"/>
      <c r="W216"/>
      <c r="BF216" s="3"/>
      <c r="BG216" s="3"/>
      <c r="BH216" s="3"/>
      <c r="BI216" s="3"/>
    </row>
    <row r="217" spans="2:61" s="129" customFormat="1" outlineLevel="1">
      <c r="B217" s="172"/>
      <c r="C217" s="173"/>
      <c r="D217" s="174"/>
      <c r="E217" s="175"/>
      <c r="F217" s="171"/>
      <c r="G217"/>
      <c r="H217"/>
      <c r="I217"/>
      <c r="J217"/>
      <c r="K217"/>
      <c r="L217"/>
      <c r="M217"/>
      <c r="N217"/>
      <c r="O217"/>
      <c r="P217"/>
      <c r="Q217"/>
      <c r="R217"/>
      <c r="S217"/>
      <c r="T217"/>
      <c r="U217"/>
      <c r="V217"/>
      <c r="W217"/>
      <c r="BF217" s="3"/>
      <c r="BG217" s="3"/>
      <c r="BH217" s="3"/>
      <c r="BI217" s="3"/>
    </row>
    <row r="218" spans="2:61" s="129" customFormat="1" outlineLevel="1">
      <c r="B218" s="167"/>
      <c r="C218" s="168"/>
      <c r="D218" s="169"/>
      <c r="E218" s="170"/>
      <c r="F218" s="171"/>
      <c r="G218"/>
      <c r="H218"/>
      <c r="I218"/>
      <c r="J218"/>
      <c r="K218"/>
      <c r="L218"/>
      <c r="M218"/>
      <c r="N218"/>
      <c r="O218"/>
      <c r="P218"/>
      <c r="Q218"/>
      <c r="R218"/>
      <c r="S218"/>
      <c r="T218"/>
      <c r="U218"/>
      <c r="V218"/>
      <c r="W218"/>
      <c r="BF218" s="3"/>
      <c r="BG218" s="3"/>
      <c r="BH218" s="3"/>
      <c r="BI218" s="3"/>
    </row>
    <row r="219" spans="2:61" s="129" customFormat="1" outlineLevel="1">
      <c r="B219" s="172"/>
      <c r="C219" s="173"/>
      <c r="D219" s="174"/>
      <c r="E219" s="175"/>
      <c r="F219" s="171"/>
      <c r="G219"/>
      <c r="H219"/>
      <c r="I219"/>
      <c r="J219"/>
      <c r="K219"/>
      <c r="L219"/>
      <c r="M219"/>
      <c r="N219"/>
      <c r="O219"/>
      <c r="P219"/>
      <c r="Q219"/>
      <c r="R219"/>
      <c r="S219"/>
      <c r="T219"/>
      <c r="U219"/>
      <c r="V219"/>
      <c r="W219"/>
      <c r="BF219" s="3"/>
      <c r="BG219" s="3"/>
      <c r="BH219" s="3"/>
      <c r="BI219" s="3"/>
    </row>
    <row r="220" spans="2:61" s="129" customFormat="1" outlineLevel="1">
      <c r="B220" s="167"/>
      <c r="C220" s="168"/>
      <c r="D220" s="169"/>
      <c r="E220" s="170"/>
      <c r="F220" s="171"/>
      <c r="G220"/>
      <c r="H220"/>
      <c r="I220"/>
      <c r="J220"/>
      <c r="K220"/>
      <c r="L220"/>
      <c r="M220"/>
      <c r="N220"/>
      <c r="O220"/>
      <c r="P220"/>
      <c r="Q220"/>
      <c r="R220"/>
      <c r="S220"/>
      <c r="T220"/>
      <c r="U220"/>
      <c r="V220"/>
      <c r="W220"/>
      <c r="BF220" s="3"/>
      <c r="BG220" s="3"/>
      <c r="BH220" s="3"/>
      <c r="BI220" s="3"/>
    </row>
    <row r="221" spans="2:61" s="129" customFormat="1" outlineLevel="1">
      <c r="B221" s="172"/>
      <c r="C221" s="173"/>
      <c r="D221" s="174"/>
      <c r="E221" s="175"/>
      <c r="F221" s="171"/>
      <c r="G221"/>
      <c r="H221"/>
      <c r="I221"/>
      <c r="J221"/>
      <c r="K221"/>
      <c r="L221"/>
      <c r="M221"/>
      <c r="N221"/>
      <c r="O221"/>
      <c r="P221"/>
      <c r="Q221"/>
      <c r="R221"/>
      <c r="S221"/>
      <c r="T221"/>
      <c r="U221"/>
      <c r="V221"/>
      <c r="W221"/>
      <c r="BF221" s="3"/>
      <c r="BG221" s="3"/>
      <c r="BH221" s="3"/>
      <c r="BI221" s="3"/>
    </row>
    <row r="222" spans="2:61" s="129" customFormat="1" outlineLevel="1">
      <c r="B222" s="167"/>
      <c r="C222" s="168"/>
      <c r="D222" s="169"/>
      <c r="E222" s="170"/>
      <c r="F222" s="171"/>
      <c r="G222"/>
      <c r="H222"/>
      <c r="I222"/>
      <c r="J222"/>
      <c r="K222"/>
      <c r="L222"/>
      <c r="M222"/>
      <c r="N222"/>
      <c r="O222"/>
      <c r="P222"/>
      <c r="Q222"/>
      <c r="R222"/>
      <c r="S222"/>
      <c r="T222"/>
      <c r="U222"/>
      <c r="V222"/>
      <c r="W222"/>
      <c r="BF222" s="3"/>
      <c r="BG222" s="3"/>
      <c r="BH222" s="3"/>
      <c r="BI222" s="3"/>
    </row>
    <row r="223" spans="2:61" s="129" customFormat="1" outlineLevel="1">
      <c r="B223" s="172"/>
      <c r="C223" s="173"/>
      <c r="D223" s="174"/>
      <c r="E223" s="175"/>
      <c r="F223" s="171"/>
      <c r="G223"/>
      <c r="H223"/>
      <c r="I223"/>
      <c r="J223"/>
      <c r="K223"/>
      <c r="L223"/>
      <c r="M223"/>
      <c r="N223"/>
      <c r="O223"/>
      <c r="P223"/>
      <c r="Q223"/>
      <c r="R223"/>
      <c r="S223"/>
      <c r="T223"/>
      <c r="U223"/>
      <c r="V223"/>
      <c r="W223"/>
      <c r="BF223" s="3"/>
      <c r="BG223" s="3"/>
      <c r="BH223" s="3"/>
      <c r="BI223" s="3"/>
    </row>
    <row r="224" spans="2:61" s="129" customFormat="1" outlineLevel="1">
      <c r="B224" s="167"/>
      <c r="C224" s="168"/>
      <c r="D224" s="169"/>
      <c r="E224" s="170"/>
      <c r="F224" s="171"/>
      <c r="G224"/>
      <c r="H224"/>
      <c r="I224"/>
      <c r="J224"/>
      <c r="K224"/>
      <c r="L224"/>
      <c r="M224"/>
      <c r="N224"/>
      <c r="O224"/>
      <c r="P224"/>
      <c r="Q224"/>
      <c r="R224"/>
      <c r="S224"/>
      <c r="T224"/>
      <c r="U224"/>
      <c r="V224"/>
      <c r="W224"/>
      <c r="BF224" s="3"/>
      <c r="BG224" s="3"/>
      <c r="BH224" s="3"/>
      <c r="BI224" s="3"/>
    </row>
    <row r="225" spans="2:61" s="129" customFormat="1" outlineLevel="1">
      <c r="B225" s="172"/>
      <c r="C225" s="173"/>
      <c r="D225" s="174"/>
      <c r="E225" s="175"/>
      <c r="F225" s="171"/>
      <c r="G225"/>
      <c r="H225"/>
      <c r="I225"/>
      <c r="J225"/>
      <c r="K225"/>
      <c r="L225"/>
      <c r="M225"/>
      <c r="N225"/>
      <c r="O225"/>
      <c r="P225"/>
      <c r="Q225"/>
      <c r="R225"/>
      <c r="S225"/>
      <c r="T225"/>
      <c r="U225"/>
      <c r="V225"/>
      <c r="W225"/>
      <c r="BF225" s="3"/>
      <c r="BG225" s="3"/>
      <c r="BH225" s="3"/>
      <c r="BI225" s="3"/>
    </row>
    <row r="226" spans="2:61" s="129" customFormat="1" outlineLevel="1">
      <c r="B226" s="167"/>
      <c r="C226" s="168"/>
      <c r="D226" s="169"/>
      <c r="E226" s="170"/>
      <c r="F226" s="171"/>
      <c r="G226"/>
      <c r="H226"/>
      <c r="I226"/>
      <c r="J226"/>
      <c r="K226"/>
      <c r="L226"/>
      <c r="M226"/>
      <c r="N226"/>
      <c r="O226"/>
      <c r="P226"/>
      <c r="Q226"/>
      <c r="R226"/>
      <c r="S226"/>
      <c r="T226"/>
      <c r="U226"/>
      <c r="V226"/>
      <c r="W226"/>
      <c r="BF226" s="3"/>
      <c r="BG226" s="3"/>
      <c r="BH226" s="3"/>
      <c r="BI226" s="3"/>
    </row>
    <row r="227" spans="2:61" s="129" customFormat="1" outlineLevel="1">
      <c r="B227" s="172"/>
      <c r="C227" s="173"/>
      <c r="D227" s="174"/>
      <c r="E227" s="175"/>
      <c r="F227" s="171"/>
      <c r="G227"/>
      <c r="H227"/>
      <c r="I227"/>
      <c r="J227"/>
      <c r="K227"/>
      <c r="L227"/>
      <c r="M227"/>
      <c r="N227"/>
      <c r="O227"/>
      <c r="P227"/>
      <c r="Q227"/>
      <c r="R227"/>
      <c r="S227"/>
      <c r="T227"/>
      <c r="U227"/>
      <c r="V227"/>
      <c r="W227"/>
      <c r="BF227" s="3"/>
      <c r="BG227" s="3"/>
      <c r="BH227" s="3"/>
      <c r="BI227" s="3"/>
    </row>
    <row r="228" spans="2:61" s="129" customFormat="1" outlineLevel="1">
      <c r="B228" s="167"/>
      <c r="C228" s="168"/>
      <c r="D228" s="169"/>
      <c r="E228" s="170"/>
      <c r="F228" s="171"/>
      <c r="G228"/>
      <c r="H228"/>
      <c r="I228"/>
      <c r="J228"/>
      <c r="K228"/>
      <c r="L228"/>
      <c r="M228"/>
      <c r="N228"/>
      <c r="O228"/>
      <c r="P228"/>
      <c r="Q228"/>
      <c r="R228"/>
      <c r="S228"/>
      <c r="T228"/>
      <c r="U228"/>
      <c r="V228"/>
      <c r="W228"/>
      <c r="BF228" s="3"/>
      <c r="BG228" s="3"/>
      <c r="BH228" s="3"/>
      <c r="BI228" s="3"/>
    </row>
    <row r="229" spans="2:61" s="129" customFormat="1" outlineLevel="1">
      <c r="B229" s="172"/>
      <c r="C229" s="173"/>
      <c r="D229" s="174"/>
      <c r="E229" s="175"/>
      <c r="F229" s="171"/>
      <c r="G229"/>
      <c r="H229"/>
      <c r="I229"/>
      <c r="J229"/>
      <c r="K229"/>
      <c r="L229"/>
      <c r="M229"/>
      <c r="N229"/>
      <c r="O229"/>
      <c r="P229"/>
      <c r="Q229"/>
      <c r="R229"/>
      <c r="S229"/>
      <c r="T229"/>
      <c r="U229"/>
      <c r="V229"/>
      <c r="W229"/>
      <c r="BF229" s="3"/>
      <c r="BG229" s="3"/>
      <c r="BH229" s="3"/>
      <c r="BI229" s="3"/>
    </row>
    <row r="230" spans="2:61" s="129" customFormat="1" outlineLevel="1">
      <c r="B230" s="167"/>
      <c r="C230" s="168"/>
      <c r="D230" s="169"/>
      <c r="E230" s="170"/>
      <c r="F230" s="171"/>
      <c r="G230"/>
      <c r="H230"/>
      <c r="I230"/>
      <c r="J230"/>
      <c r="K230"/>
      <c r="L230"/>
      <c r="M230"/>
      <c r="N230"/>
      <c r="O230"/>
      <c r="P230"/>
      <c r="Q230"/>
      <c r="R230"/>
      <c r="S230"/>
      <c r="T230"/>
      <c r="U230"/>
      <c r="V230"/>
      <c r="W230"/>
      <c r="BF230" s="3"/>
      <c r="BG230" s="3"/>
      <c r="BH230" s="3"/>
      <c r="BI230" s="3"/>
    </row>
    <row r="231" spans="2:61" s="129" customFormat="1" outlineLevel="1">
      <c r="B231" s="172"/>
      <c r="C231" s="173"/>
      <c r="D231" s="174"/>
      <c r="E231" s="175"/>
      <c r="F231" s="171"/>
      <c r="G231"/>
      <c r="H231"/>
      <c r="I231"/>
      <c r="J231"/>
      <c r="K231"/>
      <c r="L231"/>
      <c r="M231"/>
      <c r="N231"/>
      <c r="O231"/>
      <c r="P231"/>
      <c r="Q231"/>
      <c r="R231"/>
      <c r="S231"/>
      <c r="T231"/>
      <c r="U231"/>
      <c r="V231"/>
      <c r="W231"/>
      <c r="BF231" s="3"/>
      <c r="BG231" s="3"/>
      <c r="BH231" s="3"/>
      <c r="BI231" s="3"/>
    </row>
    <row r="232" spans="2:61" s="129" customFormat="1" outlineLevel="1">
      <c r="B232" s="167"/>
      <c r="C232" s="168"/>
      <c r="D232" s="169"/>
      <c r="E232" s="170"/>
      <c r="F232" s="171"/>
      <c r="G232"/>
      <c r="H232"/>
      <c r="I232"/>
      <c r="J232"/>
      <c r="K232"/>
      <c r="L232"/>
      <c r="M232"/>
      <c r="N232"/>
      <c r="O232"/>
      <c r="P232"/>
      <c r="Q232"/>
      <c r="R232"/>
      <c r="S232"/>
      <c r="T232"/>
      <c r="U232"/>
      <c r="V232"/>
      <c r="W232"/>
      <c r="BF232" s="3"/>
      <c r="BG232" s="3"/>
      <c r="BH232" s="3"/>
      <c r="BI232" s="3"/>
    </row>
    <row r="233" spans="2:61" s="129" customFormat="1" outlineLevel="1">
      <c r="B233" s="172"/>
      <c r="C233" s="173"/>
      <c r="D233" s="174"/>
      <c r="E233" s="175"/>
      <c r="F233" s="171"/>
      <c r="G233"/>
      <c r="H233"/>
      <c r="I233"/>
      <c r="J233"/>
      <c r="K233"/>
      <c r="L233"/>
      <c r="M233"/>
      <c r="N233"/>
      <c r="O233"/>
      <c r="P233"/>
      <c r="Q233"/>
      <c r="R233"/>
      <c r="S233"/>
      <c r="T233"/>
      <c r="U233"/>
      <c r="V233"/>
      <c r="W233"/>
      <c r="BF233" s="3"/>
      <c r="BG233" s="3"/>
      <c r="BH233" s="3"/>
      <c r="BI233" s="3"/>
    </row>
    <row r="234" spans="2:61" s="129" customFormat="1" outlineLevel="1">
      <c r="B234" s="167"/>
      <c r="C234" s="168"/>
      <c r="D234" s="169"/>
      <c r="E234" s="170"/>
      <c r="F234" s="171"/>
      <c r="G234"/>
      <c r="H234"/>
      <c r="I234"/>
      <c r="J234"/>
      <c r="K234"/>
      <c r="L234"/>
      <c r="M234"/>
      <c r="N234"/>
      <c r="O234"/>
      <c r="P234"/>
      <c r="Q234"/>
      <c r="R234"/>
      <c r="S234"/>
      <c r="T234"/>
      <c r="U234"/>
      <c r="V234"/>
      <c r="W234"/>
      <c r="BF234" s="3"/>
      <c r="BG234" s="3"/>
      <c r="BH234" s="3"/>
      <c r="BI234" s="3"/>
    </row>
    <row r="235" spans="2:61" s="129" customFormat="1" outlineLevel="1">
      <c r="B235" s="172"/>
      <c r="C235" s="173"/>
      <c r="D235" s="174"/>
      <c r="E235" s="175"/>
      <c r="F235" s="171"/>
      <c r="G235"/>
      <c r="H235"/>
      <c r="I235"/>
      <c r="J235"/>
      <c r="K235"/>
      <c r="L235"/>
      <c r="M235"/>
      <c r="N235"/>
      <c r="O235"/>
      <c r="P235"/>
      <c r="Q235"/>
      <c r="R235"/>
      <c r="S235"/>
      <c r="T235"/>
      <c r="U235"/>
      <c r="V235"/>
      <c r="W235"/>
      <c r="BF235" s="3"/>
      <c r="BG235" s="3"/>
      <c r="BH235" s="3"/>
      <c r="BI235" s="3"/>
    </row>
    <row r="236" spans="2:61" s="129" customFormat="1" outlineLevel="1">
      <c r="B236" s="167"/>
      <c r="C236" s="168"/>
      <c r="D236" s="169"/>
      <c r="E236" s="170"/>
      <c r="F236" s="171"/>
      <c r="G236"/>
      <c r="H236"/>
      <c r="I236"/>
      <c r="J236"/>
      <c r="K236"/>
      <c r="L236"/>
      <c r="M236"/>
      <c r="N236"/>
      <c r="O236"/>
      <c r="P236"/>
      <c r="Q236"/>
      <c r="R236"/>
      <c r="S236"/>
      <c r="T236"/>
      <c r="U236"/>
      <c r="V236"/>
      <c r="W236"/>
      <c r="BF236" s="3"/>
      <c r="BG236" s="3"/>
      <c r="BH236" s="3"/>
      <c r="BI236" s="3"/>
    </row>
    <row r="237" spans="2:61" s="129" customFormat="1" outlineLevel="1">
      <c r="B237" s="172"/>
      <c r="C237" s="173"/>
      <c r="D237" s="174"/>
      <c r="E237" s="175"/>
      <c r="F237" s="171"/>
      <c r="G237"/>
      <c r="H237"/>
      <c r="I237"/>
      <c r="J237"/>
      <c r="K237"/>
      <c r="L237"/>
      <c r="M237"/>
      <c r="N237"/>
      <c r="O237"/>
      <c r="P237"/>
      <c r="Q237"/>
      <c r="R237"/>
      <c r="S237"/>
      <c r="T237"/>
      <c r="U237"/>
      <c r="V237"/>
      <c r="W237"/>
      <c r="BF237" s="3"/>
      <c r="BG237" s="3"/>
      <c r="BH237" s="3"/>
      <c r="BI237" s="3"/>
    </row>
    <row r="238" spans="2:61" s="129" customFormat="1" outlineLevel="1">
      <c r="B238" s="167"/>
      <c r="C238" s="168"/>
      <c r="D238" s="169"/>
      <c r="E238" s="170"/>
      <c r="F238" s="171"/>
      <c r="G238"/>
      <c r="H238"/>
      <c r="I238"/>
      <c r="J238"/>
      <c r="K238"/>
      <c r="L238"/>
      <c r="M238"/>
      <c r="N238"/>
      <c r="O238"/>
      <c r="P238"/>
      <c r="Q238"/>
      <c r="R238"/>
      <c r="S238"/>
      <c r="T238"/>
      <c r="U238"/>
      <c r="V238"/>
      <c r="W238"/>
      <c r="BF238" s="3"/>
      <c r="BG238" s="3"/>
      <c r="BH238" s="3"/>
      <c r="BI238" s="3"/>
    </row>
    <row r="239" spans="2:61" s="129" customFormat="1" outlineLevel="1">
      <c r="B239" s="172"/>
      <c r="C239" s="173"/>
      <c r="D239" s="174"/>
      <c r="E239" s="175"/>
      <c r="F239" s="171"/>
      <c r="G239"/>
      <c r="H239"/>
      <c r="I239"/>
      <c r="J239"/>
      <c r="K239"/>
      <c r="L239"/>
      <c r="M239"/>
      <c r="N239"/>
      <c r="O239"/>
      <c r="P239"/>
      <c r="Q239"/>
      <c r="R239"/>
      <c r="S239"/>
      <c r="T239"/>
      <c r="U239"/>
      <c r="V239"/>
      <c r="W239"/>
      <c r="BF239" s="3"/>
      <c r="BG239" s="3"/>
      <c r="BH239" s="3"/>
      <c r="BI239" s="3"/>
    </row>
    <row r="240" spans="2:61" s="129" customFormat="1" outlineLevel="1">
      <c r="B240" s="167"/>
      <c r="C240" s="168"/>
      <c r="D240" s="169"/>
      <c r="E240" s="170"/>
      <c r="F240" s="171"/>
      <c r="G240"/>
      <c r="H240"/>
      <c r="I240"/>
      <c r="J240"/>
      <c r="K240"/>
      <c r="L240"/>
      <c r="M240"/>
      <c r="N240"/>
      <c r="O240"/>
      <c r="P240"/>
      <c r="Q240"/>
      <c r="R240"/>
      <c r="S240"/>
      <c r="T240"/>
      <c r="U240"/>
      <c r="V240"/>
      <c r="W240"/>
      <c r="BF240" s="3"/>
      <c r="BG240" s="3"/>
      <c r="BH240" s="3"/>
      <c r="BI240" s="3"/>
    </row>
    <row r="241" spans="2:61" s="129" customFormat="1" outlineLevel="1">
      <c r="B241" s="172"/>
      <c r="C241" s="173"/>
      <c r="D241" s="174"/>
      <c r="E241" s="175"/>
      <c r="F241" s="171"/>
      <c r="G241"/>
      <c r="H241"/>
      <c r="I241"/>
      <c r="J241"/>
      <c r="K241"/>
      <c r="L241"/>
      <c r="M241"/>
      <c r="N241"/>
      <c r="O241"/>
      <c r="P241"/>
      <c r="Q241"/>
      <c r="R241"/>
      <c r="S241"/>
      <c r="T241"/>
      <c r="U241"/>
      <c r="V241"/>
      <c r="W241"/>
      <c r="BF241" s="3"/>
      <c r="BG241" s="3"/>
      <c r="BH241" s="3"/>
      <c r="BI241" s="3"/>
    </row>
    <row r="242" spans="2:61" s="129" customFormat="1" outlineLevel="1">
      <c r="B242" s="167"/>
      <c r="C242" s="168"/>
      <c r="D242" s="169"/>
      <c r="E242" s="170"/>
      <c r="F242" s="171"/>
      <c r="G242"/>
      <c r="H242"/>
      <c r="I242"/>
      <c r="J242"/>
      <c r="K242"/>
      <c r="L242"/>
      <c r="M242"/>
      <c r="N242"/>
      <c r="O242"/>
      <c r="P242"/>
      <c r="Q242"/>
      <c r="R242"/>
      <c r="S242"/>
      <c r="T242"/>
      <c r="U242"/>
      <c r="V242"/>
      <c r="W242"/>
      <c r="BF242" s="3"/>
      <c r="BG242" s="3"/>
      <c r="BH242" s="3"/>
      <c r="BI242" s="3"/>
    </row>
    <row r="243" spans="2:61" s="129" customFormat="1" outlineLevel="1">
      <c r="B243" s="172"/>
      <c r="C243" s="173"/>
      <c r="D243" s="174"/>
      <c r="E243" s="175"/>
      <c r="F243" s="171"/>
      <c r="G243"/>
      <c r="H243"/>
      <c r="I243"/>
      <c r="J243"/>
      <c r="K243"/>
      <c r="L243"/>
      <c r="M243"/>
      <c r="N243"/>
      <c r="O243"/>
      <c r="P243"/>
      <c r="Q243"/>
      <c r="R243"/>
      <c r="S243"/>
      <c r="T243"/>
      <c r="U243"/>
      <c r="V243"/>
      <c r="W243"/>
      <c r="BF243" s="3"/>
      <c r="BG243" s="3"/>
      <c r="BH243" s="3"/>
      <c r="BI243" s="3"/>
    </row>
    <row r="244" spans="2:61" s="129" customFormat="1" outlineLevel="1">
      <c r="B244" s="167"/>
      <c r="C244" s="168"/>
      <c r="D244" s="169"/>
      <c r="E244" s="170"/>
      <c r="F244" s="171"/>
      <c r="G244"/>
      <c r="H244"/>
      <c r="I244"/>
      <c r="J244"/>
      <c r="K244"/>
      <c r="L244"/>
      <c r="M244"/>
      <c r="N244"/>
      <c r="O244"/>
      <c r="P244"/>
      <c r="Q244"/>
      <c r="R244"/>
      <c r="S244"/>
      <c r="T244"/>
      <c r="U244"/>
      <c r="V244"/>
      <c r="W244"/>
      <c r="BF244" s="3"/>
      <c r="BG244" s="3"/>
      <c r="BH244" s="3"/>
      <c r="BI244" s="3"/>
    </row>
    <row r="245" spans="2:61" s="129" customFormat="1" outlineLevel="1">
      <c r="B245" s="172"/>
      <c r="C245" s="173"/>
      <c r="D245" s="174"/>
      <c r="E245" s="175"/>
      <c r="F245" s="171"/>
      <c r="G245"/>
      <c r="H245"/>
      <c r="I245"/>
      <c r="J245"/>
      <c r="K245"/>
      <c r="L245"/>
      <c r="M245"/>
      <c r="N245"/>
      <c r="O245"/>
      <c r="P245"/>
      <c r="Q245"/>
      <c r="R245"/>
      <c r="S245"/>
      <c r="T245"/>
      <c r="U245"/>
      <c r="V245"/>
      <c r="W245"/>
      <c r="BF245" s="3"/>
      <c r="BG245" s="3"/>
      <c r="BH245" s="3"/>
      <c r="BI245" s="3"/>
    </row>
    <row r="246" spans="2:61" s="129" customFormat="1" outlineLevel="1">
      <c r="B246" s="167"/>
      <c r="C246" s="168"/>
      <c r="D246" s="169"/>
      <c r="E246" s="170"/>
      <c r="F246" s="171"/>
      <c r="G246"/>
      <c r="H246"/>
      <c r="I246"/>
      <c r="J246"/>
      <c r="K246"/>
      <c r="L246"/>
      <c r="M246"/>
      <c r="N246"/>
      <c r="O246"/>
      <c r="P246"/>
      <c r="Q246"/>
      <c r="R246"/>
      <c r="S246"/>
      <c r="T246"/>
      <c r="U246"/>
      <c r="V246"/>
      <c r="W246"/>
      <c r="BF246" s="3"/>
      <c r="BG246" s="3"/>
      <c r="BH246" s="3"/>
      <c r="BI246" s="3"/>
    </row>
    <row r="247" spans="2:61" s="129" customFormat="1" outlineLevel="1">
      <c r="B247" s="172"/>
      <c r="C247" s="173"/>
      <c r="D247" s="174"/>
      <c r="E247" s="175"/>
      <c r="F247" s="171"/>
      <c r="G247"/>
      <c r="H247"/>
      <c r="I247"/>
      <c r="J247"/>
      <c r="K247"/>
      <c r="L247"/>
      <c r="M247"/>
      <c r="N247"/>
      <c r="O247"/>
      <c r="P247"/>
      <c r="Q247"/>
      <c r="R247"/>
      <c r="S247"/>
      <c r="T247"/>
      <c r="U247"/>
      <c r="V247"/>
      <c r="W247"/>
      <c r="BF247" s="3"/>
      <c r="BG247" s="3"/>
      <c r="BH247" s="3"/>
      <c r="BI247" s="3"/>
    </row>
    <row r="248" spans="2:61" s="129" customFormat="1" outlineLevel="1">
      <c r="B248" s="167"/>
      <c r="C248" s="168"/>
      <c r="D248" s="169"/>
      <c r="E248" s="170"/>
      <c r="F248" s="171"/>
      <c r="G248"/>
      <c r="H248"/>
      <c r="I248"/>
      <c r="J248"/>
      <c r="K248"/>
      <c r="L248"/>
      <c r="M248"/>
      <c r="N248"/>
      <c r="O248"/>
      <c r="P248"/>
      <c r="Q248"/>
      <c r="R248"/>
      <c r="S248"/>
      <c r="T248"/>
      <c r="U248"/>
      <c r="V248"/>
      <c r="W248"/>
      <c r="BF248" s="3"/>
      <c r="BG248" s="3"/>
      <c r="BH248" s="3"/>
      <c r="BI248" s="3"/>
    </row>
    <row r="249" spans="2:61" s="129" customFormat="1" outlineLevel="1">
      <c r="B249" s="172"/>
      <c r="C249" s="173"/>
      <c r="D249" s="174"/>
      <c r="E249" s="175"/>
      <c r="F249" s="171"/>
      <c r="G249"/>
      <c r="H249"/>
      <c r="I249"/>
      <c r="J249"/>
      <c r="K249"/>
      <c r="L249"/>
      <c r="M249"/>
      <c r="N249"/>
      <c r="O249"/>
      <c r="P249"/>
      <c r="Q249"/>
      <c r="R249"/>
      <c r="S249"/>
      <c r="T249"/>
      <c r="U249"/>
      <c r="V249"/>
      <c r="W249"/>
      <c r="BF249" s="3"/>
      <c r="BG249" s="3"/>
      <c r="BH249" s="3"/>
      <c r="BI249" s="3"/>
    </row>
    <row r="250" spans="2:61" s="129" customFormat="1" outlineLevel="1">
      <c r="B250" s="167"/>
      <c r="C250" s="168"/>
      <c r="D250" s="169"/>
      <c r="E250" s="170"/>
      <c r="F250" s="171"/>
      <c r="G250"/>
      <c r="H250"/>
      <c r="I250"/>
      <c r="J250"/>
      <c r="K250"/>
      <c r="L250"/>
      <c r="M250"/>
      <c r="N250"/>
      <c r="O250"/>
      <c r="P250"/>
      <c r="Q250"/>
      <c r="R250"/>
      <c r="S250"/>
      <c r="T250"/>
      <c r="U250"/>
      <c r="V250"/>
      <c r="W250"/>
      <c r="BF250" s="3"/>
      <c r="BG250" s="3"/>
      <c r="BH250" s="3"/>
      <c r="BI250" s="3"/>
    </row>
    <row r="251" spans="2:61" s="129" customFormat="1" outlineLevel="1">
      <c r="B251" s="172"/>
      <c r="C251" s="173"/>
      <c r="D251" s="174"/>
      <c r="E251" s="175"/>
      <c r="F251" s="171"/>
      <c r="G251"/>
      <c r="H251"/>
      <c r="I251"/>
      <c r="J251"/>
      <c r="K251"/>
      <c r="L251"/>
      <c r="M251"/>
      <c r="N251"/>
      <c r="O251"/>
      <c r="P251"/>
      <c r="Q251"/>
      <c r="R251"/>
      <c r="S251"/>
      <c r="T251"/>
      <c r="U251"/>
      <c r="V251"/>
      <c r="W251"/>
      <c r="BF251" s="3"/>
      <c r="BG251" s="3"/>
      <c r="BH251" s="3"/>
      <c r="BI251" s="3"/>
    </row>
    <row r="252" spans="2:61" s="129" customFormat="1" outlineLevel="1">
      <c r="B252" s="167"/>
      <c r="C252" s="168"/>
      <c r="D252" s="169"/>
      <c r="E252" s="170"/>
      <c r="F252" s="171"/>
      <c r="G252"/>
      <c r="H252"/>
      <c r="I252"/>
      <c r="J252"/>
      <c r="K252"/>
      <c r="L252"/>
      <c r="M252"/>
      <c r="N252"/>
      <c r="O252"/>
      <c r="P252"/>
      <c r="Q252"/>
      <c r="R252"/>
      <c r="S252"/>
      <c r="T252"/>
      <c r="U252"/>
      <c r="V252"/>
      <c r="W252"/>
      <c r="BF252" s="3"/>
      <c r="BG252" s="3"/>
      <c r="BH252" s="3"/>
      <c r="BI252" s="3"/>
    </row>
    <row r="253" spans="2:61" s="129" customFormat="1" outlineLevel="1">
      <c r="B253" s="172"/>
      <c r="C253" s="173"/>
      <c r="D253" s="174"/>
      <c r="E253" s="175"/>
      <c r="F253" s="171"/>
      <c r="G253"/>
      <c r="H253"/>
      <c r="I253"/>
      <c r="J253"/>
      <c r="K253"/>
      <c r="L253"/>
      <c r="M253"/>
      <c r="N253"/>
      <c r="O253"/>
      <c r="P253"/>
      <c r="Q253"/>
      <c r="R253"/>
      <c r="S253"/>
      <c r="T253"/>
      <c r="U253"/>
      <c r="V253"/>
      <c r="W253"/>
      <c r="BF253" s="3"/>
      <c r="BG253" s="3"/>
      <c r="BH253" s="3"/>
      <c r="BI253" s="3"/>
    </row>
    <row r="254" spans="2:61" s="129" customFormat="1" outlineLevel="1">
      <c r="B254" s="167"/>
      <c r="C254" s="168"/>
      <c r="D254" s="169"/>
      <c r="E254" s="170"/>
      <c r="F254" s="171"/>
      <c r="G254"/>
      <c r="H254"/>
      <c r="I254"/>
      <c r="J254"/>
      <c r="K254"/>
      <c r="L254"/>
      <c r="M254"/>
      <c r="N254"/>
      <c r="O254"/>
      <c r="P254"/>
      <c r="Q254"/>
      <c r="R254"/>
      <c r="S254"/>
      <c r="T254"/>
      <c r="U254"/>
      <c r="V254"/>
      <c r="W254"/>
      <c r="BF254" s="3"/>
      <c r="BG254" s="3"/>
      <c r="BH254" s="3"/>
      <c r="BI254" s="3"/>
    </row>
    <row r="255" spans="2:61" s="129" customFormat="1" outlineLevel="1">
      <c r="B255" s="172"/>
      <c r="C255" s="173"/>
      <c r="D255" s="174"/>
      <c r="E255" s="175"/>
      <c r="F255" s="171"/>
      <c r="G255"/>
      <c r="H255"/>
      <c r="I255"/>
      <c r="J255"/>
      <c r="K255"/>
      <c r="L255"/>
      <c r="M255"/>
      <c r="N255"/>
      <c r="O255"/>
      <c r="P255"/>
      <c r="Q255"/>
      <c r="R255"/>
      <c r="S255"/>
      <c r="T255"/>
      <c r="U255"/>
      <c r="V255"/>
      <c r="W255"/>
      <c r="BF255" s="3"/>
      <c r="BG255" s="3"/>
      <c r="BH255" s="3"/>
      <c r="BI255" s="3"/>
    </row>
    <row r="256" spans="2:61" s="129" customFormat="1" outlineLevel="1">
      <c r="B256" s="167"/>
      <c r="C256" s="168"/>
      <c r="D256" s="169"/>
      <c r="E256" s="170"/>
      <c r="F256" s="171"/>
      <c r="G256"/>
      <c r="H256"/>
      <c r="I256"/>
      <c r="J256"/>
      <c r="K256"/>
      <c r="L256"/>
      <c r="M256"/>
      <c r="N256"/>
      <c r="O256"/>
      <c r="P256"/>
      <c r="Q256"/>
      <c r="R256"/>
      <c r="S256"/>
      <c r="T256"/>
      <c r="U256"/>
      <c r="V256"/>
      <c r="W256"/>
      <c r="BF256" s="3"/>
      <c r="BG256" s="3"/>
      <c r="BH256" s="3"/>
      <c r="BI256" s="3"/>
    </row>
    <row r="257" spans="2:61" s="129" customFormat="1" outlineLevel="1">
      <c r="B257" s="172"/>
      <c r="C257" s="173"/>
      <c r="D257" s="174"/>
      <c r="E257" s="175"/>
      <c r="F257" s="171"/>
      <c r="G257"/>
      <c r="H257"/>
      <c r="I257"/>
      <c r="J257"/>
      <c r="K257"/>
      <c r="L257"/>
      <c r="M257"/>
      <c r="N257"/>
      <c r="O257"/>
      <c r="P257"/>
      <c r="Q257"/>
      <c r="R257"/>
      <c r="S257"/>
      <c r="T257"/>
      <c r="U257"/>
      <c r="V257"/>
      <c r="W257"/>
      <c r="BF257" s="3"/>
      <c r="BG257" s="3"/>
      <c r="BH257" s="3"/>
      <c r="BI257" s="3"/>
    </row>
    <row r="258" spans="2:61" s="129" customFormat="1" outlineLevel="1">
      <c r="B258" s="167"/>
      <c r="C258" s="168"/>
      <c r="D258" s="169"/>
      <c r="E258" s="170"/>
      <c r="F258" s="171"/>
      <c r="G258"/>
      <c r="H258"/>
      <c r="I258"/>
      <c r="J258"/>
      <c r="K258"/>
      <c r="L258"/>
      <c r="M258"/>
      <c r="N258"/>
      <c r="O258"/>
      <c r="P258"/>
      <c r="Q258"/>
      <c r="R258"/>
      <c r="S258"/>
      <c r="T258"/>
      <c r="U258"/>
      <c r="V258"/>
      <c r="W258"/>
      <c r="BF258" s="3"/>
      <c r="BG258" s="3"/>
      <c r="BH258" s="3"/>
      <c r="BI258" s="3"/>
    </row>
    <row r="259" spans="2:61" s="129" customFormat="1" outlineLevel="1">
      <c r="B259" s="172"/>
      <c r="C259" s="173"/>
      <c r="D259" s="174"/>
      <c r="E259" s="175"/>
      <c r="F259" s="171"/>
      <c r="G259"/>
      <c r="H259"/>
      <c r="I259"/>
      <c r="J259"/>
      <c r="K259"/>
      <c r="L259"/>
      <c r="M259"/>
      <c r="N259"/>
      <c r="O259"/>
      <c r="P259"/>
      <c r="Q259"/>
      <c r="R259"/>
      <c r="S259"/>
      <c r="T259"/>
      <c r="U259"/>
      <c r="V259"/>
      <c r="W259"/>
      <c r="BF259" s="3"/>
      <c r="BG259" s="3"/>
      <c r="BH259" s="3"/>
      <c r="BI259" s="3"/>
    </row>
    <row r="260" spans="2:61" s="129" customFormat="1" outlineLevel="1">
      <c r="B260" s="167"/>
      <c r="C260" s="168"/>
      <c r="D260" s="169"/>
      <c r="E260" s="170"/>
      <c r="F260" s="171"/>
      <c r="G260"/>
      <c r="H260"/>
      <c r="I260"/>
      <c r="J260"/>
      <c r="K260"/>
      <c r="L260"/>
      <c r="M260"/>
      <c r="N260"/>
      <c r="O260"/>
      <c r="P260"/>
      <c r="Q260"/>
      <c r="R260"/>
      <c r="S260"/>
      <c r="T260"/>
      <c r="U260"/>
      <c r="V260"/>
      <c r="W260"/>
      <c r="BF260" s="3"/>
      <c r="BG260" s="3"/>
      <c r="BH260" s="3"/>
      <c r="BI260" s="3"/>
    </row>
    <row r="261" spans="2:61" s="129" customFormat="1" outlineLevel="1">
      <c r="B261" s="172"/>
      <c r="C261" s="173"/>
      <c r="D261" s="174"/>
      <c r="E261" s="175"/>
      <c r="F261" s="171"/>
      <c r="G261"/>
      <c r="H261"/>
      <c r="I261"/>
      <c r="J261"/>
      <c r="K261"/>
      <c r="L261"/>
      <c r="M261"/>
      <c r="N261"/>
      <c r="O261"/>
      <c r="P261"/>
      <c r="Q261"/>
      <c r="R261"/>
      <c r="S261"/>
      <c r="T261"/>
      <c r="U261"/>
      <c r="V261"/>
      <c r="W261"/>
      <c r="BF261" s="3"/>
      <c r="BG261" s="3"/>
      <c r="BH261" s="3"/>
      <c r="BI261" s="3"/>
    </row>
    <row r="262" spans="2:61" s="129" customFormat="1" outlineLevel="1">
      <c r="B262" s="167"/>
      <c r="C262" s="168"/>
      <c r="D262" s="169"/>
      <c r="E262" s="170"/>
      <c r="F262" s="171"/>
      <c r="G262"/>
      <c r="H262"/>
      <c r="I262"/>
      <c r="J262"/>
      <c r="K262"/>
      <c r="L262"/>
      <c r="M262"/>
      <c r="N262"/>
      <c r="O262"/>
      <c r="P262"/>
      <c r="Q262"/>
      <c r="R262"/>
      <c r="S262"/>
      <c r="T262"/>
      <c r="U262"/>
      <c r="V262"/>
      <c r="W262"/>
      <c r="BF262" s="3"/>
      <c r="BG262" s="3"/>
      <c r="BH262" s="3"/>
      <c r="BI262" s="3"/>
    </row>
    <row r="263" spans="2:61" s="129" customFormat="1" outlineLevel="1">
      <c r="B263" s="172"/>
      <c r="C263" s="173"/>
      <c r="D263" s="174"/>
      <c r="E263" s="175"/>
      <c r="F263" s="171"/>
      <c r="G263"/>
      <c r="H263"/>
      <c r="I263"/>
      <c r="J263"/>
      <c r="K263"/>
      <c r="L263"/>
      <c r="M263"/>
      <c r="N263"/>
      <c r="O263"/>
      <c r="P263"/>
      <c r="Q263"/>
      <c r="R263"/>
      <c r="S263"/>
      <c r="T263"/>
      <c r="U263"/>
      <c r="V263"/>
      <c r="W263"/>
      <c r="BF263" s="3"/>
      <c r="BG263" s="3"/>
      <c r="BH263" s="3"/>
      <c r="BI263" s="3"/>
    </row>
    <row r="264" spans="2:61" s="129" customFormat="1" outlineLevel="1">
      <c r="B264" s="167"/>
      <c r="C264" s="168"/>
      <c r="D264" s="169"/>
      <c r="E264" s="170"/>
      <c r="F264" s="171"/>
      <c r="G264"/>
      <c r="H264"/>
      <c r="I264"/>
      <c r="J264"/>
      <c r="K264"/>
      <c r="L264"/>
      <c r="M264"/>
      <c r="N264"/>
      <c r="O264"/>
      <c r="P264"/>
      <c r="Q264"/>
      <c r="R264"/>
      <c r="S264"/>
      <c r="T264"/>
      <c r="U264"/>
      <c r="V264"/>
      <c r="W264"/>
      <c r="BF264" s="3"/>
      <c r="BG264" s="3"/>
      <c r="BH264" s="3"/>
      <c r="BI264" s="3"/>
    </row>
    <row r="265" spans="2:61" s="129" customFormat="1" outlineLevel="1">
      <c r="B265" s="172"/>
      <c r="C265" s="173"/>
      <c r="D265" s="174"/>
      <c r="E265" s="175"/>
      <c r="F265" s="171"/>
      <c r="G265"/>
      <c r="H265"/>
      <c r="I265"/>
      <c r="J265"/>
      <c r="K265"/>
      <c r="L265"/>
      <c r="M265"/>
      <c r="N265"/>
      <c r="O265"/>
      <c r="P265"/>
      <c r="Q265"/>
      <c r="R265"/>
      <c r="S265"/>
      <c r="T265"/>
      <c r="U265"/>
      <c r="V265"/>
      <c r="W265"/>
      <c r="BF265" s="3"/>
      <c r="BG265" s="3"/>
      <c r="BH265" s="3"/>
      <c r="BI265" s="3"/>
    </row>
    <row r="266" spans="2:61" s="129" customFormat="1" outlineLevel="1">
      <c r="B266" s="167"/>
      <c r="C266" s="168"/>
      <c r="D266" s="169"/>
      <c r="E266" s="170"/>
      <c r="F266" s="171"/>
      <c r="G266"/>
      <c r="H266"/>
      <c r="I266"/>
      <c r="J266"/>
      <c r="K266"/>
      <c r="L266"/>
      <c r="M266"/>
      <c r="N266"/>
      <c r="O266"/>
      <c r="P266"/>
      <c r="Q266"/>
      <c r="R266"/>
      <c r="S266"/>
      <c r="T266"/>
      <c r="U266"/>
      <c r="V266"/>
      <c r="W266"/>
      <c r="BF266" s="3"/>
      <c r="BG266" s="3"/>
      <c r="BH266" s="3"/>
      <c r="BI266" s="3"/>
    </row>
    <row r="267" spans="2:61" s="129" customFormat="1" outlineLevel="1">
      <c r="B267" s="172"/>
      <c r="C267" s="173"/>
      <c r="D267" s="174"/>
      <c r="E267" s="175"/>
      <c r="F267" s="171"/>
      <c r="G267"/>
      <c r="H267"/>
      <c r="I267"/>
      <c r="J267"/>
      <c r="K267"/>
      <c r="L267"/>
      <c r="M267"/>
      <c r="N267"/>
      <c r="O267"/>
      <c r="P267"/>
      <c r="Q267"/>
      <c r="R267"/>
      <c r="S267"/>
      <c r="T267"/>
      <c r="U267"/>
      <c r="V267"/>
      <c r="W267"/>
      <c r="BF267" s="3"/>
      <c r="BG267" s="3"/>
      <c r="BH267" s="3"/>
      <c r="BI267" s="3"/>
    </row>
    <row r="268" spans="2:61" s="129" customFormat="1" outlineLevel="1">
      <c r="B268" s="167"/>
      <c r="C268" s="168"/>
      <c r="D268" s="169"/>
      <c r="E268" s="170"/>
      <c r="F268" s="171"/>
      <c r="G268"/>
      <c r="H268"/>
      <c r="I268"/>
      <c r="J268"/>
      <c r="K268"/>
      <c r="L268"/>
      <c r="M268"/>
      <c r="N268"/>
      <c r="O268"/>
      <c r="P268"/>
      <c r="Q268"/>
      <c r="R268"/>
      <c r="S268"/>
      <c r="T268"/>
      <c r="U268"/>
      <c r="V268"/>
      <c r="W268"/>
      <c r="BF268" s="3"/>
      <c r="BG268" s="3"/>
      <c r="BH268" s="3"/>
      <c r="BI268" s="3"/>
    </row>
    <row r="269" spans="2:61" s="129" customFormat="1" outlineLevel="1">
      <c r="B269" s="172"/>
      <c r="C269" s="173"/>
      <c r="D269" s="174"/>
      <c r="E269" s="175"/>
      <c r="F269" s="171"/>
      <c r="G269"/>
      <c r="H269"/>
      <c r="I269"/>
      <c r="J269"/>
      <c r="K269"/>
      <c r="L269"/>
      <c r="M269"/>
      <c r="N269"/>
      <c r="O269"/>
      <c r="P269"/>
      <c r="Q269"/>
      <c r="R269"/>
      <c r="S269"/>
      <c r="T269"/>
      <c r="U269"/>
      <c r="V269"/>
      <c r="W269"/>
      <c r="BF269" s="3"/>
      <c r="BG269" s="3"/>
      <c r="BH269" s="3"/>
      <c r="BI269" s="3"/>
    </row>
    <row r="270" spans="2:61" s="129" customFormat="1" outlineLevel="1">
      <c r="B270" s="167"/>
      <c r="C270" s="168"/>
      <c r="D270" s="169"/>
      <c r="E270" s="170"/>
      <c r="F270" s="171"/>
      <c r="G270"/>
      <c r="H270"/>
      <c r="I270"/>
      <c r="J270"/>
      <c r="K270"/>
      <c r="L270"/>
      <c r="M270"/>
      <c r="N270"/>
      <c r="O270"/>
      <c r="P270"/>
      <c r="Q270"/>
      <c r="R270"/>
      <c r="S270"/>
      <c r="T270"/>
      <c r="U270"/>
      <c r="V270"/>
      <c r="W270"/>
      <c r="BF270" s="3"/>
      <c r="BG270" s="3"/>
      <c r="BH270" s="3"/>
      <c r="BI270" s="3"/>
    </row>
    <row r="271" spans="2:61" s="129" customFormat="1" outlineLevel="1">
      <c r="B271" s="172"/>
      <c r="C271" s="173"/>
      <c r="D271" s="174"/>
      <c r="E271" s="175"/>
      <c r="F271" s="171"/>
      <c r="G271"/>
      <c r="H271"/>
      <c r="I271"/>
      <c r="J271"/>
      <c r="K271"/>
      <c r="L271"/>
      <c r="M271"/>
      <c r="N271"/>
      <c r="O271"/>
      <c r="P271"/>
      <c r="Q271"/>
      <c r="R271"/>
      <c r="S271"/>
      <c r="T271"/>
      <c r="U271"/>
      <c r="V271"/>
      <c r="W271"/>
      <c r="BF271" s="3"/>
      <c r="BG271" s="3"/>
      <c r="BH271" s="3"/>
      <c r="BI271" s="3"/>
    </row>
    <row r="272" spans="2:61" s="129" customFormat="1" outlineLevel="1">
      <c r="B272" s="167"/>
      <c r="C272" s="168"/>
      <c r="D272" s="169"/>
      <c r="E272" s="170"/>
      <c r="F272" s="171"/>
      <c r="G272"/>
      <c r="H272"/>
      <c r="I272"/>
      <c r="J272"/>
      <c r="K272"/>
      <c r="L272"/>
      <c r="M272"/>
      <c r="N272"/>
      <c r="O272"/>
      <c r="P272"/>
      <c r="Q272"/>
      <c r="R272"/>
      <c r="S272"/>
      <c r="T272"/>
      <c r="U272"/>
      <c r="V272"/>
      <c r="W272"/>
      <c r="BF272" s="3"/>
      <c r="BG272" s="3"/>
      <c r="BH272" s="3"/>
      <c r="BI272" s="3"/>
    </row>
    <row r="273" spans="2:61" s="129" customFormat="1" outlineLevel="1">
      <c r="B273" s="172"/>
      <c r="C273" s="173"/>
      <c r="D273" s="174"/>
      <c r="E273" s="175"/>
      <c r="F273" s="171"/>
      <c r="G273"/>
      <c r="H273"/>
      <c r="I273"/>
      <c r="J273"/>
      <c r="K273"/>
      <c r="L273"/>
      <c r="M273"/>
      <c r="N273"/>
      <c r="O273"/>
      <c r="P273"/>
      <c r="Q273"/>
      <c r="R273"/>
      <c r="S273"/>
      <c r="T273"/>
      <c r="U273"/>
      <c r="V273"/>
      <c r="W273"/>
      <c r="BF273" s="3"/>
      <c r="BG273" s="3"/>
      <c r="BH273" s="3"/>
      <c r="BI273" s="3"/>
    </row>
    <row r="274" spans="2:61" s="129" customFormat="1" outlineLevel="1">
      <c r="B274" s="167"/>
      <c r="C274" s="168"/>
      <c r="D274" s="169"/>
      <c r="E274" s="170"/>
      <c r="F274" s="171"/>
      <c r="G274"/>
      <c r="H274"/>
      <c r="I274"/>
      <c r="J274"/>
      <c r="K274"/>
      <c r="L274"/>
      <c r="M274"/>
      <c r="N274"/>
      <c r="O274"/>
      <c r="P274"/>
      <c r="Q274"/>
      <c r="R274"/>
      <c r="S274"/>
      <c r="T274"/>
      <c r="U274"/>
      <c r="V274"/>
      <c r="W274"/>
      <c r="BF274" s="3"/>
      <c r="BG274" s="3"/>
      <c r="BH274" s="3"/>
      <c r="BI274" s="3"/>
    </row>
    <row r="275" spans="2:61" s="129" customFormat="1" outlineLevel="1">
      <c r="B275" s="172"/>
      <c r="C275" s="173"/>
      <c r="D275" s="174"/>
      <c r="E275" s="175"/>
      <c r="F275" s="171"/>
      <c r="G275"/>
      <c r="H275"/>
      <c r="I275"/>
      <c r="J275"/>
      <c r="K275"/>
      <c r="L275"/>
      <c r="M275"/>
      <c r="N275"/>
      <c r="O275"/>
      <c r="P275"/>
      <c r="Q275"/>
      <c r="R275"/>
      <c r="S275"/>
      <c r="T275"/>
      <c r="U275"/>
      <c r="V275"/>
      <c r="W275"/>
      <c r="BF275" s="3"/>
      <c r="BG275" s="3"/>
      <c r="BH275" s="3"/>
      <c r="BI275" s="3"/>
    </row>
    <row r="276" spans="2:61" s="129" customFormat="1" outlineLevel="1">
      <c r="B276" s="167"/>
      <c r="C276" s="168"/>
      <c r="D276" s="169"/>
      <c r="E276" s="170"/>
      <c r="F276" s="171"/>
      <c r="G276"/>
      <c r="H276"/>
      <c r="I276"/>
      <c r="J276"/>
      <c r="K276"/>
      <c r="L276"/>
      <c r="M276"/>
      <c r="N276"/>
      <c r="O276"/>
      <c r="P276"/>
      <c r="Q276"/>
      <c r="R276"/>
      <c r="S276"/>
      <c r="T276"/>
      <c r="U276"/>
      <c r="V276"/>
      <c r="W276"/>
      <c r="BF276" s="3"/>
      <c r="BG276" s="3"/>
      <c r="BH276" s="3"/>
      <c r="BI276" s="3"/>
    </row>
    <row r="277" spans="2:61" s="129" customFormat="1" outlineLevel="1">
      <c r="B277" s="172"/>
      <c r="C277" s="173"/>
      <c r="D277" s="174"/>
      <c r="E277" s="175"/>
      <c r="F277" s="171"/>
      <c r="G277"/>
      <c r="H277"/>
      <c r="I277"/>
      <c r="J277"/>
      <c r="K277"/>
      <c r="L277"/>
      <c r="M277"/>
      <c r="N277"/>
      <c r="O277"/>
      <c r="P277"/>
      <c r="Q277"/>
      <c r="R277"/>
      <c r="S277"/>
      <c r="T277"/>
      <c r="U277"/>
      <c r="V277"/>
      <c r="W277"/>
      <c r="BF277" s="3"/>
      <c r="BG277" s="3"/>
      <c r="BH277" s="3"/>
      <c r="BI277" s="3"/>
    </row>
    <row r="278" spans="2:61" s="129" customFormat="1" outlineLevel="1">
      <c r="B278" s="167"/>
      <c r="C278" s="168"/>
      <c r="D278" s="169"/>
      <c r="E278" s="170"/>
      <c r="F278" s="171"/>
      <c r="G278"/>
      <c r="H278"/>
      <c r="I278"/>
      <c r="J278"/>
      <c r="K278"/>
      <c r="L278"/>
      <c r="M278"/>
      <c r="N278"/>
      <c r="O278"/>
      <c r="P278"/>
      <c r="Q278"/>
      <c r="R278"/>
      <c r="S278"/>
      <c r="T278"/>
      <c r="U278"/>
      <c r="V278"/>
      <c r="W278"/>
      <c r="BF278" s="3"/>
      <c r="BG278" s="3"/>
      <c r="BH278" s="3"/>
      <c r="BI278" s="3"/>
    </row>
    <row r="279" spans="2:61" s="129" customFormat="1" outlineLevel="1">
      <c r="B279" s="172"/>
      <c r="C279" s="173"/>
      <c r="D279" s="174"/>
      <c r="E279" s="175"/>
      <c r="F279" s="171"/>
      <c r="G279"/>
      <c r="H279"/>
      <c r="I279"/>
      <c r="J279"/>
      <c r="K279"/>
      <c r="L279"/>
      <c r="M279"/>
      <c r="N279"/>
      <c r="O279"/>
      <c r="P279"/>
      <c r="Q279"/>
      <c r="R279"/>
      <c r="S279"/>
      <c r="T279"/>
      <c r="U279"/>
      <c r="V279"/>
      <c r="W279"/>
      <c r="BF279" s="3"/>
      <c r="BG279" s="3"/>
      <c r="BH279" s="3"/>
      <c r="BI279" s="3"/>
    </row>
    <row r="280" spans="2:61" s="129" customFormat="1" outlineLevel="1">
      <c r="B280" s="167"/>
      <c r="C280" s="168"/>
      <c r="D280" s="169"/>
      <c r="E280" s="170"/>
      <c r="F280" s="171"/>
      <c r="G280"/>
      <c r="H280"/>
      <c r="I280"/>
      <c r="J280"/>
      <c r="K280"/>
      <c r="L280"/>
      <c r="M280"/>
      <c r="N280"/>
      <c r="O280"/>
      <c r="P280"/>
      <c r="Q280"/>
      <c r="R280"/>
      <c r="S280"/>
      <c r="T280"/>
      <c r="U280"/>
      <c r="V280"/>
      <c r="W280"/>
      <c r="BF280" s="3"/>
      <c r="BG280" s="3"/>
      <c r="BH280" s="3"/>
      <c r="BI280" s="3"/>
    </row>
    <row r="281" spans="2:61" s="129" customFormat="1" outlineLevel="1">
      <c r="B281" s="172"/>
      <c r="C281" s="173"/>
      <c r="D281" s="174"/>
      <c r="E281" s="175"/>
      <c r="F281" s="171"/>
      <c r="G281"/>
      <c r="H281"/>
      <c r="I281"/>
      <c r="J281"/>
      <c r="K281"/>
      <c r="L281"/>
      <c r="M281"/>
      <c r="N281"/>
      <c r="O281"/>
      <c r="P281"/>
      <c r="Q281"/>
      <c r="R281"/>
      <c r="S281"/>
      <c r="T281"/>
      <c r="U281"/>
      <c r="V281"/>
      <c r="W281"/>
      <c r="BF281" s="3"/>
      <c r="BG281" s="3"/>
      <c r="BH281" s="3"/>
      <c r="BI281" s="3"/>
    </row>
    <row r="282" spans="2:61" s="129" customFormat="1" outlineLevel="1">
      <c r="B282" s="167"/>
      <c r="C282" s="168"/>
      <c r="D282" s="169"/>
      <c r="E282" s="170"/>
      <c r="F282" s="171"/>
      <c r="G282"/>
      <c r="H282"/>
      <c r="I282"/>
      <c r="J282"/>
      <c r="K282"/>
      <c r="L282"/>
      <c r="M282"/>
      <c r="N282"/>
      <c r="O282"/>
      <c r="P282"/>
      <c r="Q282"/>
      <c r="R282"/>
      <c r="S282"/>
      <c r="T282"/>
      <c r="U282"/>
      <c r="V282"/>
      <c r="W282"/>
      <c r="BF282" s="3"/>
      <c r="BG282" s="3"/>
      <c r="BH282" s="3"/>
      <c r="BI282" s="3"/>
    </row>
    <row r="283" spans="2:61" s="129" customFormat="1" outlineLevel="1">
      <c r="B283" s="172"/>
      <c r="C283" s="173"/>
      <c r="D283" s="174"/>
      <c r="E283" s="175"/>
      <c r="F283" s="171"/>
      <c r="G283"/>
      <c r="H283"/>
      <c r="I283"/>
      <c r="J283"/>
      <c r="K283"/>
      <c r="L283"/>
      <c r="M283"/>
      <c r="N283"/>
      <c r="O283"/>
      <c r="P283"/>
      <c r="Q283"/>
      <c r="R283"/>
      <c r="S283"/>
      <c r="T283"/>
      <c r="U283"/>
      <c r="V283"/>
      <c r="W283"/>
      <c r="BF283" s="3"/>
      <c r="BG283" s="3"/>
      <c r="BH283" s="3"/>
      <c r="BI283" s="3"/>
    </row>
    <row r="284" spans="2:61" s="129" customFormat="1" outlineLevel="1">
      <c r="B284" s="167"/>
      <c r="C284" s="168"/>
      <c r="D284" s="169"/>
      <c r="E284" s="170"/>
      <c r="F284" s="171"/>
      <c r="G284"/>
      <c r="H284"/>
      <c r="I284"/>
      <c r="J284"/>
      <c r="K284"/>
      <c r="L284"/>
      <c r="M284"/>
      <c r="N284"/>
      <c r="O284"/>
      <c r="P284"/>
      <c r="Q284"/>
      <c r="R284"/>
      <c r="S284"/>
      <c r="T284"/>
      <c r="U284"/>
      <c r="V284"/>
      <c r="W284"/>
      <c r="BF284" s="3"/>
      <c r="BG284" s="3"/>
      <c r="BH284" s="3"/>
      <c r="BI284" s="3"/>
    </row>
    <row r="285" spans="2:61" s="129" customFormat="1" outlineLevel="1">
      <c r="B285" s="172"/>
      <c r="C285" s="173"/>
      <c r="D285" s="174"/>
      <c r="E285" s="175"/>
      <c r="F285" s="171"/>
      <c r="G285"/>
      <c r="H285"/>
      <c r="I285"/>
      <c r="J285"/>
      <c r="K285"/>
      <c r="L285"/>
      <c r="M285"/>
      <c r="N285"/>
      <c r="O285"/>
      <c r="P285"/>
      <c r="Q285"/>
      <c r="R285"/>
      <c r="S285"/>
      <c r="T285"/>
      <c r="U285"/>
      <c r="V285"/>
      <c r="W285"/>
      <c r="BF285" s="3"/>
      <c r="BG285" s="3"/>
      <c r="BH285" s="3"/>
      <c r="BI285" s="3"/>
    </row>
    <row r="286" spans="2:61" s="129" customFormat="1" outlineLevel="1">
      <c r="B286" s="167"/>
      <c r="C286" s="168"/>
      <c r="D286" s="169"/>
      <c r="E286" s="170"/>
      <c r="F286" s="171"/>
      <c r="G286"/>
      <c r="H286"/>
      <c r="I286"/>
      <c r="J286"/>
      <c r="K286"/>
      <c r="L286"/>
      <c r="M286"/>
      <c r="N286"/>
      <c r="O286"/>
      <c r="P286"/>
      <c r="Q286"/>
      <c r="R286"/>
      <c r="S286"/>
      <c r="T286"/>
      <c r="U286"/>
      <c r="V286"/>
      <c r="W286"/>
      <c r="BF286" s="3"/>
      <c r="BG286" s="3"/>
      <c r="BH286" s="3"/>
      <c r="BI286" s="3"/>
    </row>
    <row r="287" spans="2:61" s="129" customFormat="1" outlineLevel="1">
      <c r="B287" s="172"/>
      <c r="C287" s="173"/>
      <c r="D287" s="174"/>
      <c r="E287" s="175"/>
      <c r="F287" s="171"/>
      <c r="G287"/>
      <c r="H287"/>
      <c r="I287"/>
      <c r="J287"/>
      <c r="K287"/>
      <c r="L287"/>
      <c r="M287"/>
      <c r="N287"/>
      <c r="O287"/>
      <c r="P287"/>
      <c r="Q287"/>
      <c r="R287"/>
      <c r="S287"/>
      <c r="T287"/>
      <c r="U287"/>
      <c r="V287"/>
      <c r="W287"/>
      <c r="BF287" s="3"/>
      <c r="BG287" s="3"/>
      <c r="BH287" s="3"/>
      <c r="BI287" s="3"/>
    </row>
    <row r="288" spans="2:61" s="129" customFormat="1" outlineLevel="1">
      <c r="B288" s="167"/>
      <c r="C288" s="168"/>
      <c r="D288" s="169"/>
      <c r="E288" s="170"/>
      <c r="F288" s="171"/>
      <c r="G288"/>
      <c r="H288"/>
      <c r="I288"/>
      <c r="J288"/>
      <c r="K288"/>
      <c r="L288"/>
      <c r="M288"/>
      <c r="N288"/>
      <c r="O288"/>
      <c r="P288"/>
      <c r="Q288"/>
      <c r="R288"/>
      <c r="S288"/>
      <c r="T288"/>
      <c r="U288"/>
      <c r="V288"/>
      <c r="W288"/>
      <c r="BF288" s="3"/>
      <c r="BG288" s="3"/>
      <c r="BH288" s="3"/>
      <c r="BI288" s="3"/>
    </row>
    <row r="289" spans="2:61" s="129" customFormat="1" outlineLevel="1">
      <c r="B289" s="172"/>
      <c r="C289" s="173"/>
      <c r="D289" s="174"/>
      <c r="E289" s="175"/>
      <c r="F289" s="171"/>
      <c r="G289"/>
      <c r="H289"/>
      <c r="I289"/>
      <c r="J289"/>
      <c r="K289"/>
      <c r="L289"/>
      <c r="M289"/>
      <c r="N289"/>
      <c r="O289"/>
      <c r="P289"/>
      <c r="Q289"/>
      <c r="R289"/>
      <c r="S289"/>
      <c r="T289"/>
      <c r="U289"/>
      <c r="V289"/>
      <c r="W289"/>
      <c r="BF289" s="3"/>
      <c r="BG289" s="3"/>
      <c r="BH289" s="3"/>
      <c r="BI289" s="3"/>
    </row>
    <row r="290" spans="2:61" s="129" customFormat="1" outlineLevel="1">
      <c r="B290" s="167"/>
      <c r="C290" s="168"/>
      <c r="D290" s="169"/>
      <c r="E290" s="170"/>
      <c r="F290" s="171"/>
      <c r="G290"/>
      <c r="H290"/>
      <c r="I290"/>
      <c r="J290"/>
      <c r="K290"/>
      <c r="L290"/>
      <c r="M290"/>
      <c r="N290"/>
      <c r="O290"/>
      <c r="P290"/>
      <c r="Q290"/>
      <c r="R290"/>
      <c r="S290"/>
      <c r="T290"/>
      <c r="U290"/>
      <c r="V290"/>
      <c r="W290"/>
      <c r="BF290" s="3"/>
      <c r="BG290" s="3"/>
      <c r="BH290" s="3"/>
      <c r="BI290" s="3"/>
    </row>
    <row r="291" spans="2:61" s="129" customFormat="1" outlineLevel="1">
      <c r="B291" s="172"/>
      <c r="C291" s="173"/>
      <c r="D291" s="174"/>
      <c r="E291" s="175"/>
      <c r="F291" s="171"/>
      <c r="G291"/>
      <c r="H291"/>
      <c r="I291"/>
      <c r="J291"/>
      <c r="K291"/>
      <c r="L291"/>
      <c r="M291"/>
      <c r="N291"/>
      <c r="O291"/>
      <c r="P291"/>
      <c r="Q291"/>
      <c r="R291"/>
      <c r="S291"/>
      <c r="T291"/>
      <c r="U291"/>
      <c r="V291"/>
      <c r="W291"/>
      <c r="BF291" s="3"/>
      <c r="BG291" s="3"/>
      <c r="BH291" s="3"/>
      <c r="BI291" s="3"/>
    </row>
    <row r="292" spans="2:61" s="129" customFormat="1" outlineLevel="1">
      <c r="B292" s="167"/>
      <c r="C292" s="168"/>
      <c r="D292" s="169"/>
      <c r="E292" s="170"/>
      <c r="F292" s="171"/>
      <c r="G292"/>
      <c r="H292"/>
      <c r="I292"/>
      <c r="J292"/>
      <c r="K292"/>
      <c r="L292"/>
      <c r="M292"/>
      <c r="N292"/>
      <c r="O292"/>
      <c r="P292"/>
      <c r="Q292"/>
      <c r="R292"/>
      <c r="S292"/>
      <c r="T292"/>
      <c r="U292"/>
      <c r="V292"/>
      <c r="W292"/>
      <c r="BF292" s="3"/>
      <c r="BG292" s="3"/>
      <c r="BH292" s="3"/>
      <c r="BI292" s="3"/>
    </row>
    <row r="293" spans="2:61" s="129" customFormat="1" outlineLevel="1">
      <c r="B293" s="172"/>
      <c r="C293" s="173"/>
      <c r="D293" s="174"/>
      <c r="E293" s="175"/>
      <c r="F293" s="171"/>
      <c r="G293"/>
      <c r="H293"/>
      <c r="I293"/>
      <c r="J293"/>
      <c r="K293"/>
      <c r="L293"/>
      <c r="M293"/>
      <c r="N293"/>
      <c r="O293"/>
      <c r="P293"/>
      <c r="Q293"/>
      <c r="R293"/>
      <c r="S293"/>
      <c r="T293"/>
      <c r="U293"/>
      <c r="V293"/>
      <c r="W293"/>
      <c r="BF293" s="3"/>
      <c r="BG293" s="3"/>
      <c r="BH293" s="3"/>
      <c r="BI293" s="3"/>
    </row>
    <row r="294" spans="2:61" s="129" customFormat="1" outlineLevel="1">
      <c r="B294" s="167"/>
      <c r="C294" s="168"/>
      <c r="D294" s="169"/>
      <c r="E294" s="170"/>
      <c r="F294" s="171"/>
      <c r="G294"/>
      <c r="H294"/>
      <c r="I294"/>
      <c r="J294"/>
      <c r="K294"/>
      <c r="L294"/>
      <c r="M294"/>
      <c r="N294"/>
      <c r="O294"/>
      <c r="P294"/>
      <c r="Q294"/>
      <c r="R294"/>
      <c r="S294"/>
      <c r="T294"/>
      <c r="U294"/>
      <c r="V294"/>
      <c r="W294"/>
      <c r="BF294" s="3"/>
      <c r="BG294" s="3"/>
      <c r="BH294" s="3"/>
      <c r="BI294" s="3"/>
    </row>
    <row r="295" spans="2:61" s="129" customFormat="1" outlineLevel="1">
      <c r="B295" s="172"/>
      <c r="C295" s="173"/>
      <c r="D295" s="174"/>
      <c r="E295" s="175"/>
      <c r="F295" s="171"/>
      <c r="G295"/>
      <c r="H295"/>
      <c r="I295"/>
      <c r="J295"/>
      <c r="K295"/>
      <c r="L295"/>
      <c r="M295"/>
      <c r="N295"/>
      <c r="O295"/>
      <c r="P295"/>
      <c r="Q295"/>
      <c r="R295"/>
      <c r="S295"/>
      <c r="T295"/>
      <c r="U295"/>
      <c r="V295"/>
      <c r="W295"/>
      <c r="BF295" s="3"/>
      <c r="BG295" s="3"/>
      <c r="BH295" s="3"/>
      <c r="BI295" s="3"/>
    </row>
    <row r="296" spans="2:61" s="129" customFormat="1" outlineLevel="1">
      <c r="B296" s="167"/>
      <c r="C296" s="168"/>
      <c r="D296" s="169"/>
      <c r="E296" s="170"/>
      <c r="F296" s="171"/>
      <c r="G296"/>
      <c r="H296"/>
      <c r="I296"/>
      <c r="J296"/>
      <c r="K296"/>
      <c r="L296"/>
      <c r="M296"/>
      <c r="N296"/>
      <c r="O296"/>
      <c r="P296"/>
      <c r="Q296"/>
      <c r="R296"/>
      <c r="S296"/>
      <c r="T296"/>
      <c r="U296"/>
      <c r="V296"/>
      <c r="W296"/>
      <c r="BF296" s="3"/>
      <c r="BG296" s="3"/>
      <c r="BH296" s="3"/>
      <c r="BI296" s="3"/>
    </row>
    <row r="297" spans="2:61" s="129" customFormat="1" outlineLevel="1">
      <c r="B297" s="172"/>
      <c r="C297" s="173"/>
      <c r="D297" s="174"/>
      <c r="E297" s="175"/>
      <c r="F297" s="171"/>
      <c r="G297"/>
      <c r="H297"/>
      <c r="I297"/>
      <c r="J297"/>
      <c r="K297"/>
      <c r="L297"/>
      <c r="M297"/>
      <c r="N297"/>
      <c r="O297"/>
      <c r="P297"/>
      <c r="Q297"/>
      <c r="R297"/>
      <c r="S297"/>
      <c r="T297"/>
      <c r="U297"/>
      <c r="V297"/>
      <c r="W297"/>
      <c r="BF297" s="3"/>
      <c r="BG297" s="3"/>
      <c r="BH297" s="3"/>
      <c r="BI297" s="3"/>
    </row>
    <row r="298" spans="2:61" s="129" customFormat="1" outlineLevel="1">
      <c r="B298" s="167"/>
      <c r="C298" s="168"/>
      <c r="D298" s="169"/>
      <c r="E298" s="170"/>
      <c r="F298" s="171"/>
      <c r="G298"/>
      <c r="H298"/>
      <c r="I298"/>
      <c r="J298"/>
      <c r="K298"/>
      <c r="L298"/>
      <c r="M298"/>
      <c r="N298"/>
      <c r="O298"/>
      <c r="P298"/>
      <c r="Q298"/>
      <c r="R298"/>
      <c r="S298"/>
      <c r="T298"/>
      <c r="U298"/>
      <c r="V298"/>
      <c r="W298"/>
      <c r="BF298" s="3"/>
      <c r="BG298" s="3"/>
      <c r="BH298" s="3"/>
      <c r="BI298" s="3"/>
    </row>
    <row r="299" spans="2:61" s="129" customFormat="1" outlineLevel="1">
      <c r="B299" s="172"/>
      <c r="C299" s="173"/>
      <c r="D299" s="174"/>
      <c r="E299" s="175"/>
      <c r="F299" s="171"/>
      <c r="G299"/>
      <c r="H299"/>
      <c r="I299"/>
      <c r="J299"/>
      <c r="K299"/>
      <c r="L299"/>
      <c r="M299"/>
      <c r="N299"/>
      <c r="O299"/>
      <c r="P299"/>
      <c r="Q299"/>
      <c r="R299"/>
      <c r="S299"/>
      <c r="T299"/>
      <c r="U299"/>
      <c r="V299"/>
      <c r="W299"/>
      <c r="BF299" s="3"/>
      <c r="BG299" s="3"/>
      <c r="BH299" s="3"/>
      <c r="BI299" s="3"/>
    </row>
    <row r="300" spans="2:61" s="129" customFormat="1" outlineLevel="1">
      <c r="B300" s="167"/>
      <c r="C300" s="168"/>
      <c r="D300" s="169"/>
      <c r="E300" s="170"/>
      <c r="F300" s="171"/>
      <c r="G300"/>
      <c r="H300"/>
      <c r="I300"/>
      <c r="J300"/>
      <c r="K300"/>
      <c r="L300"/>
      <c r="M300"/>
      <c r="N300"/>
      <c r="O300"/>
      <c r="P300"/>
      <c r="Q300"/>
      <c r="R300"/>
      <c r="S300"/>
      <c r="T300"/>
      <c r="U300"/>
      <c r="V300"/>
      <c r="W300"/>
      <c r="BF300" s="3"/>
      <c r="BG300" s="3"/>
      <c r="BH300" s="3"/>
      <c r="BI300" s="3"/>
    </row>
    <row r="301" spans="2:61" s="129" customFormat="1" outlineLevel="1">
      <c r="B301" s="172"/>
      <c r="C301" s="173"/>
      <c r="D301" s="174"/>
      <c r="E301" s="175"/>
      <c r="F301" s="171"/>
      <c r="G301"/>
      <c r="H301"/>
      <c r="I301"/>
      <c r="J301"/>
      <c r="K301"/>
      <c r="L301"/>
      <c r="M301"/>
      <c r="N301"/>
      <c r="O301"/>
      <c r="P301"/>
      <c r="Q301"/>
      <c r="R301"/>
      <c r="S301"/>
      <c r="T301"/>
      <c r="U301"/>
      <c r="V301"/>
      <c r="W301"/>
      <c r="BF301" s="3"/>
      <c r="BG301" s="3"/>
      <c r="BH301" s="3"/>
      <c r="BI301" s="3"/>
    </row>
    <row r="302" spans="2:61" s="129" customFormat="1" outlineLevel="1">
      <c r="B302" s="167"/>
      <c r="C302" s="168"/>
      <c r="D302" s="169"/>
      <c r="E302" s="170"/>
      <c r="F302" s="171"/>
      <c r="G302"/>
      <c r="H302"/>
      <c r="I302"/>
      <c r="J302"/>
      <c r="K302"/>
      <c r="L302"/>
      <c r="M302"/>
      <c r="N302"/>
      <c r="O302"/>
      <c r="P302"/>
      <c r="Q302"/>
      <c r="R302"/>
      <c r="S302"/>
      <c r="T302"/>
      <c r="U302"/>
      <c r="V302"/>
      <c r="W302"/>
      <c r="BF302" s="3"/>
      <c r="BG302" s="3"/>
      <c r="BH302" s="3"/>
      <c r="BI302" s="3"/>
    </row>
    <row r="303" spans="2:61" s="129" customFormat="1" outlineLevel="1">
      <c r="B303" s="172"/>
      <c r="C303" s="173"/>
      <c r="D303" s="174"/>
      <c r="E303" s="175"/>
      <c r="F303" s="171"/>
      <c r="G303"/>
      <c r="H303"/>
      <c r="I303"/>
      <c r="J303"/>
      <c r="K303"/>
      <c r="L303"/>
      <c r="M303"/>
      <c r="N303"/>
      <c r="O303"/>
      <c r="P303"/>
      <c r="Q303"/>
      <c r="R303"/>
      <c r="S303"/>
      <c r="T303"/>
      <c r="U303"/>
      <c r="V303"/>
      <c r="W303"/>
      <c r="BF303" s="3"/>
      <c r="BG303" s="3"/>
      <c r="BH303" s="3"/>
      <c r="BI303" s="3"/>
    </row>
    <row r="304" spans="2:61" s="129" customFormat="1" outlineLevel="1">
      <c r="B304" s="167"/>
      <c r="C304" s="168"/>
      <c r="D304" s="169"/>
      <c r="E304" s="170"/>
      <c r="F304" s="171"/>
      <c r="G304"/>
      <c r="H304"/>
      <c r="I304"/>
      <c r="J304"/>
      <c r="K304"/>
      <c r="L304"/>
      <c r="M304"/>
      <c r="N304"/>
      <c r="O304"/>
      <c r="P304"/>
      <c r="Q304"/>
      <c r="R304"/>
      <c r="S304"/>
      <c r="T304"/>
      <c r="U304"/>
      <c r="V304"/>
      <c r="W304"/>
      <c r="BF304" s="3"/>
      <c r="BG304" s="3"/>
      <c r="BH304" s="3"/>
      <c r="BI304" s="3"/>
    </row>
    <row r="305" spans="2:61" s="129" customFormat="1" outlineLevel="1">
      <c r="B305" s="172"/>
      <c r="C305" s="173"/>
      <c r="D305" s="174"/>
      <c r="E305" s="175"/>
      <c r="F305" s="171"/>
      <c r="G305"/>
      <c r="H305"/>
      <c r="I305"/>
      <c r="J305"/>
      <c r="K305"/>
      <c r="L305"/>
      <c r="M305"/>
      <c r="N305"/>
      <c r="O305"/>
      <c r="P305"/>
      <c r="Q305"/>
      <c r="R305"/>
      <c r="S305"/>
      <c r="T305"/>
      <c r="U305"/>
      <c r="V305"/>
      <c r="W305"/>
      <c r="BF305" s="3"/>
      <c r="BG305" s="3"/>
      <c r="BH305" s="3"/>
      <c r="BI305" s="3"/>
    </row>
    <row r="306" spans="2:61" s="129" customFormat="1" outlineLevel="1">
      <c r="B306" s="167"/>
      <c r="C306" s="168"/>
      <c r="D306" s="169"/>
      <c r="E306" s="170"/>
      <c r="F306" s="171"/>
      <c r="G306"/>
      <c r="H306"/>
      <c r="I306"/>
      <c r="J306"/>
      <c r="K306"/>
      <c r="L306"/>
      <c r="M306"/>
      <c r="N306"/>
      <c r="O306"/>
      <c r="P306"/>
      <c r="Q306"/>
      <c r="R306"/>
      <c r="S306"/>
      <c r="T306"/>
      <c r="U306"/>
      <c r="V306"/>
      <c r="W306"/>
      <c r="BF306" s="3"/>
      <c r="BG306" s="3"/>
      <c r="BH306" s="3"/>
      <c r="BI306" s="3"/>
    </row>
    <row r="307" spans="2:61" s="129" customFormat="1" outlineLevel="1">
      <c r="B307" s="172"/>
      <c r="C307" s="173"/>
      <c r="D307" s="174"/>
      <c r="E307" s="175"/>
      <c r="F307" s="171"/>
      <c r="G307"/>
      <c r="H307"/>
      <c r="I307"/>
      <c r="J307"/>
      <c r="K307"/>
      <c r="L307"/>
      <c r="M307"/>
      <c r="N307"/>
      <c r="O307"/>
      <c r="P307"/>
      <c r="Q307"/>
      <c r="R307"/>
      <c r="S307"/>
      <c r="T307"/>
      <c r="U307"/>
      <c r="V307"/>
      <c r="W307"/>
      <c r="BF307" s="3"/>
      <c r="BG307" s="3"/>
      <c r="BH307" s="3"/>
      <c r="BI307" s="3"/>
    </row>
    <row r="308" spans="2:61" s="129" customFormat="1" outlineLevel="1">
      <c r="B308" s="167"/>
      <c r="C308" s="168"/>
      <c r="D308" s="169"/>
      <c r="E308" s="170"/>
      <c r="F308" s="171"/>
      <c r="G308"/>
      <c r="H308"/>
      <c r="I308"/>
      <c r="J308"/>
      <c r="K308"/>
      <c r="L308"/>
      <c r="M308"/>
      <c r="N308"/>
      <c r="O308"/>
      <c r="P308"/>
      <c r="Q308"/>
      <c r="R308"/>
      <c r="S308"/>
      <c r="T308"/>
      <c r="U308"/>
      <c r="V308"/>
      <c r="W308"/>
      <c r="BF308" s="3"/>
      <c r="BG308" s="3"/>
      <c r="BH308" s="3"/>
      <c r="BI308" s="3"/>
    </row>
    <row r="309" spans="2:61" s="129" customFormat="1" outlineLevel="1">
      <c r="B309" s="172"/>
      <c r="C309" s="173"/>
      <c r="D309" s="174"/>
      <c r="E309" s="175"/>
      <c r="F309" s="171"/>
      <c r="G309"/>
      <c r="H309"/>
      <c r="I309"/>
      <c r="J309"/>
      <c r="K309"/>
      <c r="L309"/>
      <c r="M309"/>
      <c r="N309"/>
      <c r="O309"/>
      <c r="P309"/>
      <c r="Q309"/>
      <c r="R309"/>
      <c r="S309"/>
      <c r="T309"/>
      <c r="U309"/>
      <c r="V309"/>
      <c r="W309"/>
      <c r="BF309" s="3"/>
      <c r="BG309" s="3"/>
      <c r="BH309" s="3"/>
      <c r="BI309" s="3"/>
    </row>
    <row r="310" spans="2:61" s="129" customFormat="1" outlineLevel="1">
      <c r="B310" s="167"/>
      <c r="C310" s="168"/>
      <c r="D310" s="169"/>
      <c r="E310" s="170"/>
      <c r="F310" s="171"/>
      <c r="G310"/>
      <c r="H310"/>
      <c r="I310"/>
      <c r="J310"/>
      <c r="K310"/>
      <c r="L310"/>
      <c r="M310"/>
      <c r="N310"/>
      <c r="O310"/>
      <c r="P310"/>
      <c r="Q310"/>
      <c r="R310"/>
      <c r="S310"/>
      <c r="T310"/>
      <c r="U310"/>
      <c r="V310"/>
      <c r="W310"/>
      <c r="BF310" s="3"/>
      <c r="BG310" s="3"/>
      <c r="BH310" s="3"/>
      <c r="BI310" s="3"/>
    </row>
    <row r="311" spans="2:61" s="129" customFormat="1" outlineLevel="1">
      <c r="B311" s="172"/>
      <c r="C311" s="173"/>
      <c r="D311" s="174"/>
      <c r="E311" s="175"/>
      <c r="F311" s="171"/>
      <c r="G311"/>
      <c r="H311"/>
      <c r="I311"/>
      <c r="J311"/>
      <c r="K311"/>
      <c r="L311"/>
      <c r="M311"/>
      <c r="N311"/>
      <c r="O311"/>
      <c r="P311"/>
      <c r="Q311"/>
      <c r="R311"/>
      <c r="S311"/>
      <c r="T311"/>
      <c r="U311"/>
      <c r="V311"/>
      <c r="W311"/>
      <c r="BF311" s="3"/>
      <c r="BG311" s="3"/>
      <c r="BH311" s="3"/>
      <c r="BI311" s="3"/>
    </row>
    <row r="312" spans="2:61" s="129" customFormat="1" outlineLevel="1">
      <c r="B312" s="167"/>
      <c r="C312" s="168"/>
      <c r="D312" s="169"/>
      <c r="E312" s="170"/>
      <c r="F312" s="171"/>
      <c r="G312"/>
      <c r="H312"/>
      <c r="I312"/>
      <c r="J312"/>
      <c r="K312"/>
      <c r="L312"/>
      <c r="M312"/>
      <c r="N312"/>
      <c r="O312"/>
      <c r="P312"/>
      <c r="Q312"/>
      <c r="R312"/>
      <c r="S312"/>
      <c r="T312"/>
      <c r="U312"/>
      <c r="V312"/>
      <c r="W312"/>
      <c r="BF312" s="3"/>
      <c r="BG312" s="3"/>
      <c r="BH312" s="3"/>
      <c r="BI312" s="3"/>
    </row>
    <row r="313" spans="2:61" s="129" customFormat="1" outlineLevel="1">
      <c r="B313" s="172"/>
      <c r="C313" s="173"/>
      <c r="D313" s="174"/>
      <c r="E313" s="175"/>
      <c r="F313" s="171"/>
      <c r="G313"/>
      <c r="H313"/>
      <c r="I313"/>
      <c r="J313"/>
      <c r="K313"/>
      <c r="L313"/>
      <c r="M313"/>
      <c r="N313"/>
      <c r="O313"/>
      <c r="P313"/>
      <c r="Q313"/>
      <c r="R313"/>
      <c r="S313"/>
      <c r="T313"/>
      <c r="U313"/>
      <c r="V313"/>
      <c r="W313"/>
      <c r="BF313" s="3"/>
      <c r="BG313" s="3"/>
      <c r="BH313" s="3"/>
      <c r="BI313" s="3"/>
    </row>
    <row r="314" spans="2:61" s="129" customFormat="1" outlineLevel="1">
      <c r="B314" s="167"/>
      <c r="C314" s="168"/>
      <c r="D314" s="169"/>
      <c r="E314" s="170"/>
      <c r="F314" s="171"/>
      <c r="G314"/>
      <c r="H314"/>
      <c r="I314"/>
      <c r="J314"/>
      <c r="K314"/>
      <c r="L314"/>
      <c r="M314"/>
      <c r="N314"/>
      <c r="O314"/>
      <c r="P314"/>
      <c r="Q314"/>
      <c r="R314"/>
      <c r="S314"/>
      <c r="T314"/>
      <c r="U314"/>
      <c r="V314"/>
      <c r="W314"/>
      <c r="BF314" s="3"/>
      <c r="BG314" s="3"/>
      <c r="BH314" s="3"/>
      <c r="BI314" s="3"/>
    </row>
    <row r="315" spans="2:61" s="129" customFormat="1" outlineLevel="1">
      <c r="B315" s="172"/>
      <c r="C315" s="173"/>
      <c r="D315" s="174"/>
      <c r="E315" s="175"/>
      <c r="F315" s="171"/>
      <c r="G315"/>
      <c r="H315"/>
      <c r="I315"/>
      <c r="J315"/>
      <c r="K315"/>
      <c r="L315"/>
      <c r="M315"/>
      <c r="N315"/>
      <c r="O315"/>
      <c r="P315"/>
      <c r="Q315"/>
      <c r="R315"/>
      <c r="S315"/>
      <c r="T315"/>
      <c r="U315"/>
      <c r="V315"/>
      <c r="W315"/>
      <c r="BF315" s="3"/>
      <c r="BG315" s="3"/>
      <c r="BH315" s="3"/>
      <c r="BI315" s="3"/>
    </row>
    <row r="316" spans="2:61" s="129" customFormat="1" outlineLevel="1">
      <c r="B316" s="167"/>
      <c r="C316" s="168"/>
      <c r="D316" s="169"/>
      <c r="E316" s="170"/>
      <c r="F316" s="171"/>
      <c r="G316"/>
      <c r="H316"/>
      <c r="I316"/>
      <c r="J316"/>
      <c r="K316"/>
      <c r="L316"/>
      <c r="M316"/>
      <c r="N316"/>
      <c r="O316"/>
      <c r="P316"/>
      <c r="Q316"/>
      <c r="R316"/>
      <c r="S316"/>
      <c r="T316"/>
      <c r="U316"/>
      <c r="V316"/>
      <c r="W316"/>
      <c r="BF316" s="3"/>
      <c r="BG316" s="3"/>
      <c r="BH316" s="3"/>
      <c r="BI316" s="3"/>
    </row>
    <row r="317" spans="2:61" s="129" customFormat="1" outlineLevel="1">
      <c r="B317" s="172"/>
      <c r="C317" s="173"/>
      <c r="D317" s="174"/>
      <c r="E317" s="175"/>
      <c r="F317" s="171"/>
      <c r="G317"/>
      <c r="H317"/>
      <c r="I317"/>
      <c r="J317"/>
      <c r="K317"/>
      <c r="L317"/>
      <c r="M317"/>
      <c r="N317"/>
      <c r="O317"/>
      <c r="P317"/>
      <c r="Q317"/>
      <c r="R317"/>
      <c r="S317"/>
      <c r="T317"/>
      <c r="U317"/>
      <c r="V317"/>
      <c r="W317"/>
      <c r="BF317" s="3"/>
      <c r="BG317" s="3"/>
      <c r="BH317" s="3"/>
      <c r="BI317" s="3"/>
    </row>
    <row r="318" spans="2:61" s="129" customFormat="1" outlineLevel="1">
      <c r="B318" s="167"/>
      <c r="C318" s="168"/>
      <c r="D318" s="169"/>
      <c r="E318" s="170"/>
      <c r="F318" s="171"/>
      <c r="G318"/>
      <c r="H318"/>
      <c r="I318"/>
      <c r="J318"/>
      <c r="K318"/>
      <c r="L318"/>
      <c r="M318"/>
      <c r="N318"/>
      <c r="O318"/>
      <c r="P318"/>
      <c r="Q318"/>
      <c r="R318"/>
      <c r="S318"/>
      <c r="T318"/>
      <c r="U318"/>
      <c r="V318"/>
      <c r="W318"/>
      <c r="BF318" s="3"/>
      <c r="BG318" s="3"/>
      <c r="BH318" s="3"/>
      <c r="BI318" s="3"/>
    </row>
    <row r="319" spans="2:61" s="129" customFormat="1" outlineLevel="1">
      <c r="B319" s="172"/>
      <c r="C319" s="173"/>
      <c r="D319" s="174"/>
      <c r="E319" s="175"/>
      <c r="F319" s="171"/>
      <c r="G319"/>
      <c r="H319"/>
      <c r="I319"/>
      <c r="J319"/>
      <c r="K319"/>
      <c r="L319"/>
      <c r="M319"/>
      <c r="N319"/>
      <c r="O319"/>
      <c r="P319"/>
      <c r="Q319"/>
      <c r="R319"/>
      <c r="S319"/>
      <c r="T319"/>
      <c r="U319"/>
      <c r="V319"/>
      <c r="W319"/>
      <c r="BF319" s="3"/>
      <c r="BG319" s="3"/>
      <c r="BH319" s="3"/>
      <c r="BI319" s="3"/>
    </row>
    <row r="320" spans="2:61" s="129" customFormat="1" outlineLevel="1">
      <c r="B320" s="167"/>
      <c r="C320" s="168"/>
      <c r="D320" s="169"/>
      <c r="E320" s="170"/>
      <c r="F320" s="171"/>
      <c r="G320"/>
      <c r="H320"/>
      <c r="I320"/>
      <c r="J320"/>
      <c r="K320"/>
      <c r="L320"/>
      <c r="M320"/>
      <c r="N320"/>
      <c r="O320"/>
      <c r="P320"/>
      <c r="Q320"/>
      <c r="R320"/>
      <c r="S320"/>
      <c r="T320"/>
      <c r="U320"/>
      <c r="V320"/>
      <c r="W320"/>
      <c r="BF320" s="3"/>
      <c r="BG320" s="3"/>
      <c r="BH320" s="3"/>
      <c r="BI320" s="3"/>
    </row>
    <row r="321" spans="2:61" s="129" customFormat="1" outlineLevel="1">
      <c r="B321" s="172"/>
      <c r="C321" s="173"/>
      <c r="D321" s="174"/>
      <c r="E321" s="175"/>
      <c r="F321" s="171"/>
      <c r="G321"/>
      <c r="H321"/>
      <c r="I321"/>
      <c r="J321"/>
      <c r="K321"/>
      <c r="L321"/>
      <c r="M321"/>
      <c r="N321"/>
      <c r="O321"/>
      <c r="P321"/>
      <c r="Q321"/>
      <c r="R321"/>
      <c r="S321"/>
      <c r="T321"/>
      <c r="U321"/>
      <c r="V321"/>
      <c r="W321"/>
      <c r="BF321" s="3"/>
      <c r="BG321" s="3"/>
      <c r="BH321" s="3"/>
      <c r="BI321" s="3"/>
    </row>
    <row r="322" spans="2:61" s="129" customFormat="1" outlineLevel="1">
      <c r="B322" s="167"/>
      <c r="C322" s="168"/>
      <c r="D322" s="169"/>
      <c r="E322" s="170"/>
      <c r="F322" s="171"/>
      <c r="G322"/>
      <c r="H322"/>
      <c r="I322"/>
      <c r="J322"/>
      <c r="K322"/>
      <c r="L322"/>
      <c r="M322"/>
      <c r="N322"/>
      <c r="O322"/>
      <c r="P322"/>
      <c r="Q322"/>
      <c r="R322"/>
      <c r="S322"/>
      <c r="T322"/>
      <c r="U322"/>
      <c r="V322"/>
      <c r="W322"/>
      <c r="BF322" s="3"/>
      <c r="BG322" s="3"/>
      <c r="BH322" s="3"/>
      <c r="BI322" s="3"/>
    </row>
    <row r="323" spans="2:61" s="129" customFormat="1" outlineLevel="1">
      <c r="B323" s="172"/>
      <c r="C323" s="173"/>
      <c r="D323" s="174"/>
      <c r="E323" s="175"/>
      <c r="F323" s="171"/>
      <c r="G323"/>
      <c r="H323"/>
      <c r="I323"/>
      <c r="J323"/>
      <c r="K323"/>
      <c r="L323"/>
      <c r="M323"/>
      <c r="N323"/>
      <c r="O323"/>
      <c r="P323"/>
      <c r="Q323"/>
      <c r="R323"/>
      <c r="S323"/>
      <c r="T323"/>
      <c r="U323"/>
      <c r="V323"/>
      <c r="W323"/>
      <c r="BF323" s="3"/>
      <c r="BG323" s="3"/>
      <c r="BH323" s="3"/>
      <c r="BI323" s="3"/>
    </row>
    <row r="324" spans="2:61" s="129" customFormat="1" outlineLevel="1">
      <c r="B324" s="167"/>
      <c r="C324" s="168"/>
      <c r="D324" s="169"/>
      <c r="E324" s="170"/>
      <c r="F324" s="171"/>
      <c r="G324"/>
      <c r="H324"/>
      <c r="I324"/>
      <c r="J324"/>
      <c r="K324"/>
      <c r="L324"/>
      <c r="M324"/>
      <c r="N324"/>
      <c r="O324"/>
      <c r="P324"/>
      <c r="Q324"/>
      <c r="R324"/>
      <c r="S324"/>
      <c r="T324"/>
      <c r="U324"/>
      <c r="V324"/>
      <c r="W324"/>
      <c r="BF324" s="3"/>
      <c r="BG324" s="3"/>
      <c r="BH324" s="3"/>
      <c r="BI324" s="3"/>
    </row>
    <row r="325" spans="2:61" s="129" customFormat="1" outlineLevel="1">
      <c r="B325" s="172"/>
      <c r="C325" s="173"/>
      <c r="D325" s="174"/>
      <c r="E325" s="175"/>
      <c r="F325" s="171"/>
      <c r="G325"/>
      <c r="H325"/>
      <c r="I325"/>
      <c r="J325"/>
      <c r="K325"/>
      <c r="L325"/>
      <c r="M325"/>
      <c r="N325"/>
      <c r="O325"/>
      <c r="P325"/>
      <c r="Q325"/>
      <c r="R325"/>
      <c r="S325"/>
      <c r="T325"/>
      <c r="U325"/>
      <c r="V325"/>
      <c r="W325"/>
      <c r="BF325" s="3"/>
      <c r="BG325" s="3"/>
      <c r="BH325" s="3"/>
      <c r="BI325" s="3"/>
    </row>
    <row r="326" spans="2:61" s="129" customFormat="1" outlineLevel="1">
      <c r="B326" s="167"/>
      <c r="C326" s="168"/>
      <c r="D326" s="169"/>
      <c r="E326" s="170"/>
      <c r="F326" s="171"/>
      <c r="G326"/>
      <c r="H326"/>
      <c r="I326"/>
      <c r="J326"/>
      <c r="K326"/>
      <c r="L326"/>
      <c r="M326"/>
      <c r="N326"/>
      <c r="O326"/>
      <c r="P326"/>
      <c r="Q326"/>
      <c r="R326"/>
      <c r="S326"/>
      <c r="T326"/>
      <c r="U326"/>
      <c r="V326"/>
      <c r="W326"/>
      <c r="BF326" s="3"/>
      <c r="BG326" s="3"/>
      <c r="BH326" s="3"/>
      <c r="BI326" s="3"/>
    </row>
    <row r="327" spans="2:61" s="129" customFormat="1" outlineLevel="1">
      <c r="B327" s="172"/>
      <c r="C327" s="173"/>
      <c r="D327" s="174"/>
      <c r="E327" s="175"/>
      <c r="F327" s="171"/>
      <c r="G327"/>
      <c r="H327"/>
      <c r="I327"/>
      <c r="J327"/>
      <c r="K327"/>
      <c r="L327"/>
      <c r="M327"/>
      <c r="N327"/>
      <c r="O327"/>
      <c r="P327"/>
      <c r="Q327"/>
      <c r="R327"/>
      <c r="S327"/>
      <c r="T327"/>
      <c r="U327"/>
      <c r="V327"/>
      <c r="W327"/>
      <c r="BF327" s="3"/>
      <c r="BG327" s="3"/>
      <c r="BH327" s="3"/>
      <c r="BI327" s="3"/>
    </row>
    <row r="328" spans="2:61" s="129" customFormat="1" outlineLevel="1">
      <c r="B328" s="167"/>
      <c r="C328" s="168"/>
      <c r="D328" s="169"/>
      <c r="E328" s="170"/>
      <c r="F328" s="171"/>
      <c r="G328"/>
      <c r="H328"/>
      <c r="I328"/>
      <c r="J328"/>
      <c r="K328"/>
      <c r="L328"/>
      <c r="M328"/>
      <c r="N328"/>
      <c r="O328"/>
      <c r="P328"/>
      <c r="Q328"/>
      <c r="R328"/>
      <c r="S328"/>
      <c r="T328"/>
      <c r="U328"/>
      <c r="V328"/>
      <c r="W328"/>
      <c r="BF328" s="3"/>
      <c r="BG328" s="3"/>
      <c r="BH328" s="3"/>
      <c r="BI328" s="3"/>
    </row>
    <row r="329" spans="2:61" s="129" customFormat="1" outlineLevel="1">
      <c r="B329" s="172"/>
      <c r="C329" s="173"/>
      <c r="D329" s="174"/>
      <c r="E329" s="175"/>
      <c r="F329" s="171"/>
      <c r="G329"/>
      <c r="H329"/>
      <c r="I329"/>
      <c r="J329"/>
      <c r="K329"/>
      <c r="L329"/>
      <c r="M329"/>
      <c r="N329"/>
      <c r="O329"/>
      <c r="P329"/>
      <c r="Q329"/>
      <c r="R329"/>
      <c r="S329"/>
      <c r="T329"/>
      <c r="U329"/>
      <c r="V329"/>
      <c r="W329"/>
      <c r="BF329" s="3"/>
      <c r="BG329" s="3"/>
      <c r="BH329" s="3"/>
      <c r="BI329" s="3"/>
    </row>
    <row r="330" spans="2:61" s="129" customFormat="1" outlineLevel="1">
      <c r="B330" s="167"/>
      <c r="C330" s="168"/>
      <c r="D330" s="169"/>
      <c r="E330" s="170"/>
      <c r="F330" s="171"/>
      <c r="G330"/>
      <c r="H330"/>
      <c r="I330"/>
      <c r="J330"/>
      <c r="K330"/>
      <c r="L330"/>
      <c r="M330"/>
      <c r="N330"/>
      <c r="O330"/>
      <c r="P330"/>
      <c r="Q330"/>
      <c r="R330"/>
      <c r="S330"/>
      <c r="T330"/>
      <c r="U330"/>
      <c r="V330"/>
      <c r="W330"/>
      <c r="BF330" s="3"/>
      <c r="BG330" s="3"/>
      <c r="BH330" s="3"/>
      <c r="BI330" s="3"/>
    </row>
    <row r="331" spans="2:61" s="129" customFormat="1" outlineLevel="1">
      <c r="B331" s="172"/>
      <c r="C331" s="173"/>
      <c r="D331" s="174"/>
      <c r="E331" s="175"/>
      <c r="F331" s="171"/>
      <c r="G331"/>
      <c r="H331"/>
      <c r="I331"/>
      <c r="J331"/>
      <c r="K331"/>
      <c r="L331"/>
      <c r="M331"/>
      <c r="N331"/>
      <c r="O331"/>
      <c r="P331"/>
      <c r="Q331"/>
      <c r="R331"/>
      <c r="S331"/>
      <c r="T331"/>
      <c r="U331"/>
      <c r="V331"/>
      <c r="W331"/>
      <c r="BF331" s="3"/>
      <c r="BG331" s="3"/>
      <c r="BH331" s="3"/>
      <c r="BI331" s="3"/>
    </row>
    <row r="332" spans="2:61" s="129" customFormat="1" outlineLevel="1">
      <c r="B332" s="167"/>
      <c r="C332" s="168"/>
      <c r="D332" s="169"/>
      <c r="E332" s="170"/>
      <c r="F332" s="171"/>
      <c r="G332"/>
      <c r="H332"/>
      <c r="I332"/>
      <c r="J332"/>
      <c r="K332"/>
      <c r="L332"/>
      <c r="M332"/>
      <c r="N332"/>
      <c r="O332"/>
      <c r="P332"/>
      <c r="Q332"/>
      <c r="R332"/>
      <c r="S332"/>
      <c r="T332"/>
      <c r="U332"/>
      <c r="V332"/>
      <c r="W332"/>
      <c r="BF332" s="3"/>
      <c r="BG332" s="3"/>
      <c r="BH332" s="3"/>
      <c r="BI332" s="3"/>
    </row>
    <row r="333" spans="2:61" s="129" customFormat="1" outlineLevel="1">
      <c r="B333" s="172"/>
      <c r="C333" s="173"/>
      <c r="D333" s="174"/>
      <c r="E333" s="175"/>
      <c r="F333" s="171"/>
      <c r="G333"/>
      <c r="H333"/>
      <c r="I333"/>
      <c r="J333"/>
      <c r="K333"/>
      <c r="L333"/>
      <c r="M333"/>
      <c r="N333"/>
      <c r="O333"/>
      <c r="P333"/>
      <c r="Q333"/>
      <c r="R333"/>
      <c r="S333"/>
      <c r="T333"/>
      <c r="U333"/>
      <c r="V333"/>
      <c r="W333"/>
      <c r="BF333" s="3"/>
      <c r="BG333" s="3"/>
      <c r="BH333" s="3"/>
      <c r="BI333" s="3"/>
    </row>
    <row r="334" spans="2:61" s="129" customFormat="1" outlineLevel="1">
      <c r="B334" s="167"/>
      <c r="C334" s="168"/>
      <c r="D334" s="169"/>
      <c r="E334" s="170"/>
      <c r="F334" s="171"/>
      <c r="G334"/>
      <c r="H334"/>
      <c r="I334"/>
      <c r="J334"/>
      <c r="K334"/>
      <c r="L334"/>
      <c r="M334"/>
      <c r="N334"/>
      <c r="O334"/>
      <c r="P334"/>
      <c r="Q334"/>
      <c r="R334"/>
      <c r="S334"/>
      <c r="T334"/>
      <c r="U334"/>
      <c r="V334"/>
      <c r="W334"/>
      <c r="BF334" s="3"/>
      <c r="BG334" s="3"/>
      <c r="BH334" s="3"/>
      <c r="BI334" s="3"/>
    </row>
    <row r="335" spans="2:61" s="129" customFormat="1" outlineLevel="1">
      <c r="B335" s="172"/>
      <c r="C335" s="173"/>
      <c r="D335" s="174"/>
      <c r="E335" s="175"/>
      <c r="F335" s="171"/>
      <c r="G335"/>
      <c r="H335"/>
      <c r="I335"/>
      <c r="J335"/>
      <c r="K335"/>
      <c r="L335"/>
      <c r="M335"/>
      <c r="N335"/>
      <c r="O335"/>
      <c r="P335"/>
      <c r="Q335"/>
      <c r="R335"/>
      <c r="S335"/>
      <c r="T335"/>
      <c r="U335"/>
      <c r="V335"/>
      <c r="W335"/>
      <c r="BF335" s="3"/>
      <c r="BG335" s="3"/>
      <c r="BH335" s="3"/>
      <c r="BI335" s="3"/>
    </row>
    <row r="336" spans="2:61" s="129" customFormat="1" outlineLevel="1">
      <c r="B336" s="167"/>
      <c r="C336" s="168"/>
      <c r="D336" s="169"/>
      <c r="E336" s="170"/>
      <c r="F336" s="171"/>
      <c r="G336"/>
      <c r="H336"/>
      <c r="I336"/>
      <c r="J336"/>
      <c r="K336"/>
      <c r="L336"/>
      <c r="M336"/>
      <c r="N336"/>
      <c r="O336"/>
      <c r="P336"/>
      <c r="Q336"/>
      <c r="R336"/>
      <c r="S336"/>
      <c r="T336"/>
      <c r="U336"/>
      <c r="V336"/>
      <c r="W336"/>
      <c r="BF336" s="3"/>
      <c r="BG336" s="3"/>
      <c r="BH336" s="3"/>
      <c r="BI336" s="3"/>
    </row>
    <row r="337" spans="2:61" s="129" customFormat="1" outlineLevel="1">
      <c r="B337" s="172"/>
      <c r="C337" s="173"/>
      <c r="D337" s="174"/>
      <c r="E337" s="175"/>
      <c r="F337" s="171"/>
      <c r="G337"/>
      <c r="H337"/>
      <c r="I337"/>
      <c r="J337"/>
      <c r="K337"/>
      <c r="L337"/>
      <c r="M337"/>
      <c r="N337"/>
      <c r="O337"/>
      <c r="P337"/>
      <c r="Q337"/>
      <c r="R337"/>
      <c r="S337"/>
      <c r="T337"/>
      <c r="U337"/>
      <c r="V337"/>
      <c r="W337"/>
      <c r="BF337" s="3"/>
      <c r="BG337" s="3"/>
      <c r="BH337" s="3"/>
      <c r="BI337" s="3"/>
    </row>
    <row r="338" spans="2:61" s="129" customFormat="1" outlineLevel="1">
      <c r="B338" s="167"/>
      <c r="C338" s="168"/>
      <c r="D338" s="169"/>
      <c r="E338" s="170"/>
      <c r="F338" s="171"/>
      <c r="G338"/>
      <c r="H338"/>
      <c r="I338"/>
      <c r="J338"/>
      <c r="K338"/>
      <c r="L338"/>
      <c r="M338"/>
      <c r="N338"/>
      <c r="O338"/>
      <c r="P338"/>
      <c r="Q338"/>
      <c r="R338"/>
      <c r="S338"/>
      <c r="T338"/>
      <c r="U338"/>
      <c r="V338"/>
      <c r="W338"/>
      <c r="BF338" s="3"/>
      <c r="BG338" s="3"/>
      <c r="BH338" s="3"/>
      <c r="BI338" s="3"/>
    </row>
    <row r="339" spans="2:61" s="129" customFormat="1" outlineLevel="1">
      <c r="B339" s="172"/>
      <c r="C339" s="173"/>
      <c r="D339" s="174"/>
      <c r="E339" s="175"/>
      <c r="F339" s="171"/>
      <c r="G339"/>
      <c r="H339"/>
      <c r="I339"/>
      <c r="J339"/>
      <c r="K339"/>
      <c r="L339"/>
      <c r="M339"/>
      <c r="N339"/>
      <c r="O339"/>
      <c r="P339"/>
      <c r="Q339"/>
      <c r="R339"/>
      <c r="S339"/>
      <c r="T339"/>
      <c r="U339"/>
      <c r="V339"/>
      <c r="W339"/>
      <c r="BF339" s="3"/>
      <c r="BG339" s="3"/>
      <c r="BH339" s="3"/>
      <c r="BI339" s="3"/>
    </row>
    <row r="340" spans="2:61" s="129" customFormat="1" outlineLevel="1">
      <c r="B340" s="167"/>
      <c r="C340" s="168"/>
      <c r="D340" s="169"/>
      <c r="E340" s="170"/>
      <c r="F340" s="171"/>
      <c r="G340"/>
      <c r="H340"/>
      <c r="I340"/>
      <c r="J340"/>
      <c r="K340"/>
      <c r="L340"/>
      <c r="M340"/>
      <c r="N340"/>
      <c r="O340"/>
      <c r="P340"/>
      <c r="Q340"/>
      <c r="R340"/>
      <c r="S340"/>
      <c r="T340"/>
      <c r="U340"/>
      <c r="V340"/>
      <c r="W340"/>
      <c r="BF340" s="3"/>
      <c r="BG340" s="3"/>
      <c r="BH340" s="3"/>
      <c r="BI340" s="3"/>
    </row>
    <row r="341" spans="2:61" s="129" customFormat="1" outlineLevel="1">
      <c r="B341" s="172"/>
      <c r="C341" s="173"/>
      <c r="D341" s="174"/>
      <c r="E341" s="175"/>
      <c r="F341" s="171"/>
      <c r="G341"/>
      <c r="H341"/>
      <c r="I341"/>
      <c r="J341"/>
      <c r="K341"/>
      <c r="L341"/>
      <c r="M341"/>
      <c r="N341"/>
      <c r="O341"/>
      <c r="P341"/>
      <c r="Q341"/>
      <c r="R341"/>
      <c r="S341"/>
      <c r="T341"/>
      <c r="U341"/>
      <c r="V341"/>
      <c r="W341"/>
      <c r="BF341" s="3"/>
      <c r="BG341" s="3"/>
      <c r="BH341" s="3"/>
      <c r="BI341" s="3"/>
    </row>
    <row r="342" spans="2:61" s="129" customFormat="1" outlineLevel="1">
      <c r="B342" s="167"/>
      <c r="C342" s="168"/>
      <c r="D342" s="169"/>
      <c r="E342" s="170"/>
      <c r="F342" s="171"/>
      <c r="G342"/>
      <c r="H342"/>
      <c r="I342"/>
      <c r="J342"/>
      <c r="K342"/>
      <c r="L342"/>
      <c r="M342"/>
      <c r="N342"/>
      <c r="O342"/>
      <c r="P342"/>
      <c r="Q342"/>
      <c r="R342"/>
      <c r="S342"/>
      <c r="T342"/>
      <c r="U342"/>
      <c r="V342"/>
      <c r="W342"/>
      <c r="BF342" s="3"/>
      <c r="BG342" s="3"/>
      <c r="BH342" s="3"/>
      <c r="BI342" s="3"/>
    </row>
    <row r="343" spans="2:61" s="129" customFormat="1" outlineLevel="1">
      <c r="B343" s="172"/>
      <c r="C343" s="173"/>
      <c r="D343" s="174"/>
      <c r="E343" s="175"/>
      <c r="F343" s="171"/>
      <c r="G343"/>
      <c r="H343"/>
      <c r="I343"/>
      <c r="J343"/>
      <c r="K343"/>
      <c r="L343"/>
      <c r="M343"/>
      <c r="N343"/>
      <c r="O343"/>
      <c r="P343"/>
      <c r="Q343"/>
      <c r="R343"/>
      <c r="S343"/>
      <c r="T343"/>
      <c r="U343"/>
      <c r="V343"/>
      <c r="W343"/>
      <c r="BF343" s="3"/>
      <c r="BG343" s="3"/>
      <c r="BH343" s="3"/>
      <c r="BI343" s="3"/>
    </row>
    <row r="344" spans="2:61" s="129" customFormat="1" outlineLevel="1">
      <c r="B344" s="167"/>
      <c r="C344" s="168"/>
      <c r="D344" s="169"/>
      <c r="E344" s="170"/>
      <c r="F344" s="171"/>
      <c r="G344"/>
      <c r="H344"/>
      <c r="I344"/>
      <c r="J344"/>
      <c r="K344"/>
      <c r="L344"/>
      <c r="M344"/>
      <c r="N344"/>
      <c r="O344"/>
      <c r="P344"/>
      <c r="Q344"/>
      <c r="R344"/>
      <c r="S344"/>
      <c r="T344"/>
      <c r="U344"/>
      <c r="V344"/>
      <c r="W344"/>
      <c r="BF344" s="3"/>
      <c r="BG344" s="3"/>
      <c r="BH344" s="3"/>
      <c r="BI344" s="3"/>
    </row>
    <row r="345" spans="2:61" s="129" customFormat="1" outlineLevel="1">
      <c r="B345" s="172"/>
      <c r="C345" s="173"/>
      <c r="D345" s="174"/>
      <c r="E345" s="175"/>
      <c r="F345" s="171"/>
      <c r="G345"/>
      <c r="H345"/>
      <c r="I345"/>
      <c r="J345"/>
      <c r="K345"/>
      <c r="L345"/>
      <c r="M345"/>
      <c r="N345"/>
      <c r="O345"/>
      <c r="P345"/>
      <c r="Q345"/>
      <c r="R345"/>
      <c r="S345"/>
      <c r="T345"/>
      <c r="U345"/>
      <c r="V345"/>
      <c r="W345"/>
      <c r="BF345" s="3"/>
      <c r="BG345" s="3"/>
      <c r="BH345" s="3"/>
      <c r="BI345" s="3"/>
    </row>
    <row r="346" spans="2:61" s="129" customFormat="1" outlineLevel="1">
      <c r="B346" s="167"/>
      <c r="C346" s="168"/>
      <c r="D346" s="169"/>
      <c r="E346" s="170"/>
      <c r="F346" s="171"/>
      <c r="G346"/>
      <c r="H346"/>
      <c r="I346"/>
      <c r="J346"/>
      <c r="K346"/>
      <c r="L346"/>
      <c r="M346"/>
      <c r="N346"/>
      <c r="O346"/>
      <c r="P346"/>
      <c r="Q346"/>
      <c r="R346"/>
      <c r="S346"/>
      <c r="T346"/>
      <c r="U346"/>
      <c r="V346"/>
      <c r="W346"/>
      <c r="BF346" s="3"/>
      <c r="BG346" s="3"/>
      <c r="BH346" s="3"/>
      <c r="BI346" s="3"/>
    </row>
    <row r="347" spans="2:61" s="129" customFormat="1" outlineLevel="1">
      <c r="B347" s="172"/>
      <c r="C347" s="173"/>
      <c r="D347" s="174"/>
      <c r="E347" s="175"/>
      <c r="F347" s="171"/>
      <c r="G347"/>
      <c r="H347"/>
      <c r="I347"/>
      <c r="J347"/>
      <c r="K347"/>
      <c r="L347"/>
      <c r="M347"/>
      <c r="N347"/>
      <c r="O347"/>
      <c r="P347"/>
      <c r="Q347"/>
      <c r="R347"/>
      <c r="S347"/>
      <c r="T347"/>
      <c r="U347"/>
      <c r="V347"/>
      <c r="W347"/>
      <c r="BF347" s="3"/>
      <c r="BG347" s="3"/>
      <c r="BH347" s="3"/>
      <c r="BI347" s="3"/>
    </row>
    <row r="348" spans="2:61" s="129" customFormat="1" outlineLevel="1">
      <c r="B348" s="167"/>
      <c r="C348" s="168"/>
      <c r="D348" s="169"/>
      <c r="E348" s="170"/>
      <c r="F348" s="171"/>
      <c r="G348"/>
      <c r="H348"/>
      <c r="I348"/>
      <c r="J348"/>
      <c r="K348"/>
      <c r="L348"/>
      <c r="M348"/>
      <c r="N348"/>
      <c r="O348"/>
      <c r="P348"/>
      <c r="Q348"/>
      <c r="R348"/>
      <c r="S348"/>
      <c r="T348"/>
      <c r="U348"/>
      <c r="V348"/>
      <c r="W348"/>
      <c r="BF348" s="3"/>
      <c r="BG348" s="3"/>
      <c r="BH348" s="3"/>
      <c r="BI348" s="3"/>
    </row>
    <row r="349" spans="2:61" s="129" customFormat="1" outlineLevel="1">
      <c r="B349" s="167"/>
      <c r="C349" s="168"/>
      <c r="D349" s="169"/>
      <c r="E349" s="170"/>
      <c r="F349" s="171"/>
      <c r="G349"/>
      <c r="H349"/>
      <c r="I349"/>
      <c r="J349"/>
      <c r="K349"/>
      <c r="L349"/>
      <c r="M349"/>
      <c r="N349"/>
      <c r="O349"/>
      <c r="P349"/>
      <c r="Q349"/>
      <c r="R349"/>
      <c r="S349"/>
      <c r="T349"/>
      <c r="U349"/>
      <c r="V349"/>
      <c r="W349"/>
      <c r="BF349" s="3"/>
      <c r="BG349" s="3"/>
      <c r="BH349" s="3"/>
      <c r="BI349" s="3"/>
    </row>
    <row r="350" spans="2:61" s="129" customFormat="1" outlineLevel="1">
      <c r="B350" s="172"/>
      <c r="C350" s="173"/>
      <c r="D350" s="174"/>
      <c r="E350" s="175"/>
      <c r="F350" s="171"/>
      <c r="G350"/>
      <c r="H350"/>
      <c r="I350"/>
      <c r="J350"/>
      <c r="K350"/>
      <c r="L350"/>
      <c r="M350"/>
      <c r="N350"/>
      <c r="O350"/>
      <c r="P350"/>
      <c r="Q350"/>
      <c r="R350"/>
      <c r="S350"/>
      <c r="T350"/>
      <c r="U350"/>
      <c r="V350"/>
      <c r="W350"/>
      <c r="BF350" s="3"/>
      <c r="BG350" s="3"/>
      <c r="BH350" s="3"/>
      <c r="BI350" s="3"/>
    </row>
    <row r="351" spans="2:61" s="129" customFormat="1" outlineLevel="1">
      <c r="B351" s="167"/>
      <c r="C351" s="168"/>
      <c r="D351" s="169"/>
      <c r="E351" s="170"/>
      <c r="F351" s="171"/>
      <c r="G351"/>
      <c r="H351"/>
      <c r="I351"/>
      <c r="J351"/>
      <c r="K351"/>
      <c r="L351"/>
      <c r="M351"/>
      <c r="N351"/>
      <c r="O351"/>
      <c r="P351"/>
      <c r="Q351"/>
      <c r="R351"/>
      <c r="S351"/>
      <c r="T351"/>
      <c r="U351"/>
      <c r="V351"/>
      <c r="W351"/>
      <c r="BF351" s="3"/>
      <c r="BG351" s="3"/>
      <c r="BH351" s="3"/>
      <c r="BI351" s="3"/>
    </row>
    <row r="352" spans="2:61" s="129" customFormat="1" outlineLevel="1">
      <c r="B352" s="172"/>
      <c r="C352" s="173"/>
      <c r="D352" s="174"/>
      <c r="E352" s="175"/>
      <c r="F352" s="171"/>
      <c r="G352"/>
      <c r="H352"/>
      <c r="I352"/>
      <c r="J352"/>
      <c r="K352"/>
      <c r="L352"/>
      <c r="M352"/>
      <c r="N352"/>
      <c r="O352"/>
      <c r="P352"/>
      <c r="Q352"/>
      <c r="R352"/>
      <c r="S352"/>
      <c r="T352"/>
      <c r="U352"/>
      <c r="V352"/>
      <c r="W352"/>
      <c r="BF352" s="3"/>
      <c r="BG352" s="3"/>
      <c r="BH352" s="3"/>
      <c r="BI352" s="3"/>
    </row>
    <row r="353" spans="2:61" s="129" customFormat="1" outlineLevel="1">
      <c r="B353" s="167"/>
      <c r="C353" s="168"/>
      <c r="D353" s="169"/>
      <c r="E353" s="170"/>
      <c r="F353" s="171"/>
      <c r="G353"/>
      <c r="H353"/>
      <c r="I353"/>
      <c r="J353"/>
      <c r="K353"/>
      <c r="L353"/>
      <c r="M353"/>
      <c r="N353"/>
      <c r="O353"/>
      <c r="P353"/>
      <c r="Q353"/>
      <c r="R353"/>
      <c r="S353"/>
      <c r="T353"/>
      <c r="U353"/>
      <c r="V353"/>
      <c r="W353"/>
      <c r="BF353" s="3"/>
      <c r="BG353" s="3"/>
      <c r="BH353" s="3"/>
      <c r="BI353" s="3"/>
    </row>
    <row r="354" spans="2:61" s="129" customFormat="1" outlineLevel="1">
      <c r="B354" s="172"/>
      <c r="C354" s="173"/>
      <c r="D354" s="174"/>
      <c r="E354" s="175"/>
      <c r="F354" s="171"/>
      <c r="G354"/>
      <c r="H354"/>
      <c r="I354"/>
      <c r="J354"/>
      <c r="K354"/>
      <c r="L354"/>
      <c r="M354"/>
      <c r="N354"/>
      <c r="O354"/>
      <c r="P354"/>
      <c r="Q354"/>
      <c r="R354"/>
      <c r="S354"/>
      <c r="T354"/>
      <c r="U354"/>
      <c r="V354"/>
      <c r="W354"/>
      <c r="BF354" s="3"/>
      <c r="BG354" s="3"/>
      <c r="BH354" s="3"/>
      <c r="BI354" s="3"/>
    </row>
    <row r="355" spans="2:61" s="129" customFormat="1" outlineLevel="1">
      <c r="B355" s="167"/>
      <c r="C355" s="168"/>
      <c r="D355" s="169"/>
      <c r="E355" s="170"/>
      <c r="F355" s="171"/>
      <c r="G355"/>
      <c r="H355"/>
      <c r="I355"/>
      <c r="J355"/>
      <c r="K355"/>
      <c r="L355"/>
      <c r="M355"/>
      <c r="N355"/>
      <c r="O355"/>
      <c r="P355"/>
      <c r="Q355"/>
      <c r="R355"/>
      <c r="S355"/>
      <c r="T355"/>
      <c r="U355"/>
      <c r="V355"/>
      <c r="W355"/>
      <c r="BF355" s="3"/>
      <c r="BG355" s="3"/>
      <c r="BH355" s="3"/>
      <c r="BI355" s="3"/>
    </row>
    <row r="356" spans="2:61" s="129" customFormat="1" outlineLevel="1">
      <c r="B356" s="172"/>
      <c r="C356" s="173"/>
      <c r="D356" s="174"/>
      <c r="E356" s="175"/>
      <c r="F356" s="171"/>
      <c r="G356"/>
      <c r="H356"/>
      <c r="I356"/>
      <c r="J356"/>
      <c r="K356"/>
      <c r="L356"/>
      <c r="M356"/>
      <c r="N356"/>
      <c r="O356"/>
      <c r="P356"/>
      <c r="Q356"/>
      <c r="R356"/>
      <c r="S356"/>
      <c r="T356"/>
      <c r="U356"/>
      <c r="V356"/>
      <c r="W356"/>
      <c r="BF356" s="3"/>
      <c r="BG356" s="3"/>
      <c r="BH356" s="3"/>
      <c r="BI356" s="3"/>
    </row>
    <row r="357" spans="2:61" s="129" customFormat="1" outlineLevel="1">
      <c r="B357" s="167"/>
      <c r="C357" s="168"/>
      <c r="D357" s="169"/>
      <c r="E357" s="170"/>
      <c r="F357" s="171"/>
      <c r="G357"/>
      <c r="H357"/>
      <c r="I357"/>
      <c r="J357"/>
      <c r="K357"/>
      <c r="L357"/>
      <c r="M357"/>
      <c r="N357"/>
      <c r="O357"/>
      <c r="P357"/>
      <c r="Q357"/>
      <c r="R357"/>
      <c r="S357"/>
      <c r="T357"/>
      <c r="U357"/>
      <c r="V357"/>
      <c r="W357"/>
      <c r="BF357" s="3"/>
      <c r="BG357" s="3"/>
      <c r="BH357" s="3"/>
      <c r="BI357" s="3"/>
    </row>
    <row r="358" spans="2:61" s="129" customFormat="1" outlineLevel="1">
      <c r="B358" s="172"/>
      <c r="C358" s="173"/>
      <c r="D358" s="174"/>
      <c r="E358" s="175"/>
      <c r="F358" s="171"/>
      <c r="G358"/>
      <c r="H358"/>
      <c r="I358"/>
      <c r="J358"/>
      <c r="K358"/>
      <c r="L358"/>
      <c r="M358"/>
      <c r="N358"/>
      <c r="O358"/>
      <c r="P358"/>
      <c r="Q358"/>
      <c r="R358"/>
      <c r="S358"/>
      <c r="T358"/>
      <c r="U358"/>
      <c r="V358"/>
      <c r="W358"/>
      <c r="BF358" s="3"/>
      <c r="BG358" s="3"/>
      <c r="BH358" s="3"/>
      <c r="BI358" s="3"/>
    </row>
    <row r="359" spans="2:61" s="129" customFormat="1" outlineLevel="1">
      <c r="B359" s="167"/>
      <c r="C359" s="168"/>
      <c r="D359" s="169"/>
      <c r="E359" s="170"/>
      <c r="F359" s="171"/>
      <c r="G359"/>
      <c r="H359"/>
      <c r="I359"/>
      <c r="J359"/>
      <c r="K359"/>
      <c r="L359"/>
      <c r="M359"/>
      <c r="N359"/>
      <c r="O359"/>
      <c r="P359"/>
      <c r="Q359"/>
      <c r="R359"/>
      <c r="S359"/>
      <c r="T359"/>
      <c r="U359"/>
      <c r="V359"/>
      <c r="W359"/>
      <c r="BF359" s="3"/>
      <c r="BG359" s="3"/>
      <c r="BH359" s="3"/>
      <c r="BI359" s="3"/>
    </row>
    <row r="360" spans="2:61">
      <c r="B360" s="89" t="str">
        <f>IF(Main_Parameters!$C$47="Continuous","REMnd","WR32")</f>
        <v>REMnd</v>
      </c>
      <c r="C360" s="5" t="s">
        <v>1303</v>
      </c>
      <c r="D360" s="285" t="str">
        <f>IF(Main_Parameters!$C$41="TX0/1 Enable","4050","2050")</f>
        <v>4050</v>
      </c>
      <c r="E360" s="83" t="s">
        <v>1643</v>
      </c>
      <c r="F360" s="36" t="s">
        <v>1642</v>
      </c>
      <c r="G360"/>
      <c r="H360"/>
      <c r="I360" s="2"/>
      <c r="Y360" s="410"/>
      <c r="Z360" s="410"/>
      <c r="AA360" s="410"/>
      <c r="AB360" s="410"/>
      <c r="AC360" s="410"/>
      <c r="AD360" s="410"/>
      <c r="AE360" s="410"/>
      <c r="AF360" s="410"/>
      <c r="AG360" s="410"/>
      <c r="AH360" s="410"/>
      <c r="AI360" s="410"/>
      <c r="AJ360" s="410"/>
      <c r="AK360" s="410"/>
      <c r="AL360" s="410"/>
      <c r="AM360" s="410"/>
      <c r="AN360" s="410"/>
      <c r="AO360" s="410"/>
      <c r="AP360" s="410"/>
      <c r="AQ360" s="410"/>
      <c r="AR360" s="410"/>
      <c r="AS360" s="410"/>
      <c r="AT360" s="410"/>
      <c r="AU360" s="410"/>
      <c r="AV360" s="410"/>
      <c r="AW360" s="429"/>
      <c r="AX360" s="429"/>
      <c r="AY360" s="429"/>
      <c r="AZ360" s="429"/>
      <c r="BA360" s="429"/>
      <c r="BB360" s="429"/>
      <c r="BC360" s="429"/>
      <c r="BD360" s="429"/>
    </row>
    <row r="361" spans="2:61" s="129" customFormat="1">
      <c r="B361" s="16" t="s">
        <v>290</v>
      </c>
      <c r="C361" s="5" t="s">
        <v>431</v>
      </c>
      <c r="D361" s="14" t="s">
        <v>434</v>
      </c>
      <c r="E361" s="100" t="str">
        <f>DEC2HEX(Y361*2^31+Z361*2^30+AA361*2^29+AB361*2^28+AC361*2^27+AD361*2^26+AE361*2^25+AF361*2^24+AG361*2^23+AH361*2^22+AI361*2^21+AJ361*2^20+AK361*2^19+AL361*2^18+AM361*2^17+AN361*2^16+AO361*2^15+AP361*2^14+AQ361*2^13+AR361*2^12+AS361*2^11+AT361*2^10+AU361*2^9+AV361*2^8+AW361*2^7+AX361*2^6+AY361*2^5+AZ361*2^4+BA361*2^3+BB361*2^2+BC361*2^1+BD361*2^0,8)</f>
        <v>80040010</v>
      </c>
      <c r="F361" s="36"/>
      <c r="G361"/>
      <c r="H361" s="188" t="s">
        <v>440</v>
      </c>
      <c r="I361" s="194" t="s">
        <v>441</v>
      </c>
      <c r="J361" s="192"/>
      <c r="K361" s="191"/>
      <c r="L361" s="191"/>
      <c r="M361" s="191"/>
      <c r="N361" s="191"/>
      <c r="O361" s="189"/>
      <c r="P361" s="191"/>
      <c r="Q361" s="288" t="s">
        <v>439</v>
      </c>
      <c r="R361" s="289" t="str">
        <f>IF(AND(S361&gt;0,S361&lt;2^13),"OK","NG")</f>
        <v>OK</v>
      </c>
      <c r="S361" s="305">
        <v>4</v>
      </c>
      <c r="T361" s="206"/>
      <c r="U361" s="288" t="s">
        <v>438</v>
      </c>
      <c r="V361" s="289" t="str">
        <f>IF(AND(W361&gt;1,W361&lt;2^13),"OK","NG")</f>
        <v>OK</v>
      </c>
      <c r="W361" s="305">
        <v>16</v>
      </c>
      <c r="Y361" s="256">
        <f>IF(I361="With Video",1,0)</f>
        <v>1</v>
      </c>
      <c r="Z361" s="129">
        <v>0</v>
      </c>
      <c r="AA361" s="129">
        <v>0</v>
      </c>
      <c r="AB361" s="129">
        <v>0</v>
      </c>
      <c r="AC361" s="129">
        <v>0</v>
      </c>
      <c r="AD361" s="129">
        <v>0</v>
      </c>
      <c r="AE361" s="129">
        <v>0</v>
      </c>
      <c r="AF361" s="129">
        <v>0</v>
      </c>
      <c r="AG361" s="129">
        <v>0</v>
      </c>
      <c r="AH361" s="129">
        <v>0</v>
      </c>
      <c r="AI361" s="129">
        <v>0</v>
      </c>
      <c r="AJ361" s="129">
        <v>0</v>
      </c>
      <c r="AK361" s="129">
        <v>0</v>
      </c>
      <c r="AL361" s="129">
        <v>0</v>
      </c>
      <c r="AM361" s="129">
        <v>0</v>
      </c>
      <c r="AN361" s="256">
        <f>S361</f>
        <v>4</v>
      </c>
      <c r="AO361" s="129">
        <v>0</v>
      </c>
      <c r="AP361" s="129">
        <v>0</v>
      </c>
      <c r="AQ361" s="129">
        <v>0</v>
      </c>
      <c r="AR361" s="129">
        <v>0</v>
      </c>
      <c r="AS361" s="129">
        <v>0</v>
      </c>
      <c r="AT361" s="129">
        <v>0</v>
      </c>
      <c r="AU361" s="129">
        <v>0</v>
      </c>
      <c r="AV361" s="129">
        <v>0</v>
      </c>
      <c r="AW361" s="129">
        <v>0</v>
      </c>
      <c r="AX361" s="129">
        <v>0</v>
      </c>
      <c r="AY361" s="129">
        <v>0</v>
      </c>
      <c r="AZ361" s="129">
        <v>0</v>
      </c>
      <c r="BA361" s="129">
        <v>0</v>
      </c>
      <c r="BB361" s="129">
        <v>0</v>
      </c>
      <c r="BC361" s="129">
        <v>0</v>
      </c>
      <c r="BD361" s="256">
        <f>W361</f>
        <v>16</v>
      </c>
      <c r="BF361" s="3"/>
      <c r="BG361" s="3"/>
      <c r="BH361" s="3"/>
      <c r="BI361" s="3"/>
    </row>
    <row r="362" spans="2:61" s="129" customFormat="1">
      <c r="B362" s="89" t="str">
        <f>IF(Main_Parameters!$C$41="TX0 Enable","REMnd","WR32")</f>
        <v>WR32</v>
      </c>
      <c r="C362" s="5" t="s">
        <v>430</v>
      </c>
      <c r="D362" s="14" t="s">
        <v>435</v>
      </c>
      <c r="E362" s="100" t="str">
        <f>DEC2HEX(Y362*2^31+Z362*2^30+AA362*2^29+AB362*2^28+AC362*2^27+AD362*2^26+AE362*2^25+AF362*2^24+AG362*2^23+AH362*2^22+AI362*2^21+AJ362*2^20+AK362*2^19+AL362*2^18+AM362*2^17+AN362*2^16+AO362*2^15+AP362*2^14+AQ362*2^13+AR362*2^12+AS362*2^11+AT362*2^10+AU362*2^9+AV362*2^8+AW362*2^7+AX362*2^6+AY362*2^5+AZ362*2^4+BA362*2^3+BB362*2^2+BC362*2^1+BD362*2^0,8)</f>
        <v>80040010</v>
      </c>
      <c r="F362" s="36"/>
      <c r="G362"/>
      <c r="H362" s="188" t="s">
        <v>440</v>
      </c>
      <c r="I362" s="194" t="s">
        <v>441</v>
      </c>
      <c r="J362" s="192"/>
      <c r="K362" s="191"/>
      <c r="L362" s="191"/>
      <c r="M362" s="191"/>
      <c r="N362" s="191"/>
      <c r="O362" s="189"/>
      <c r="P362" s="191"/>
      <c r="Q362" s="288" t="s">
        <v>439</v>
      </c>
      <c r="R362" s="289" t="str">
        <f>IF(AND(S362&gt;0,S362&lt;2^13),"OK","NG")</f>
        <v>OK</v>
      </c>
      <c r="S362" s="305">
        <v>4</v>
      </c>
      <c r="T362" s="206"/>
      <c r="U362" s="288" t="s">
        <v>438</v>
      </c>
      <c r="V362" s="289" t="str">
        <f>IF(AND(W362&gt;1,W362&lt;2^13),"OK","NG")</f>
        <v>OK</v>
      </c>
      <c r="W362" s="305">
        <v>16</v>
      </c>
      <c r="Y362" s="256">
        <f>IF(I362="With Video",1,0)</f>
        <v>1</v>
      </c>
      <c r="Z362" s="129">
        <v>0</v>
      </c>
      <c r="AA362" s="129">
        <v>0</v>
      </c>
      <c r="AB362" s="129">
        <v>0</v>
      </c>
      <c r="AC362" s="129">
        <v>0</v>
      </c>
      <c r="AD362" s="129">
        <v>0</v>
      </c>
      <c r="AE362" s="129">
        <v>0</v>
      </c>
      <c r="AF362" s="129">
        <v>0</v>
      </c>
      <c r="AG362" s="129">
        <v>0</v>
      </c>
      <c r="AH362" s="129">
        <v>0</v>
      </c>
      <c r="AI362" s="129">
        <v>0</v>
      </c>
      <c r="AJ362" s="129">
        <v>0</v>
      </c>
      <c r="AK362" s="129">
        <v>0</v>
      </c>
      <c r="AL362" s="129">
        <v>0</v>
      </c>
      <c r="AM362" s="129">
        <v>0</v>
      </c>
      <c r="AN362" s="256">
        <f>S362</f>
        <v>4</v>
      </c>
      <c r="AO362" s="129">
        <v>0</v>
      </c>
      <c r="AP362" s="129">
        <v>0</v>
      </c>
      <c r="AQ362" s="129">
        <v>0</v>
      </c>
      <c r="AR362" s="129">
        <v>0</v>
      </c>
      <c r="AS362" s="129">
        <v>0</v>
      </c>
      <c r="AT362" s="129">
        <v>0</v>
      </c>
      <c r="AU362" s="129">
        <v>0</v>
      </c>
      <c r="AV362" s="129">
        <v>0</v>
      </c>
      <c r="AW362" s="129">
        <v>0</v>
      </c>
      <c r="AX362" s="129">
        <v>0</v>
      </c>
      <c r="AY362" s="129">
        <v>0</v>
      </c>
      <c r="AZ362" s="129">
        <v>0</v>
      </c>
      <c r="BA362" s="129">
        <v>0</v>
      </c>
      <c r="BB362" s="129">
        <v>0</v>
      </c>
      <c r="BC362" s="129">
        <v>0</v>
      </c>
      <c r="BD362" s="256">
        <f>W362</f>
        <v>16</v>
      </c>
      <c r="BF362" s="3"/>
      <c r="BG362" s="3"/>
      <c r="BH362" s="3"/>
      <c r="BI362" s="3"/>
    </row>
    <row r="363" spans="2:61" s="129" customFormat="1">
      <c r="B363" s="16" t="s">
        <v>290</v>
      </c>
      <c r="C363" s="5" t="s">
        <v>432</v>
      </c>
      <c r="D363" s="14" t="s">
        <v>436</v>
      </c>
      <c r="E363" s="83" t="s">
        <v>167</v>
      </c>
      <c r="F363" s="36"/>
      <c r="G363"/>
      <c r="H363"/>
      <c r="I363" s="2"/>
      <c r="J363" s="3"/>
      <c r="K363" s="3"/>
      <c r="L363" s="3"/>
      <c r="M363" s="3"/>
      <c r="N363" s="3"/>
      <c r="O363" s="3"/>
      <c r="P363" s="3"/>
      <c r="Q363" s="3"/>
      <c r="R363" s="3"/>
      <c r="S363" s="3"/>
      <c r="T363" s="3"/>
      <c r="U363" s="3"/>
      <c r="V363" s="3"/>
      <c r="W363" s="3"/>
      <c r="BF363" s="3"/>
      <c r="BG363" s="3"/>
      <c r="BH363" s="3"/>
      <c r="BI363" s="3"/>
    </row>
    <row r="364" spans="2:61" s="129" customFormat="1">
      <c r="B364" s="89" t="str">
        <f>IF(Main_Parameters!$C$41="TX0 Enable","REMnd","WR32")</f>
        <v>WR32</v>
      </c>
      <c r="C364" s="5" t="s">
        <v>433</v>
      </c>
      <c r="D364" s="14" t="s">
        <v>437</v>
      </c>
      <c r="E364" s="83" t="s">
        <v>167</v>
      </c>
      <c r="F364" s="36"/>
      <c r="G364"/>
      <c r="H364"/>
      <c r="I364" s="2"/>
      <c r="J364" s="3"/>
      <c r="K364" s="3"/>
      <c r="L364" s="3"/>
      <c r="M364" s="3"/>
      <c r="N364" s="3"/>
      <c r="O364" s="3"/>
      <c r="P364" s="3"/>
      <c r="Q364" s="3"/>
      <c r="R364" s="3"/>
      <c r="S364" s="3"/>
      <c r="T364" s="3"/>
      <c r="U364" s="3"/>
      <c r="V364" s="3"/>
      <c r="W364" s="3"/>
      <c r="BF364" s="3"/>
      <c r="BG364" s="3"/>
      <c r="BH364" s="3"/>
      <c r="BI364" s="3"/>
    </row>
    <row r="365" spans="2:61" s="129" customFormat="1">
      <c r="B365" s="80" t="s">
        <v>14</v>
      </c>
      <c r="C365" s="82" t="s">
        <v>240</v>
      </c>
      <c r="D365" s="80"/>
      <c r="E365" s="101"/>
      <c r="F365" s="92"/>
      <c r="G365"/>
      <c r="H365"/>
      <c r="I365"/>
      <c r="J365"/>
      <c r="K365"/>
      <c r="L365"/>
      <c r="M365"/>
      <c r="N365"/>
      <c r="O365"/>
      <c r="P365"/>
      <c r="Q365"/>
      <c r="R365"/>
      <c r="S365"/>
      <c r="T365"/>
      <c r="U365"/>
      <c r="V365"/>
      <c r="W365"/>
      <c r="X365" s="222"/>
      <c r="BF365" s="3"/>
      <c r="BG365" s="3"/>
      <c r="BH365" s="3"/>
      <c r="BI365" s="3"/>
    </row>
    <row r="366" spans="2:61" s="129" customFormat="1">
      <c r="B366" s="89" t="str">
        <f>IF(Main_Parameters!$D$153=1,"WR32","REMnd")</f>
        <v>WR32</v>
      </c>
      <c r="C366" s="5" t="s">
        <v>468</v>
      </c>
      <c r="D366" s="14" t="s">
        <v>466</v>
      </c>
      <c r="E366" s="93" t="str">
        <f>Main_Parameters!$C147</f>
        <v>005A0005</v>
      </c>
      <c r="F366" s="36"/>
      <c r="G366"/>
      <c r="H366"/>
      <c r="I366" s="2"/>
      <c r="J366" s="3"/>
      <c r="K366" s="3"/>
      <c r="L366" s="3"/>
      <c r="M366" s="3"/>
      <c r="N366" s="3"/>
      <c r="O366" s="3"/>
      <c r="P366" s="3"/>
      <c r="Q366" s="3"/>
      <c r="R366" s="3"/>
      <c r="S366" s="3"/>
      <c r="T366" s="3"/>
      <c r="U366" s="3"/>
      <c r="V366" s="3"/>
      <c r="W366" s="3"/>
      <c r="BF366" s="3"/>
      <c r="BG366" s="3"/>
      <c r="BH366" s="3"/>
      <c r="BI366" s="3"/>
    </row>
    <row r="367" spans="2:61" s="129" customFormat="1">
      <c r="B367" s="89" t="str">
        <f>IF(Main_Parameters!$D$153=1,"WR32","REMnd")</f>
        <v>WR32</v>
      </c>
      <c r="C367" s="5" t="s">
        <v>469</v>
      </c>
      <c r="D367" s="14" t="s">
        <v>467</v>
      </c>
      <c r="E367" s="93" t="str">
        <f ca="1">Main_Parameters!$C148</f>
        <v>00640438</v>
      </c>
      <c r="F367" s="36"/>
      <c r="G367"/>
      <c r="H367"/>
      <c r="I367" s="2"/>
      <c r="J367" s="3"/>
      <c r="K367" s="3"/>
      <c r="L367" s="3"/>
      <c r="M367" s="3"/>
      <c r="N367" s="3"/>
      <c r="O367" s="3"/>
      <c r="P367" s="3"/>
      <c r="Q367" s="3"/>
      <c r="R367" s="3"/>
      <c r="S367" s="3"/>
      <c r="T367" s="3"/>
      <c r="U367" s="3"/>
      <c r="V367" s="3"/>
      <c r="W367" s="3"/>
      <c r="BF367" s="3"/>
      <c r="BG367" s="3"/>
      <c r="BH367" s="3"/>
      <c r="BI367" s="3"/>
    </row>
    <row r="368" spans="2:61" s="129" customFormat="1">
      <c r="B368" s="89" t="str">
        <f>IF(Main_Parameters!$D$153=1,"WR32","REMnd")</f>
        <v>WR32</v>
      </c>
      <c r="C368" s="5" t="s">
        <v>470</v>
      </c>
      <c r="D368" s="14" t="s">
        <v>472</v>
      </c>
      <c r="E368" s="93" t="str">
        <f>Main_Parameters!$C149</f>
        <v>00030003</v>
      </c>
      <c r="F368" s="36"/>
      <c r="G368"/>
      <c r="H368"/>
      <c r="I368" s="2"/>
      <c r="J368" s="3"/>
      <c r="K368" s="3"/>
      <c r="L368" s="3"/>
      <c r="M368" s="3"/>
      <c r="N368" s="3"/>
      <c r="O368" s="3"/>
      <c r="P368" s="3"/>
      <c r="Q368" s="3"/>
      <c r="R368" s="3"/>
      <c r="S368" s="3"/>
      <c r="T368" s="3"/>
      <c r="U368" s="3"/>
      <c r="V368" s="3"/>
      <c r="W368" s="3"/>
      <c r="BF368" s="3"/>
      <c r="BG368" s="3"/>
      <c r="BH368" s="3"/>
      <c r="BI368" s="3"/>
    </row>
    <row r="369" spans="2:61" s="129" customFormat="1">
      <c r="B369" s="89" t="str">
        <f>IF(Main_Parameters!$D$153=1,"WR32","REMnd")</f>
        <v>WR32</v>
      </c>
      <c r="C369" s="5" t="s">
        <v>471</v>
      </c>
      <c r="D369" s="14" t="s">
        <v>473</v>
      </c>
      <c r="E369" s="93" t="str">
        <f ca="1">Main_Parameters!$C150</f>
        <v>000604B0</v>
      </c>
      <c r="F369" s="36"/>
      <c r="G369"/>
      <c r="H369"/>
      <c r="I369" s="2"/>
      <c r="J369" s="3"/>
      <c r="K369" s="3"/>
      <c r="L369" s="3"/>
      <c r="M369" s="3"/>
      <c r="N369" s="3"/>
      <c r="O369" s="3"/>
      <c r="P369" s="3"/>
      <c r="Q369" s="3"/>
      <c r="R369" s="3"/>
      <c r="S369" s="3"/>
      <c r="T369" s="3"/>
      <c r="U369" s="3"/>
      <c r="V369" s="3"/>
      <c r="W369" s="3"/>
      <c r="BF369" s="3"/>
      <c r="BG369" s="3"/>
      <c r="BH369" s="3"/>
      <c r="BI369" s="3"/>
    </row>
    <row r="370" spans="2:61" s="129" customFormat="1">
      <c r="B370" s="89" t="str">
        <f>IF(Main_Parameters!$D$153=1,"WR32","REMnd")</f>
        <v>WR32</v>
      </c>
      <c r="C370" s="5" t="s">
        <v>476</v>
      </c>
      <c r="D370" s="14" t="s">
        <v>474</v>
      </c>
      <c r="E370" s="93" t="str">
        <f>Main_Parameters!$C151</f>
        <v>00000001</v>
      </c>
      <c r="F370" s="36"/>
      <c r="G370"/>
      <c r="H370"/>
      <c r="I370" s="2"/>
      <c r="J370" s="3"/>
      <c r="K370" s="3"/>
      <c r="L370" s="3"/>
      <c r="M370" s="3"/>
      <c r="N370" s="3"/>
      <c r="O370" s="3"/>
      <c r="P370" s="3"/>
      <c r="Q370" s="3"/>
      <c r="R370" s="3"/>
      <c r="S370" s="3"/>
      <c r="T370" s="3"/>
      <c r="U370" s="3"/>
      <c r="V370" s="3"/>
      <c r="W370" s="3"/>
      <c r="BF370" s="3"/>
      <c r="BG370" s="3"/>
      <c r="BH370" s="3"/>
      <c r="BI370" s="3"/>
    </row>
    <row r="371" spans="2:61" s="129" customFormat="1">
      <c r="B371" s="89" t="str">
        <f>IF(Main_Parameters!$D$153=1,"WR32","REMnd")</f>
        <v>WR32</v>
      </c>
      <c r="C371" s="5" t="s">
        <v>477</v>
      </c>
      <c r="D371" s="14" t="s">
        <v>475</v>
      </c>
      <c r="E371" s="93" t="str">
        <f>Main_Parameters!$C152</f>
        <v>00FF0000</v>
      </c>
      <c r="F371" s="36"/>
      <c r="G371"/>
      <c r="H371"/>
      <c r="I371" s="2"/>
      <c r="J371" s="3"/>
      <c r="K371" s="3"/>
      <c r="L371" s="3"/>
      <c r="M371" s="3"/>
      <c r="N371" s="3"/>
      <c r="O371" s="3"/>
      <c r="P371" s="3"/>
      <c r="Q371" s="3"/>
      <c r="R371" s="3"/>
      <c r="S371" s="3"/>
      <c r="T371" s="3"/>
      <c r="U371" s="3"/>
      <c r="V371" s="3"/>
      <c r="W371" s="3"/>
      <c r="BF371" s="3"/>
      <c r="BG371" s="3"/>
      <c r="BH371" s="3"/>
      <c r="BI371" s="3"/>
    </row>
    <row r="372" spans="2:61" s="129" customFormat="1">
      <c r="B372" s="89" t="str">
        <f>IF(Main_Parameters!$D$153=1,"WR32","REMnd")</f>
        <v>WR32</v>
      </c>
      <c r="C372" s="5" t="s">
        <v>478</v>
      </c>
      <c r="D372" s="14" t="s">
        <v>480</v>
      </c>
      <c r="E372" s="93" t="str">
        <f>Main_Parameters!$C153</f>
        <v>00000001</v>
      </c>
      <c r="F372" s="36"/>
      <c r="G372"/>
      <c r="H372"/>
      <c r="I372" s="2"/>
      <c r="J372" s="3"/>
      <c r="K372" s="3"/>
      <c r="L372" s="3"/>
      <c r="M372" s="3"/>
      <c r="N372" s="3"/>
      <c r="O372" s="3"/>
      <c r="P372" s="3"/>
      <c r="Q372" s="3"/>
      <c r="R372" s="3"/>
      <c r="S372" s="3"/>
      <c r="T372" s="3"/>
      <c r="U372" s="3"/>
      <c r="V372" s="3"/>
      <c r="W372" s="3"/>
      <c r="BF372" s="3"/>
      <c r="BG372" s="3"/>
      <c r="BH372" s="3"/>
      <c r="BI372" s="3"/>
    </row>
    <row r="373" spans="2:61" s="129" customFormat="1">
      <c r="B373" s="89" t="str">
        <f>IF(Main_Parameters!$D$153=1,"WR32","REMnd")</f>
        <v>WR32</v>
      </c>
      <c r="C373" s="5" t="s">
        <v>479</v>
      </c>
      <c r="D373" s="14" t="s">
        <v>481</v>
      </c>
      <c r="E373" s="93" t="str">
        <f>Main_Parameters!$C154</f>
        <v>00000000</v>
      </c>
      <c r="F373" s="36"/>
      <c r="G373"/>
      <c r="H373"/>
      <c r="I373" s="2"/>
      <c r="J373" s="3"/>
      <c r="K373" s="3"/>
      <c r="L373" s="3"/>
      <c r="M373" s="3"/>
      <c r="N373" s="3"/>
      <c r="O373" s="3"/>
      <c r="P373" s="3"/>
      <c r="Q373" s="3"/>
      <c r="R373" s="3"/>
      <c r="S373" s="3"/>
      <c r="T373" s="3"/>
      <c r="U373" s="3"/>
      <c r="V373" s="3"/>
      <c r="W373" s="3"/>
      <c r="BF373" s="3"/>
      <c r="BG373" s="3"/>
      <c r="BH373" s="3"/>
      <c r="BI373" s="3"/>
    </row>
    <row r="374" spans="2:61" s="129" customFormat="1" ht="15">
      <c r="B374" s="280" t="s">
        <v>14</v>
      </c>
      <c r="C374" s="281" t="s">
        <v>451</v>
      </c>
      <c r="D374" s="282"/>
      <c r="E374" s="278"/>
      <c r="F374" s="279"/>
      <c r="G374"/>
      <c r="H374"/>
      <c r="I374"/>
      <c r="J374"/>
      <c r="K374"/>
      <c r="L374"/>
      <c r="M374"/>
      <c r="N374"/>
      <c r="O374"/>
      <c r="P374"/>
      <c r="Q374"/>
      <c r="R374"/>
      <c r="S374"/>
      <c r="T374"/>
      <c r="U374"/>
      <c r="V374"/>
      <c r="W374"/>
      <c r="BF374" s="3"/>
      <c r="BG374" s="3"/>
      <c r="BH374" s="3"/>
      <c r="BI374" s="3"/>
    </row>
    <row r="375" spans="2:61" s="129" customFormat="1" outlineLevel="1">
      <c r="B375" s="167"/>
      <c r="C375" s="168"/>
      <c r="D375" s="169"/>
      <c r="E375" s="170"/>
      <c r="F375" s="171"/>
      <c r="G375"/>
      <c r="H375"/>
      <c r="I375"/>
      <c r="J375"/>
      <c r="K375"/>
      <c r="L375"/>
      <c r="M375"/>
      <c r="N375"/>
      <c r="O375"/>
      <c r="P375"/>
      <c r="Q375"/>
      <c r="R375"/>
      <c r="S375"/>
      <c r="T375"/>
      <c r="U375"/>
      <c r="V375"/>
      <c r="W375"/>
      <c r="BF375" s="3"/>
      <c r="BG375" s="3"/>
      <c r="BH375" s="3"/>
      <c r="BI375" s="3"/>
    </row>
    <row r="376" spans="2:61" s="129" customFormat="1" outlineLevel="1">
      <c r="B376" s="167"/>
      <c r="C376" s="168"/>
      <c r="D376" s="169"/>
      <c r="E376" s="170"/>
      <c r="F376" s="171"/>
      <c r="G376"/>
      <c r="H376"/>
      <c r="I376"/>
      <c r="J376"/>
      <c r="K376"/>
      <c r="L376"/>
      <c r="M376"/>
      <c r="N376"/>
      <c r="O376"/>
      <c r="P376"/>
      <c r="Q376"/>
      <c r="R376"/>
      <c r="S376"/>
      <c r="T376"/>
      <c r="U376"/>
      <c r="V376"/>
      <c r="W376"/>
      <c r="BF376" s="3"/>
      <c r="BG376" s="3"/>
      <c r="BH376" s="3"/>
      <c r="BI376" s="3"/>
    </row>
    <row r="377" spans="2:61" s="129" customFormat="1" outlineLevel="1">
      <c r="B377" s="167"/>
      <c r="C377" s="168"/>
      <c r="D377" s="311"/>
      <c r="E377" s="170"/>
      <c r="F377" s="171"/>
      <c r="G377"/>
      <c r="H377"/>
      <c r="I377"/>
      <c r="J377"/>
      <c r="K377"/>
      <c r="L377"/>
      <c r="M377"/>
      <c r="N377"/>
      <c r="O377"/>
      <c r="P377"/>
      <c r="Q377"/>
      <c r="R377"/>
      <c r="S377"/>
      <c r="T377"/>
      <c r="U377"/>
      <c r="V377"/>
      <c r="W377"/>
      <c r="BF377" s="3"/>
      <c r="BG377" s="3"/>
      <c r="BH377" s="3"/>
      <c r="BI377" s="3"/>
    </row>
    <row r="378" spans="2:61" s="129" customFormat="1" outlineLevel="1">
      <c r="B378" s="167"/>
      <c r="C378" s="168"/>
      <c r="D378" s="170"/>
      <c r="E378" s="170"/>
      <c r="F378" s="171"/>
      <c r="G378"/>
      <c r="H378"/>
      <c r="I378"/>
      <c r="J378"/>
      <c r="K378"/>
      <c r="L378"/>
      <c r="M378"/>
      <c r="N378"/>
      <c r="O378"/>
      <c r="P378"/>
      <c r="Q378"/>
      <c r="R378"/>
      <c r="S378"/>
      <c r="T378"/>
      <c r="U378"/>
      <c r="V378"/>
      <c r="W378"/>
      <c r="BF378" s="3"/>
      <c r="BG378" s="3"/>
      <c r="BH378" s="3"/>
      <c r="BI378" s="3"/>
    </row>
    <row r="379" spans="2:61" s="129" customFormat="1" outlineLevel="1">
      <c r="B379" s="167"/>
      <c r="C379" s="168"/>
      <c r="D379" s="311"/>
      <c r="E379" s="286"/>
      <c r="F379" s="171"/>
      <c r="G379"/>
      <c r="H379"/>
      <c r="I379"/>
      <c r="J379"/>
      <c r="K379"/>
      <c r="L379"/>
      <c r="M379"/>
      <c r="N379"/>
      <c r="O379"/>
      <c r="P379"/>
      <c r="Q379"/>
      <c r="R379"/>
      <c r="S379"/>
      <c r="T379"/>
      <c r="U379"/>
      <c r="V379"/>
      <c r="W379"/>
      <c r="BF379" s="3"/>
      <c r="BG379" s="3"/>
      <c r="BH379" s="3"/>
      <c r="BI379" s="3"/>
    </row>
    <row r="380" spans="2:61" s="129" customFormat="1" outlineLevel="1">
      <c r="B380" s="268"/>
      <c r="C380" s="269"/>
      <c r="D380" s="270"/>
      <c r="E380" s="271"/>
      <c r="F380" s="269"/>
      <c r="G380"/>
      <c r="H380"/>
      <c r="I380"/>
      <c r="J380"/>
      <c r="K380"/>
      <c r="L380"/>
      <c r="M380"/>
      <c r="N380"/>
      <c r="O380"/>
      <c r="P380"/>
      <c r="Q380"/>
      <c r="R380"/>
      <c r="S380"/>
      <c r="T380"/>
      <c r="U380"/>
      <c r="V380"/>
      <c r="W380"/>
      <c r="BF380" s="3"/>
      <c r="BG380" s="3"/>
      <c r="BH380" s="3"/>
      <c r="BI380" s="3"/>
    </row>
    <row r="381" spans="2:61" s="129" customFormat="1" outlineLevel="1">
      <c r="B381" s="167"/>
      <c r="C381" s="168"/>
      <c r="D381" s="169"/>
      <c r="E381" s="170"/>
      <c r="F381" s="171"/>
      <c r="G381"/>
      <c r="H381"/>
      <c r="I381"/>
      <c r="J381"/>
      <c r="K381"/>
      <c r="L381"/>
      <c r="M381"/>
      <c r="N381"/>
      <c r="O381"/>
      <c r="P381"/>
      <c r="Q381"/>
      <c r="R381"/>
      <c r="S381"/>
      <c r="T381"/>
      <c r="U381"/>
      <c r="V381"/>
      <c r="W381"/>
      <c r="BF381" s="3"/>
      <c r="BG381" s="3"/>
      <c r="BH381" s="3"/>
      <c r="BI381" s="3"/>
    </row>
    <row r="382" spans="2:61" s="129" customFormat="1" outlineLevel="1">
      <c r="B382" s="167"/>
      <c r="C382" s="168"/>
      <c r="D382" s="311"/>
      <c r="E382" s="170"/>
      <c r="F382" s="171"/>
      <c r="G382"/>
      <c r="H382"/>
      <c r="I382"/>
      <c r="J382"/>
      <c r="K382"/>
      <c r="L382"/>
      <c r="M382"/>
      <c r="N382"/>
      <c r="O382"/>
      <c r="P382"/>
      <c r="Q382"/>
      <c r="R382"/>
      <c r="S382"/>
      <c r="T382"/>
      <c r="U382"/>
      <c r="V382"/>
      <c r="W382"/>
      <c r="BF382" s="3"/>
      <c r="BG382" s="3"/>
      <c r="BH382" s="3"/>
      <c r="BI382" s="3"/>
    </row>
    <row r="383" spans="2:61" s="129" customFormat="1" outlineLevel="1">
      <c r="B383" s="167"/>
      <c r="C383" s="168"/>
      <c r="D383" s="170"/>
      <c r="E383" s="170"/>
      <c r="F383" s="171"/>
      <c r="G383"/>
      <c r="H383"/>
      <c r="I383"/>
      <c r="J383"/>
      <c r="K383"/>
      <c r="L383"/>
      <c r="M383"/>
      <c r="N383"/>
      <c r="O383"/>
      <c r="P383"/>
      <c r="Q383"/>
      <c r="R383"/>
      <c r="S383"/>
      <c r="T383"/>
      <c r="U383"/>
      <c r="V383"/>
      <c r="W383"/>
      <c r="BF383" s="3"/>
      <c r="BG383" s="3"/>
      <c r="BH383" s="3"/>
      <c r="BI383" s="3"/>
    </row>
    <row r="384" spans="2:61" s="129" customFormat="1" outlineLevel="1">
      <c r="B384" s="167"/>
      <c r="C384" s="168"/>
      <c r="D384" s="311"/>
      <c r="E384" s="286"/>
      <c r="F384" s="171"/>
      <c r="G384"/>
      <c r="H384"/>
      <c r="I384"/>
      <c r="J384"/>
      <c r="K384"/>
      <c r="L384"/>
      <c r="M384"/>
      <c r="N384"/>
      <c r="O384"/>
      <c r="P384"/>
      <c r="Q384"/>
      <c r="R384"/>
      <c r="S384"/>
      <c r="T384"/>
      <c r="U384"/>
      <c r="V384"/>
      <c r="W384"/>
      <c r="BF384" s="3"/>
      <c r="BG384" s="3"/>
      <c r="BH384" s="3"/>
      <c r="BI384" s="3"/>
    </row>
    <row r="385" spans="2:61" s="129" customFormat="1" outlineLevel="1">
      <c r="B385" s="268"/>
      <c r="C385" s="269"/>
      <c r="D385" s="270"/>
      <c r="E385" s="271"/>
      <c r="F385" s="269"/>
      <c r="G385"/>
      <c r="H385"/>
      <c r="I385"/>
      <c r="J385"/>
      <c r="K385"/>
      <c r="L385"/>
      <c r="M385"/>
      <c r="N385"/>
      <c r="O385"/>
      <c r="P385"/>
      <c r="Q385"/>
      <c r="R385"/>
      <c r="S385"/>
      <c r="T385"/>
      <c r="U385"/>
      <c r="V385"/>
      <c r="W385"/>
      <c r="BF385" s="3"/>
      <c r="BG385" s="3"/>
      <c r="BH385" s="3"/>
      <c r="BI385" s="3"/>
    </row>
    <row r="386" spans="2:61" s="129" customFormat="1" outlineLevel="1">
      <c r="B386" s="167"/>
      <c r="C386" s="168"/>
      <c r="D386" s="169"/>
      <c r="E386" s="170"/>
      <c r="F386" s="171"/>
      <c r="G386"/>
      <c r="H386"/>
      <c r="I386"/>
      <c r="J386"/>
      <c r="K386"/>
      <c r="L386"/>
      <c r="M386"/>
      <c r="N386"/>
      <c r="O386"/>
      <c r="P386"/>
      <c r="Q386"/>
      <c r="R386"/>
      <c r="S386"/>
      <c r="T386"/>
      <c r="U386"/>
      <c r="V386"/>
      <c r="W386"/>
      <c r="BF386" s="3"/>
      <c r="BG386" s="3"/>
      <c r="BH386" s="3"/>
      <c r="BI386" s="3"/>
    </row>
    <row r="387" spans="2:61" s="129" customFormat="1" outlineLevel="1">
      <c r="B387" s="167"/>
      <c r="C387" s="168"/>
      <c r="D387" s="311"/>
      <c r="E387" s="170"/>
      <c r="F387" s="171"/>
      <c r="G387"/>
      <c r="H387"/>
      <c r="I387"/>
      <c r="J387"/>
      <c r="K387"/>
      <c r="L387"/>
      <c r="M387"/>
      <c r="N387"/>
      <c r="O387"/>
      <c r="P387"/>
      <c r="Q387"/>
      <c r="R387"/>
      <c r="S387"/>
      <c r="T387"/>
      <c r="U387"/>
      <c r="V387"/>
      <c r="W387"/>
      <c r="BF387" s="3"/>
      <c r="BG387" s="3"/>
      <c r="BH387" s="3"/>
      <c r="BI387" s="3"/>
    </row>
    <row r="388" spans="2:61" s="129" customFormat="1" outlineLevel="1">
      <c r="B388" s="167"/>
      <c r="C388" s="168"/>
      <c r="D388" s="170"/>
      <c r="E388" s="170"/>
      <c r="F388" s="171"/>
      <c r="G388"/>
      <c r="H388"/>
      <c r="I388"/>
      <c r="J388"/>
      <c r="K388"/>
      <c r="L388"/>
      <c r="M388"/>
      <c r="N388"/>
      <c r="O388"/>
      <c r="P388"/>
      <c r="Q388"/>
      <c r="R388"/>
      <c r="S388"/>
      <c r="T388"/>
      <c r="U388"/>
      <c r="V388"/>
      <c r="W388"/>
      <c r="BF388" s="3"/>
      <c r="BG388" s="3"/>
      <c r="BH388" s="3"/>
      <c r="BI388" s="3"/>
    </row>
    <row r="389" spans="2:61" s="129" customFormat="1" outlineLevel="1">
      <c r="B389" s="167"/>
      <c r="C389" s="168"/>
      <c r="D389" s="311"/>
      <c r="E389" s="286"/>
      <c r="F389" s="171"/>
      <c r="G389"/>
      <c r="H389"/>
      <c r="I389"/>
      <c r="J389"/>
      <c r="K389"/>
      <c r="L389"/>
      <c r="M389"/>
      <c r="N389"/>
      <c r="O389"/>
      <c r="P389"/>
      <c r="Q389"/>
      <c r="R389"/>
      <c r="S389"/>
      <c r="T389"/>
      <c r="U389"/>
      <c r="V389"/>
      <c r="W389"/>
      <c r="BF389" s="3"/>
      <c r="BG389" s="3"/>
      <c r="BH389" s="3"/>
      <c r="BI389" s="3"/>
    </row>
    <row r="390" spans="2:61" s="129" customFormat="1" outlineLevel="1">
      <c r="B390" s="268"/>
      <c r="C390" s="269"/>
      <c r="D390" s="270"/>
      <c r="E390" s="271"/>
      <c r="F390" s="269"/>
      <c r="G390"/>
      <c r="H390"/>
      <c r="I390"/>
      <c r="J390"/>
      <c r="K390"/>
      <c r="L390"/>
      <c r="M390"/>
      <c r="N390"/>
      <c r="O390"/>
      <c r="P390"/>
      <c r="Q390"/>
      <c r="R390"/>
      <c r="S390"/>
      <c r="T390"/>
      <c r="U390"/>
      <c r="V390"/>
      <c r="W390"/>
      <c r="BF390" s="3"/>
      <c r="BG390" s="3"/>
      <c r="BH390" s="3"/>
      <c r="BI390" s="3"/>
    </row>
    <row r="391" spans="2:61" s="129" customFormat="1" outlineLevel="1">
      <c r="B391" s="167"/>
      <c r="C391" s="168"/>
      <c r="D391" s="169"/>
      <c r="E391" s="170"/>
      <c r="F391" s="171"/>
      <c r="G391"/>
      <c r="H391"/>
      <c r="I391"/>
      <c r="J391"/>
      <c r="K391"/>
      <c r="L391"/>
      <c r="M391"/>
      <c r="N391"/>
      <c r="O391"/>
      <c r="P391"/>
      <c r="Q391"/>
      <c r="R391"/>
      <c r="S391"/>
      <c r="T391"/>
      <c r="U391"/>
      <c r="V391"/>
      <c r="W391"/>
      <c r="BF391" s="3"/>
      <c r="BG391" s="3"/>
      <c r="BH391" s="3"/>
      <c r="BI391" s="3"/>
    </row>
    <row r="392" spans="2:61" s="129" customFormat="1" outlineLevel="1">
      <c r="B392" s="167"/>
      <c r="C392" s="168"/>
      <c r="D392" s="311"/>
      <c r="E392" s="170"/>
      <c r="F392" s="171"/>
      <c r="G392"/>
      <c r="H392"/>
      <c r="I392"/>
      <c r="J392"/>
      <c r="K392"/>
      <c r="L392"/>
      <c r="M392"/>
      <c r="N392"/>
      <c r="O392"/>
      <c r="P392"/>
      <c r="Q392"/>
      <c r="R392"/>
      <c r="S392"/>
      <c r="T392"/>
      <c r="U392"/>
      <c r="V392"/>
      <c r="W392"/>
      <c r="BF392" s="3"/>
      <c r="BG392" s="3"/>
      <c r="BH392" s="3"/>
      <c r="BI392" s="3"/>
    </row>
    <row r="393" spans="2:61" s="129" customFormat="1" outlineLevel="1">
      <c r="B393" s="167"/>
      <c r="C393" s="168"/>
      <c r="D393" s="170"/>
      <c r="E393" s="170"/>
      <c r="F393" s="171"/>
      <c r="G393"/>
      <c r="H393"/>
      <c r="I393"/>
      <c r="J393"/>
      <c r="K393"/>
      <c r="L393"/>
      <c r="M393"/>
      <c r="N393"/>
      <c r="O393"/>
      <c r="P393"/>
      <c r="Q393"/>
      <c r="R393"/>
      <c r="S393"/>
      <c r="T393"/>
      <c r="U393"/>
      <c r="V393"/>
      <c r="W393"/>
      <c r="BF393" s="3"/>
      <c r="BG393" s="3"/>
      <c r="BH393" s="3"/>
      <c r="BI393" s="3"/>
    </row>
    <row r="394" spans="2:61" s="129" customFormat="1" outlineLevel="1">
      <c r="B394" s="167"/>
      <c r="C394" s="168"/>
      <c r="D394" s="311"/>
      <c r="E394" s="286"/>
      <c r="F394" s="171"/>
      <c r="G394"/>
      <c r="H394"/>
      <c r="I394"/>
      <c r="J394"/>
      <c r="K394"/>
      <c r="L394"/>
      <c r="M394"/>
      <c r="N394"/>
      <c r="O394"/>
      <c r="P394"/>
      <c r="Q394"/>
      <c r="R394"/>
      <c r="S394"/>
      <c r="T394"/>
      <c r="U394"/>
      <c r="V394"/>
      <c r="W394"/>
      <c r="BF394" s="3"/>
      <c r="BG394" s="3"/>
      <c r="BH394" s="3"/>
      <c r="BI394" s="3"/>
    </row>
    <row r="395" spans="2:61" s="129" customFormat="1" outlineLevel="1">
      <c r="B395" s="268"/>
      <c r="C395" s="269"/>
      <c r="D395" s="270"/>
      <c r="E395" s="271"/>
      <c r="F395" s="269"/>
      <c r="G395"/>
      <c r="H395"/>
      <c r="I395"/>
      <c r="J395"/>
      <c r="K395"/>
      <c r="L395"/>
      <c r="M395"/>
      <c r="N395"/>
      <c r="O395"/>
      <c r="P395"/>
      <c r="Q395"/>
      <c r="R395"/>
      <c r="S395"/>
      <c r="T395"/>
      <c r="U395"/>
      <c r="V395"/>
      <c r="W395"/>
      <c r="BF395" s="3"/>
      <c r="BG395" s="3"/>
      <c r="BH395" s="3"/>
      <c r="BI395" s="3"/>
    </row>
    <row r="396" spans="2:61" s="129" customFormat="1" outlineLevel="1">
      <c r="B396" s="167"/>
      <c r="C396" s="168"/>
      <c r="D396" s="169"/>
      <c r="E396" s="170"/>
      <c r="F396" s="171"/>
      <c r="G396"/>
      <c r="H396"/>
      <c r="I396"/>
      <c r="J396"/>
      <c r="K396"/>
      <c r="L396"/>
      <c r="M396"/>
      <c r="N396"/>
      <c r="O396"/>
      <c r="P396"/>
      <c r="Q396"/>
      <c r="R396"/>
      <c r="S396"/>
      <c r="T396"/>
      <c r="U396"/>
      <c r="V396"/>
      <c r="W396"/>
      <c r="BF396" s="3"/>
      <c r="BG396" s="3"/>
      <c r="BH396" s="3"/>
      <c r="BI396" s="3"/>
    </row>
    <row r="397" spans="2:61" s="129" customFormat="1" outlineLevel="1">
      <c r="B397" s="167"/>
      <c r="C397" s="168"/>
      <c r="D397" s="169"/>
      <c r="E397" s="170"/>
      <c r="F397" s="171"/>
      <c r="G397"/>
      <c r="H397"/>
      <c r="I397"/>
      <c r="J397"/>
      <c r="K397"/>
      <c r="L397"/>
      <c r="M397"/>
      <c r="N397"/>
      <c r="O397"/>
      <c r="P397"/>
      <c r="Q397"/>
      <c r="R397"/>
      <c r="S397"/>
      <c r="T397"/>
      <c r="U397"/>
      <c r="V397"/>
      <c r="W397"/>
      <c r="BF397" s="3"/>
      <c r="BG397" s="3"/>
      <c r="BH397" s="3"/>
      <c r="BI397" s="3"/>
    </row>
    <row r="398" spans="2:61" s="129" customFormat="1" outlineLevel="1">
      <c r="B398" s="167"/>
      <c r="C398" s="168"/>
      <c r="D398" s="169"/>
      <c r="E398" s="170"/>
      <c r="F398" s="171"/>
      <c r="G398"/>
      <c r="H398"/>
      <c r="I398"/>
      <c r="J398"/>
      <c r="K398"/>
      <c r="L398"/>
      <c r="M398"/>
      <c r="N398"/>
      <c r="O398"/>
      <c r="P398"/>
      <c r="Q398"/>
      <c r="R398"/>
      <c r="S398"/>
      <c r="T398"/>
      <c r="U398"/>
      <c r="V398"/>
      <c r="W398"/>
      <c r="BF398" s="3"/>
      <c r="BG398" s="3"/>
      <c r="BH398" s="3"/>
      <c r="BI398" s="3"/>
    </row>
    <row r="399" spans="2:61" s="129" customFormat="1" outlineLevel="1">
      <c r="B399" s="167"/>
      <c r="C399" s="168"/>
      <c r="D399" s="169"/>
      <c r="E399" s="170"/>
      <c r="F399" s="171"/>
      <c r="G399"/>
      <c r="H399"/>
      <c r="I399"/>
      <c r="J399"/>
      <c r="K399"/>
      <c r="L399"/>
      <c r="M399"/>
      <c r="N399"/>
      <c r="O399"/>
      <c r="P399"/>
      <c r="Q399"/>
      <c r="R399"/>
      <c r="S399"/>
      <c r="T399"/>
      <c r="U399"/>
      <c r="V399"/>
      <c r="W399"/>
      <c r="BF399" s="3"/>
      <c r="BG399" s="3"/>
      <c r="BH399" s="3"/>
      <c r="BI399" s="3"/>
    </row>
    <row r="400" spans="2:61" s="129" customFormat="1" outlineLevel="1">
      <c r="B400" s="167"/>
      <c r="C400" s="168"/>
      <c r="D400" s="169"/>
      <c r="E400" s="170"/>
      <c r="F400" s="171"/>
      <c r="G400"/>
      <c r="H400"/>
      <c r="I400"/>
      <c r="J400"/>
      <c r="K400"/>
      <c r="L400"/>
      <c r="M400"/>
      <c r="N400"/>
      <c r="O400"/>
      <c r="P400"/>
      <c r="Q400"/>
      <c r="R400"/>
      <c r="S400"/>
      <c r="T400"/>
      <c r="U400"/>
      <c r="V400"/>
      <c r="W400"/>
      <c r="BF400" s="3"/>
      <c r="BG400" s="3"/>
      <c r="BH400" s="3"/>
      <c r="BI400" s="3"/>
    </row>
    <row r="401" spans="2:61" s="129" customFormat="1" outlineLevel="1">
      <c r="B401" s="167"/>
      <c r="C401" s="168"/>
      <c r="D401" s="169"/>
      <c r="E401" s="170"/>
      <c r="F401" s="171"/>
      <c r="G401"/>
      <c r="H401"/>
      <c r="I401"/>
      <c r="J401"/>
      <c r="K401"/>
      <c r="L401"/>
      <c r="M401"/>
      <c r="N401"/>
      <c r="O401"/>
      <c r="P401"/>
      <c r="Q401"/>
      <c r="R401"/>
      <c r="S401"/>
      <c r="T401"/>
      <c r="U401"/>
      <c r="V401"/>
      <c r="W401"/>
      <c r="BF401" s="3"/>
      <c r="BG401" s="3"/>
      <c r="BH401" s="3"/>
      <c r="BI401" s="3"/>
    </row>
    <row r="402" spans="2:61" s="129" customFormat="1" outlineLevel="1">
      <c r="B402" s="167"/>
      <c r="C402" s="168"/>
      <c r="D402" s="169"/>
      <c r="E402" s="170"/>
      <c r="F402" s="171"/>
      <c r="G402"/>
      <c r="H402"/>
      <c r="I402"/>
      <c r="J402"/>
      <c r="K402"/>
      <c r="L402"/>
      <c r="M402"/>
      <c r="N402"/>
      <c r="O402"/>
      <c r="P402"/>
      <c r="Q402"/>
      <c r="R402"/>
      <c r="S402"/>
      <c r="T402"/>
      <c r="U402"/>
      <c r="V402"/>
      <c r="W402"/>
      <c r="BF402" s="3"/>
      <c r="BG402" s="3"/>
      <c r="BH402" s="3"/>
      <c r="BI402" s="3"/>
    </row>
    <row r="403" spans="2:61" s="129" customFormat="1" outlineLevel="1">
      <c r="B403" s="167"/>
      <c r="C403" s="168"/>
      <c r="D403" s="169"/>
      <c r="E403" s="170"/>
      <c r="F403" s="171"/>
      <c r="G403"/>
      <c r="H403"/>
      <c r="I403"/>
      <c r="J403"/>
      <c r="K403"/>
      <c r="L403"/>
      <c r="M403"/>
      <c r="N403"/>
      <c r="O403"/>
      <c r="P403"/>
      <c r="Q403"/>
      <c r="R403"/>
      <c r="S403"/>
      <c r="T403"/>
      <c r="U403"/>
      <c r="V403"/>
      <c r="W403"/>
      <c r="BF403" s="3"/>
      <c r="BG403" s="3"/>
      <c r="BH403" s="3"/>
      <c r="BI403" s="3"/>
    </row>
    <row r="404" spans="2:61" s="129" customFormat="1" outlineLevel="1">
      <c r="B404" s="167"/>
      <c r="C404" s="168"/>
      <c r="D404" s="169"/>
      <c r="E404" s="170"/>
      <c r="F404" s="171"/>
      <c r="G404"/>
      <c r="H404"/>
      <c r="I404"/>
      <c r="J404"/>
      <c r="K404"/>
      <c r="L404"/>
      <c r="M404"/>
      <c r="N404"/>
      <c r="O404"/>
      <c r="P404"/>
      <c r="Q404"/>
      <c r="R404"/>
      <c r="S404"/>
      <c r="T404"/>
      <c r="U404"/>
      <c r="V404"/>
      <c r="W404"/>
      <c r="BF404" s="3"/>
      <c r="BG404" s="3"/>
      <c r="BH404" s="3"/>
      <c r="BI404" s="3"/>
    </row>
    <row r="405" spans="2:61" s="129" customFormat="1" outlineLevel="1">
      <c r="B405" s="167"/>
      <c r="C405" s="168"/>
      <c r="D405" s="169"/>
      <c r="E405" s="170"/>
      <c r="F405" s="171"/>
      <c r="G405"/>
      <c r="H405"/>
      <c r="I405"/>
      <c r="J405"/>
      <c r="K405"/>
      <c r="L405"/>
      <c r="M405"/>
      <c r="N405"/>
      <c r="O405"/>
      <c r="P405"/>
      <c r="Q405"/>
      <c r="R405"/>
      <c r="S405"/>
      <c r="T405"/>
      <c r="U405"/>
      <c r="V405"/>
      <c r="W405"/>
      <c r="BF405" s="3"/>
      <c r="BG405" s="3"/>
      <c r="BH405" s="3"/>
      <c r="BI405" s="3"/>
    </row>
    <row r="406" spans="2:61" s="129" customFormat="1" outlineLevel="1">
      <c r="B406" s="167"/>
      <c r="C406" s="168"/>
      <c r="D406" s="169"/>
      <c r="E406" s="170"/>
      <c r="F406" s="171"/>
      <c r="G406"/>
      <c r="H406"/>
      <c r="I406"/>
      <c r="J406"/>
      <c r="K406"/>
      <c r="L406"/>
      <c r="M406"/>
      <c r="N406"/>
      <c r="O406"/>
      <c r="P406"/>
      <c r="Q406"/>
      <c r="R406"/>
      <c r="S406"/>
      <c r="T406"/>
      <c r="U406"/>
      <c r="V406"/>
      <c r="W406"/>
      <c r="BF406" s="3"/>
      <c r="BG406" s="3"/>
      <c r="BH406" s="3"/>
      <c r="BI406" s="3"/>
    </row>
    <row r="407" spans="2:61" s="129" customFormat="1" outlineLevel="1">
      <c r="B407" s="167"/>
      <c r="C407" s="168"/>
      <c r="D407" s="169"/>
      <c r="E407" s="170"/>
      <c r="F407" s="171"/>
      <c r="G407"/>
      <c r="H407"/>
      <c r="I407"/>
      <c r="J407"/>
      <c r="K407"/>
      <c r="L407"/>
      <c r="M407"/>
      <c r="N407"/>
      <c r="O407"/>
      <c r="P407"/>
      <c r="Q407"/>
      <c r="R407"/>
      <c r="S407"/>
      <c r="T407"/>
      <c r="U407"/>
      <c r="V407"/>
      <c r="W407"/>
      <c r="BF407" s="3"/>
      <c r="BG407" s="3"/>
      <c r="BH407" s="3"/>
      <c r="BI407" s="3"/>
    </row>
    <row r="408" spans="2:61" s="129" customFormat="1" outlineLevel="1">
      <c r="B408" s="167"/>
      <c r="C408" s="168"/>
      <c r="D408" s="169"/>
      <c r="E408" s="170"/>
      <c r="F408" s="171"/>
      <c r="G408"/>
      <c r="H408"/>
      <c r="I408"/>
      <c r="J408"/>
      <c r="K408"/>
      <c r="L408"/>
      <c r="M408"/>
      <c r="N408"/>
      <c r="O408"/>
      <c r="P408"/>
      <c r="Q408"/>
      <c r="R408"/>
      <c r="S408"/>
      <c r="T408"/>
      <c r="U408"/>
      <c r="V408"/>
      <c r="W408"/>
      <c r="BF408" s="3"/>
      <c r="BG408" s="3"/>
      <c r="BH408" s="3"/>
      <c r="BI408" s="3"/>
    </row>
    <row r="409" spans="2:61" s="129" customFormat="1" outlineLevel="1">
      <c r="B409" s="167"/>
      <c r="C409" s="168"/>
      <c r="D409" s="169"/>
      <c r="E409" s="170"/>
      <c r="F409" s="171"/>
      <c r="G409"/>
      <c r="H409"/>
      <c r="I409"/>
      <c r="J409"/>
      <c r="K409"/>
      <c r="L409"/>
      <c r="M409"/>
      <c r="N409"/>
      <c r="O409"/>
      <c r="P409"/>
      <c r="Q409"/>
      <c r="R409"/>
      <c r="S409"/>
      <c r="T409"/>
      <c r="U409"/>
      <c r="V409"/>
      <c r="W409"/>
      <c r="BF409" s="3"/>
      <c r="BG409" s="3"/>
      <c r="BH409" s="3"/>
      <c r="BI409" s="3"/>
    </row>
    <row r="410" spans="2:61" s="129" customFormat="1" outlineLevel="1">
      <c r="B410" s="167"/>
      <c r="C410" s="168"/>
      <c r="D410" s="169"/>
      <c r="E410" s="170"/>
      <c r="F410" s="171"/>
      <c r="G410"/>
      <c r="H410"/>
      <c r="I410"/>
      <c r="J410"/>
      <c r="K410"/>
      <c r="L410"/>
      <c r="M410"/>
      <c r="N410"/>
      <c r="O410"/>
      <c r="P410"/>
      <c r="Q410"/>
      <c r="R410"/>
      <c r="S410"/>
      <c r="T410"/>
      <c r="U410"/>
      <c r="V410"/>
      <c r="W410"/>
      <c r="BF410" s="3"/>
      <c r="BG410" s="3"/>
      <c r="BH410" s="3"/>
      <c r="BI410" s="3"/>
    </row>
    <row r="411" spans="2:61" s="129" customFormat="1" outlineLevel="1">
      <c r="B411" s="167"/>
      <c r="C411" s="168"/>
      <c r="D411" s="169"/>
      <c r="E411" s="170"/>
      <c r="F411" s="171"/>
      <c r="G411"/>
      <c r="H411"/>
      <c r="I411"/>
      <c r="J411"/>
      <c r="K411"/>
      <c r="L411"/>
      <c r="M411"/>
      <c r="N411"/>
      <c r="O411"/>
      <c r="P411"/>
      <c r="Q411"/>
      <c r="R411"/>
      <c r="S411"/>
      <c r="T411"/>
      <c r="U411"/>
      <c r="V411"/>
      <c r="W411"/>
      <c r="BF411" s="3"/>
      <c r="BG411" s="3"/>
      <c r="BH411" s="3"/>
      <c r="BI411" s="3"/>
    </row>
    <row r="412" spans="2:61" s="129" customFormat="1" outlineLevel="1">
      <c r="B412" s="167"/>
      <c r="C412" s="168"/>
      <c r="D412" s="169"/>
      <c r="E412" s="170"/>
      <c r="F412" s="171"/>
      <c r="G412"/>
      <c r="H412"/>
      <c r="I412"/>
      <c r="J412"/>
      <c r="K412"/>
      <c r="L412"/>
      <c r="M412"/>
      <c r="N412"/>
      <c r="O412"/>
      <c r="P412"/>
      <c r="Q412"/>
      <c r="R412"/>
      <c r="S412"/>
      <c r="T412"/>
      <c r="U412"/>
      <c r="V412"/>
      <c r="W412"/>
      <c r="BF412" s="3"/>
      <c r="BG412" s="3"/>
      <c r="BH412" s="3"/>
      <c r="BI412" s="3"/>
    </row>
    <row r="413" spans="2:61" s="129" customFormat="1" outlineLevel="1">
      <c r="B413" s="167"/>
      <c r="C413" s="168"/>
      <c r="D413" s="169"/>
      <c r="E413" s="170"/>
      <c r="F413" s="171"/>
      <c r="G413"/>
      <c r="H413"/>
      <c r="I413"/>
      <c r="J413"/>
      <c r="K413"/>
      <c r="L413"/>
      <c r="M413"/>
      <c r="N413"/>
      <c r="O413"/>
      <c r="P413"/>
      <c r="Q413"/>
      <c r="R413"/>
      <c r="S413"/>
      <c r="T413"/>
      <c r="U413"/>
      <c r="V413"/>
      <c r="W413"/>
      <c r="BF413" s="3"/>
      <c r="BG413" s="3"/>
      <c r="BH413" s="3"/>
      <c r="BI413" s="3"/>
    </row>
    <row r="414" spans="2:61" s="129" customFormat="1" outlineLevel="1">
      <c r="B414" s="167"/>
      <c r="C414" s="168"/>
      <c r="D414" s="169"/>
      <c r="E414" s="170"/>
      <c r="F414" s="171"/>
      <c r="G414"/>
      <c r="H414"/>
      <c r="I414"/>
      <c r="J414"/>
      <c r="K414"/>
      <c r="L414"/>
      <c r="M414"/>
      <c r="N414"/>
      <c r="O414"/>
      <c r="P414"/>
      <c r="Q414"/>
      <c r="R414"/>
      <c r="S414"/>
      <c r="T414"/>
      <c r="U414"/>
      <c r="V414"/>
      <c r="W414"/>
      <c r="BF414" s="3"/>
      <c r="BG414" s="3"/>
      <c r="BH414" s="3"/>
      <c r="BI414" s="3"/>
    </row>
    <row r="415" spans="2:61" s="129" customFormat="1" outlineLevel="1">
      <c r="B415" s="167"/>
      <c r="C415" s="168"/>
      <c r="D415" s="169"/>
      <c r="E415" s="170"/>
      <c r="F415" s="171"/>
      <c r="G415"/>
      <c r="H415"/>
      <c r="I415"/>
      <c r="J415"/>
      <c r="K415"/>
      <c r="L415"/>
      <c r="M415"/>
      <c r="N415"/>
      <c r="O415"/>
      <c r="P415"/>
      <c r="Q415"/>
      <c r="R415"/>
      <c r="S415"/>
      <c r="T415"/>
      <c r="U415"/>
      <c r="V415"/>
      <c r="W415"/>
      <c r="BF415" s="3"/>
      <c r="BG415" s="3"/>
      <c r="BH415" s="3"/>
      <c r="BI415" s="3"/>
    </row>
    <row r="416" spans="2:61" s="129" customFormat="1" outlineLevel="1">
      <c r="B416" s="167"/>
      <c r="C416" s="168"/>
      <c r="D416" s="169"/>
      <c r="E416" s="170"/>
      <c r="F416" s="171"/>
      <c r="G416"/>
      <c r="H416"/>
      <c r="I416"/>
      <c r="J416"/>
      <c r="K416"/>
      <c r="L416"/>
      <c r="M416"/>
      <c r="N416"/>
      <c r="O416"/>
      <c r="P416"/>
      <c r="Q416"/>
      <c r="R416"/>
      <c r="S416"/>
      <c r="T416"/>
      <c r="U416"/>
      <c r="V416"/>
      <c r="W416"/>
      <c r="BF416" s="3"/>
      <c r="BG416" s="3"/>
      <c r="BH416" s="3"/>
      <c r="BI416" s="3"/>
    </row>
    <row r="417" spans="2:61" s="129" customFormat="1" outlineLevel="1">
      <c r="B417" s="167"/>
      <c r="C417" s="168"/>
      <c r="D417" s="169"/>
      <c r="E417" s="170"/>
      <c r="F417" s="171"/>
      <c r="G417"/>
      <c r="H417"/>
      <c r="I417"/>
      <c r="J417"/>
      <c r="K417"/>
      <c r="L417"/>
      <c r="M417"/>
      <c r="N417"/>
      <c r="O417"/>
      <c r="P417"/>
      <c r="Q417"/>
      <c r="R417"/>
      <c r="S417"/>
      <c r="T417"/>
      <c r="U417"/>
      <c r="V417"/>
      <c r="W417"/>
      <c r="BF417" s="3"/>
      <c r="BG417" s="3"/>
      <c r="BH417" s="3"/>
      <c r="BI417" s="3"/>
    </row>
    <row r="418" spans="2:61" s="129" customFormat="1" outlineLevel="1">
      <c r="B418" s="167"/>
      <c r="C418" s="168"/>
      <c r="D418" s="169"/>
      <c r="E418" s="170"/>
      <c r="F418" s="171"/>
      <c r="G418"/>
      <c r="H418"/>
      <c r="I418"/>
      <c r="J418"/>
      <c r="K418"/>
      <c r="L418"/>
      <c r="M418"/>
      <c r="N418"/>
      <c r="O418"/>
      <c r="P418"/>
      <c r="Q418"/>
      <c r="R418"/>
      <c r="S418"/>
      <c r="T418"/>
      <c r="U418"/>
      <c r="V418"/>
      <c r="W418"/>
      <c r="BF418" s="3"/>
      <c r="BG418" s="3"/>
      <c r="BH418" s="3"/>
      <c r="BI418" s="3"/>
    </row>
    <row r="419" spans="2:61" s="129" customFormat="1" outlineLevel="1">
      <c r="B419" s="167"/>
      <c r="C419" s="168"/>
      <c r="D419" s="169"/>
      <c r="E419" s="170"/>
      <c r="F419" s="171"/>
      <c r="G419"/>
      <c r="H419"/>
      <c r="I419"/>
      <c r="J419"/>
      <c r="K419"/>
      <c r="L419"/>
      <c r="M419"/>
      <c r="N419"/>
      <c r="O419"/>
      <c r="P419"/>
      <c r="Q419"/>
      <c r="R419"/>
      <c r="S419"/>
      <c r="T419"/>
      <c r="U419"/>
      <c r="V419"/>
      <c r="W419"/>
      <c r="BF419" s="3"/>
      <c r="BG419" s="3"/>
      <c r="BH419" s="3"/>
      <c r="BI419" s="3"/>
    </row>
    <row r="420" spans="2:61" s="129" customFormat="1" outlineLevel="1">
      <c r="B420" s="167"/>
      <c r="C420" s="168"/>
      <c r="D420" s="169"/>
      <c r="E420" s="170"/>
      <c r="F420" s="171"/>
      <c r="G420"/>
      <c r="H420"/>
      <c r="I420"/>
      <c r="J420"/>
      <c r="K420"/>
      <c r="L420"/>
      <c r="M420"/>
      <c r="N420"/>
      <c r="O420"/>
      <c r="P420"/>
      <c r="Q420"/>
      <c r="R420"/>
      <c r="S420"/>
      <c r="T420"/>
      <c r="U420"/>
      <c r="V420"/>
      <c r="W420"/>
      <c r="BF420" s="3"/>
      <c r="BG420" s="3"/>
      <c r="BH420" s="3"/>
      <c r="BI420" s="3"/>
    </row>
    <row r="421" spans="2:61" s="129" customFormat="1" outlineLevel="1">
      <c r="B421" s="167"/>
      <c r="C421" s="168"/>
      <c r="D421" s="169"/>
      <c r="E421" s="170"/>
      <c r="F421" s="171"/>
      <c r="G421"/>
      <c r="H421"/>
      <c r="I421"/>
      <c r="J421"/>
      <c r="K421"/>
      <c r="L421"/>
      <c r="M421"/>
      <c r="N421"/>
      <c r="O421"/>
      <c r="P421"/>
      <c r="Q421"/>
      <c r="R421"/>
      <c r="S421"/>
      <c r="T421"/>
      <c r="U421"/>
      <c r="V421"/>
      <c r="W421"/>
      <c r="BF421" s="3"/>
      <c r="BG421" s="3"/>
      <c r="BH421" s="3"/>
      <c r="BI421" s="3"/>
    </row>
    <row r="422" spans="2:61" s="129" customFormat="1" outlineLevel="1">
      <c r="B422" s="167"/>
      <c r="C422" s="168"/>
      <c r="D422" s="169"/>
      <c r="E422" s="170"/>
      <c r="F422" s="171"/>
      <c r="G422"/>
      <c r="H422"/>
      <c r="I422"/>
      <c r="J422"/>
      <c r="K422"/>
      <c r="L422"/>
      <c r="M422"/>
      <c r="N422"/>
      <c r="O422"/>
      <c r="P422"/>
      <c r="Q422"/>
      <c r="R422"/>
      <c r="S422"/>
      <c r="T422"/>
      <c r="U422"/>
      <c r="V422"/>
      <c r="W422"/>
      <c r="BF422" s="3"/>
      <c r="BG422" s="3"/>
      <c r="BH422" s="3"/>
      <c r="BI422" s="3"/>
    </row>
    <row r="423" spans="2:61" s="129" customFormat="1" outlineLevel="1">
      <c r="B423" s="167"/>
      <c r="C423" s="168"/>
      <c r="D423" s="169"/>
      <c r="E423" s="170"/>
      <c r="F423" s="171"/>
      <c r="G423"/>
      <c r="H423"/>
      <c r="I423"/>
      <c r="J423"/>
      <c r="K423"/>
      <c r="L423"/>
      <c r="M423"/>
      <c r="N423"/>
      <c r="O423"/>
      <c r="P423"/>
      <c r="Q423"/>
      <c r="R423"/>
      <c r="S423"/>
      <c r="T423"/>
      <c r="U423"/>
      <c r="V423"/>
      <c r="W423"/>
      <c r="BF423" s="3"/>
      <c r="BG423" s="3"/>
      <c r="BH423" s="3"/>
      <c r="BI423" s="3"/>
    </row>
    <row r="424" spans="2:61" s="129" customFormat="1" outlineLevel="1">
      <c r="B424" s="167"/>
      <c r="C424" s="168"/>
      <c r="D424" s="169"/>
      <c r="E424" s="170"/>
      <c r="F424" s="171"/>
      <c r="G424"/>
      <c r="H424"/>
      <c r="I424"/>
      <c r="J424"/>
      <c r="K424"/>
      <c r="L424"/>
      <c r="M424"/>
      <c r="N424"/>
      <c r="O424"/>
      <c r="P424"/>
      <c r="Q424"/>
      <c r="R424"/>
      <c r="S424"/>
      <c r="T424"/>
      <c r="U424"/>
      <c r="V424"/>
      <c r="W424"/>
      <c r="BF424" s="3"/>
      <c r="BG424" s="3"/>
      <c r="BH424" s="3"/>
      <c r="BI424" s="3"/>
    </row>
    <row r="425" spans="2:61" s="129" customFormat="1" outlineLevel="1">
      <c r="B425" s="167"/>
      <c r="C425" s="168"/>
      <c r="D425" s="170"/>
      <c r="E425" s="170"/>
      <c r="F425" s="171"/>
      <c r="G425"/>
      <c r="H425"/>
      <c r="I425"/>
      <c r="J425"/>
      <c r="K425"/>
      <c r="L425"/>
      <c r="M425"/>
      <c r="N425"/>
      <c r="O425"/>
      <c r="P425"/>
      <c r="Q425"/>
      <c r="R425"/>
      <c r="S425"/>
      <c r="T425"/>
      <c r="U425"/>
      <c r="V425"/>
      <c r="W425"/>
      <c r="BF425" s="3"/>
      <c r="BG425" s="3"/>
      <c r="BH425" s="3"/>
      <c r="BI425" s="3"/>
    </row>
    <row r="426" spans="2:61" s="129" customFormat="1" outlineLevel="1">
      <c r="B426" s="167"/>
      <c r="C426" s="168"/>
      <c r="D426" s="169"/>
      <c r="E426" s="170"/>
      <c r="F426" s="171"/>
      <c r="G426"/>
      <c r="H426"/>
      <c r="I426"/>
      <c r="J426"/>
      <c r="K426"/>
      <c r="L426"/>
      <c r="M426"/>
      <c r="N426"/>
      <c r="O426"/>
      <c r="P426"/>
      <c r="Q426"/>
      <c r="R426"/>
      <c r="S426"/>
      <c r="T426"/>
      <c r="U426"/>
      <c r="V426"/>
      <c r="W426"/>
      <c r="BF426" s="3"/>
      <c r="BG426" s="3"/>
      <c r="BH426" s="3"/>
      <c r="BI426" s="3"/>
    </row>
    <row r="427" spans="2:61" s="129" customFormat="1" outlineLevel="1">
      <c r="B427" s="167"/>
      <c r="C427" s="168"/>
      <c r="D427" s="169"/>
      <c r="E427" s="170"/>
      <c r="F427" s="171"/>
      <c r="G427"/>
      <c r="H427"/>
      <c r="I427"/>
      <c r="J427"/>
      <c r="K427"/>
      <c r="L427"/>
      <c r="M427"/>
      <c r="N427"/>
      <c r="O427"/>
      <c r="P427"/>
      <c r="Q427"/>
      <c r="R427"/>
      <c r="S427"/>
      <c r="T427"/>
      <c r="U427"/>
      <c r="V427"/>
      <c r="W427"/>
      <c r="BF427" s="3"/>
      <c r="BG427" s="3"/>
      <c r="BH427" s="3"/>
      <c r="BI427" s="3"/>
    </row>
    <row r="428" spans="2:61" s="129" customFormat="1" outlineLevel="1">
      <c r="B428" s="167"/>
      <c r="C428" s="168"/>
      <c r="D428" s="169"/>
      <c r="E428" s="170"/>
      <c r="F428" s="171"/>
      <c r="G428"/>
      <c r="H428"/>
      <c r="I428"/>
      <c r="J428"/>
      <c r="K428"/>
      <c r="L428"/>
      <c r="M428"/>
      <c r="N428"/>
      <c r="O428"/>
      <c r="P428"/>
      <c r="Q428"/>
      <c r="R428"/>
      <c r="S428"/>
      <c r="T428"/>
      <c r="U428"/>
      <c r="V428"/>
      <c r="W428"/>
      <c r="BF428" s="3"/>
      <c r="BG428" s="3"/>
      <c r="BH428" s="3"/>
      <c r="BI428" s="3"/>
    </row>
    <row r="429" spans="2:61" s="129" customFormat="1" outlineLevel="1">
      <c r="B429" s="167"/>
      <c r="C429" s="168"/>
      <c r="D429" s="170"/>
      <c r="E429" s="170"/>
      <c r="F429" s="171"/>
      <c r="G429"/>
      <c r="H429"/>
      <c r="I429"/>
      <c r="J429"/>
      <c r="K429"/>
      <c r="L429"/>
      <c r="M429"/>
      <c r="N429"/>
      <c r="O429"/>
      <c r="P429"/>
      <c r="Q429"/>
      <c r="R429"/>
      <c r="S429"/>
      <c r="T429"/>
      <c r="U429"/>
      <c r="V429"/>
      <c r="W429"/>
      <c r="BF429" s="3"/>
      <c r="BG429" s="3"/>
      <c r="BH429" s="3"/>
      <c r="BI429" s="3"/>
    </row>
    <row r="430" spans="2:61" s="129" customFormat="1" outlineLevel="1">
      <c r="B430" s="167"/>
      <c r="C430" s="168"/>
      <c r="D430" s="169"/>
      <c r="E430" s="170"/>
      <c r="F430" s="171"/>
      <c r="G430"/>
      <c r="H430"/>
      <c r="I430"/>
      <c r="J430"/>
      <c r="K430"/>
      <c r="L430"/>
      <c r="M430"/>
      <c r="N430"/>
      <c r="O430"/>
      <c r="P430"/>
      <c r="Q430"/>
      <c r="R430"/>
      <c r="S430"/>
      <c r="T430"/>
      <c r="U430"/>
      <c r="V430"/>
      <c r="W430"/>
      <c r="BF430" s="3"/>
      <c r="BG430" s="3"/>
      <c r="BH430" s="3"/>
      <c r="BI430" s="3"/>
    </row>
    <row r="431" spans="2:61" s="129" customFormat="1" outlineLevel="1">
      <c r="B431" s="167"/>
      <c r="C431" s="168"/>
      <c r="D431" s="169"/>
      <c r="E431" s="170"/>
      <c r="F431" s="171"/>
      <c r="G431"/>
      <c r="H431"/>
      <c r="I431"/>
      <c r="J431"/>
      <c r="K431"/>
      <c r="L431"/>
      <c r="M431"/>
      <c r="N431"/>
      <c r="O431"/>
      <c r="P431"/>
      <c r="Q431"/>
      <c r="R431"/>
      <c r="S431"/>
      <c r="T431"/>
      <c r="U431"/>
      <c r="V431"/>
      <c r="W431"/>
      <c r="BF431" s="3"/>
      <c r="BG431" s="3"/>
      <c r="BH431" s="3"/>
      <c r="BI431" s="3"/>
    </row>
    <row r="432" spans="2:61" s="129" customFormat="1" outlineLevel="1">
      <c r="B432" s="167"/>
      <c r="C432" s="168"/>
      <c r="D432" s="169"/>
      <c r="E432" s="170"/>
      <c r="F432" s="171"/>
      <c r="G432"/>
      <c r="H432"/>
      <c r="I432"/>
      <c r="J432"/>
      <c r="K432"/>
      <c r="L432"/>
      <c r="M432"/>
      <c r="N432"/>
      <c r="O432"/>
      <c r="P432"/>
      <c r="Q432"/>
      <c r="R432"/>
      <c r="S432"/>
      <c r="T432"/>
      <c r="U432"/>
      <c r="V432"/>
      <c r="W432"/>
      <c r="BF432" s="3"/>
      <c r="BG432" s="3"/>
      <c r="BH432" s="3"/>
      <c r="BI432" s="3"/>
    </row>
    <row r="433" spans="2:61" s="129" customFormat="1" outlineLevel="1">
      <c r="B433" s="167"/>
      <c r="C433" s="168"/>
      <c r="D433" s="170"/>
      <c r="E433" s="170"/>
      <c r="F433" s="171"/>
      <c r="G433"/>
      <c r="H433"/>
      <c r="I433"/>
      <c r="J433"/>
      <c r="K433"/>
      <c r="L433"/>
      <c r="M433"/>
      <c r="N433"/>
      <c r="O433"/>
      <c r="P433"/>
      <c r="Q433"/>
      <c r="R433"/>
      <c r="S433"/>
      <c r="T433"/>
      <c r="U433"/>
      <c r="V433"/>
      <c r="W433"/>
      <c r="BF433" s="3"/>
      <c r="BG433" s="3"/>
      <c r="BH433" s="3"/>
      <c r="BI433" s="3"/>
    </row>
    <row r="434" spans="2:61" s="129" customFormat="1" outlineLevel="1">
      <c r="B434" s="167"/>
      <c r="C434" s="168"/>
      <c r="D434" s="169"/>
      <c r="E434" s="170"/>
      <c r="F434" s="171"/>
      <c r="G434"/>
      <c r="H434"/>
      <c r="I434"/>
      <c r="J434"/>
      <c r="K434"/>
      <c r="L434"/>
      <c r="M434"/>
      <c r="N434"/>
      <c r="O434"/>
      <c r="P434"/>
      <c r="Q434"/>
      <c r="R434"/>
      <c r="S434"/>
      <c r="T434"/>
      <c r="U434"/>
      <c r="V434"/>
      <c r="W434"/>
      <c r="BF434" s="3"/>
      <c r="BG434" s="3"/>
      <c r="BH434" s="3"/>
      <c r="BI434" s="3"/>
    </row>
    <row r="435" spans="2:61" s="129" customFormat="1" outlineLevel="1">
      <c r="B435" s="167"/>
      <c r="C435" s="168"/>
      <c r="D435" s="169"/>
      <c r="E435" s="170"/>
      <c r="F435" s="171"/>
      <c r="G435"/>
      <c r="H435"/>
      <c r="I435"/>
      <c r="J435"/>
      <c r="K435"/>
      <c r="L435"/>
      <c r="M435"/>
      <c r="N435"/>
      <c r="O435"/>
      <c r="P435"/>
      <c r="Q435"/>
      <c r="R435"/>
      <c r="S435"/>
      <c r="T435"/>
      <c r="U435"/>
      <c r="V435"/>
      <c r="W435"/>
      <c r="BF435" s="3"/>
      <c r="BG435" s="3"/>
      <c r="BH435" s="3"/>
      <c r="BI435" s="3"/>
    </row>
    <row r="436" spans="2:61" s="129" customFormat="1" outlineLevel="1">
      <c r="B436" s="167"/>
      <c r="C436" s="168"/>
      <c r="D436" s="169"/>
      <c r="E436" s="170"/>
      <c r="F436" s="171"/>
      <c r="G436"/>
      <c r="H436"/>
      <c r="I436"/>
      <c r="J436"/>
      <c r="K436"/>
      <c r="L436"/>
      <c r="M436"/>
      <c r="N436"/>
      <c r="O436"/>
      <c r="P436"/>
      <c r="Q436"/>
      <c r="R436"/>
      <c r="S436"/>
      <c r="T436"/>
      <c r="U436"/>
      <c r="V436"/>
      <c r="W436"/>
      <c r="BF436" s="3"/>
      <c r="BG436" s="3"/>
      <c r="BH436" s="3"/>
      <c r="BI436" s="3"/>
    </row>
    <row r="437" spans="2:61" s="129" customFormat="1" outlineLevel="1">
      <c r="B437" s="167"/>
      <c r="C437" s="168"/>
      <c r="D437" s="169"/>
      <c r="E437" s="170"/>
      <c r="F437" s="171"/>
      <c r="G437"/>
      <c r="H437"/>
      <c r="I437"/>
      <c r="J437"/>
      <c r="K437"/>
      <c r="L437"/>
      <c r="M437"/>
      <c r="N437"/>
      <c r="O437"/>
      <c r="P437"/>
      <c r="Q437"/>
      <c r="R437"/>
      <c r="S437"/>
      <c r="T437"/>
      <c r="U437"/>
      <c r="V437"/>
      <c r="W437"/>
      <c r="BF437" s="3"/>
      <c r="BG437" s="3"/>
      <c r="BH437" s="3"/>
      <c r="BI437" s="3"/>
    </row>
    <row r="438" spans="2:61" s="129" customFormat="1" outlineLevel="1">
      <c r="B438" s="167"/>
      <c r="C438" s="168"/>
      <c r="D438" s="169"/>
      <c r="E438" s="170"/>
      <c r="F438" s="171"/>
      <c r="G438"/>
      <c r="H438"/>
      <c r="I438"/>
      <c r="J438"/>
      <c r="K438"/>
      <c r="L438"/>
      <c r="M438"/>
      <c r="N438"/>
      <c r="O438"/>
      <c r="P438"/>
      <c r="Q438"/>
      <c r="R438"/>
      <c r="S438"/>
      <c r="T438"/>
      <c r="U438"/>
      <c r="V438"/>
      <c r="W438"/>
      <c r="BF438" s="3"/>
      <c r="BG438" s="3"/>
      <c r="BH438" s="3"/>
      <c r="BI438" s="3"/>
    </row>
    <row r="439" spans="2:61" s="129" customFormat="1" outlineLevel="1">
      <c r="B439" s="167"/>
      <c r="C439" s="168"/>
      <c r="D439" s="169"/>
      <c r="E439" s="170"/>
      <c r="F439" s="171"/>
      <c r="G439"/>
      <c r="H439"/>
      <c r="I439"/>
      <c r="J439"/>
      <c r="K439"/>
      <c r="L439"/>
      <c r="M439"/>
      <c r="N439"/>
      <c r="O439"/>
      <c r="P439"/>
      <c r="Q439"/>
      <c r="R439"/>
      <c r="S439"/>
      <c r="T439"/>
      <c r="U439"/>
      <c r="V439"/>
      <c r="W439"/>
      <c r="BF439" s="3"/>
      <c r="BG439" s="3"/>
      <c r="BH439" s="3"/>
      <c r="BI439" s="3"/>
    </row>
    <row r="440" spans="2:61" s="129" customFormat="1" outlineLevel="1">
      <c r="B440" s="167"/>
      <c r="C440" s="168"/>
      <c r="D440" s="169"/>
      <c r="E440" s="170"/>
      <c r="F440" s="171"/>
      <c r="G440"/>
      <c r="H440"/>
      <c r="I440"/>
      <c r="J440"/>
      <c r="K440"/>
      <c r="L440"/>
      <c r="M440"/>
      <c r="N440"/>
      <c r="O440"/>
      <c r="P440"/>
      <c r="Q440"/>
      <c r="R440"/>
      <c r="S440"/>
      <c r="T440"/>
      <c r="U440"/>
      <c r="V440"/>
      <c r="W440"/>
      <c r="BF440" s="3"/>
      <c r="BG440" s="3"/>
      <c r="BH440" s="3"/>
      <c r="BI440" s="3"/>
    </row>
    <row r="441" spans="2:61" s="129" customFormat="1" outlineLevel="1">
      <c r="B441" s="167"/>
      <c r="C441" s="168"/>
      <c r="D441" s="169"/>
      <c r="E441" s="170"/>
      <c r="F441" s="171"/>
      <c r="G441"/>
      <c r="H441"/>
      <c r="I441"/>
      <c r="J441"/>
      <c r="K441"/>
      <c r="L441"/>
      <c r="M441"/>
      <c r="N441"/>
      <c r="O441"/>
      <c r="P441"/>
      <c r="Q441"/>
      <c r="R441"/>
      <c r="S441"/>
      <c r="T441"/>
      <c r="U441"/>
      <c r="V441"/>
      <c r="W441"/>
      <c r="BF441" s="3"/>
      <c r="BG441" s="3"/>
      <c r="BH441" s="3"/>
      <c r="BI441" s="3"/>
    </row>
    <row r="442" spans="2:61" s="129" customFormat="1" outlineLevel="1">
      <c r="B442" s="167"/>
      <c r="C442" s="168"/>
      <c r="D442" s="169"/>
      <c r="E442" s="170"/>
      <c r="F442" s="171"/>
      <c r="G442"/>
      <c r="H442"/>
      <c r="I442"/>
      <c r="J442"/>
      <c r="K442"/>
      <c r="L442"/>
      <c r="M442"/>
      <c r="N442"/>
      <c r="O442"/>
      <c r="P442"/>
      <c r="Q442"/>
      <c r="R442"/>
      <c r="S442"/>
      <c r="T442"/>
      <c r="U442"/>
      <c r="V442"/>
      <c r="W442"/>
      <c r="BF442" s="3"/>
      <c r="BG442" s="3"/>
      <c r="BH442" s="3"/>
      <c r="BI442" s="3"/>
    </row>
    <row r="443" spans="2:61" s="129" customFormat="1" outlineLevel="1">
      <c r="B443" s="167"/>
      <c r="C443" s="168"/>
      <c r="D443" s="169"/>
      <c r="E443" s="170"/>
      <c r="F443" s="171"/>
      <c r="G443"/>
      <c r="H443"/>
      <c r="I443"/>
      <c r="J443"/>
      <c r="K443"/>
      <c r="L443"/>
      <c r="M443"/>
      <c r="N443"/>
      <c r="O443"/>
      <c r="P443"/>
      <c r="Q443"/>
      <c r="R443"/>
      <c r="S443"/>
      <c r="T443"/>
      <c r="U443"/>
      <c r="V443"/>
      <c r="W443"/>
      <c r="BF443" s="3"/>
      <c r="BG443" s="3"/>
      <c r="BH443" s="3"/>
      <c r="BI443" s="3"/>
    </row>
    <row r="444" spans="2:61" s="129" customFormat="1" outlineLevel="1">
      <c r="B444" s="167"/>
      <c r="C444" s="168"/>
      <c r="D444" s="169"/>
      <c r="E444" s="170"/>
      <c r="F444" s="171"/>
      <c r="G444"/>
      <c r="H444"/>
      <c r="I444"/>
      <c r="J444"/>
      <c r="K444"/>
      <c r="L444"/>
      <c r="M444"/>
      <c r="N444"/>
      <c r="O444"/>
      <c r="P444"/>
      <c r="Q444"/>
      <c r="R444"/>
      <c r="S444"/>
      <c r="T444"/>
      <c r="U444"/>
      <c r="V444"/>
      <c r="W444"/>
      <c r="BF444" s="3"/>
      <c r="BG444" s="3"/>
      <c r="BH444" s="3"/>
      <c r="BI444" s="3"/>
    </row>
    <row r="445" spans="2:61" s="129" customFormat="1" outlineLevel="1">
      <c r="B445" s="167"/>
      <c r="C445" s="168"/>
      <c r="D445" s="169"/>
      <c r="E445" s="170"/>
      <c r="F445" s="171"/>
      <c r="G445"/>
      <c r="H445"/>
      <c r="I445"/>
      <c r="J445"/>
      <c r="K445"/>
      <c r="L445"/>
      <c r="M445"/>
      <c r="N445"/>
      <c r="O445"/>
      <c r="P445"/>
      <c r="Q445"/>
      <c r="R445"/>
      <c r="S445"/>
      <c r="T445"/>
      <c r="U445"/>
      <c r="V445"/>
      <c r="W445"/>
      <c r="BF445" s="3"/>
      <c r="BG445" s="3"/>
      <c r="BH445" s="3"/>
      <c r="BI445" s="3"/>
    </row>
    <row r="446" spans="2:61" s="129" customFormat="1" outlineLevel="1">
      <c r="B446" s="167"/>
      <c r="C446" s="168"/>
      <c r="D446" s="169"/>
      <c r="E446" s="170"/>
      <c r="F446" s="171"/>
      <c r="G446"/>
      <c r="H446"/>
      <c r="I446"/>
      <c r="J446"/>
      <c r="K446"/>
      <c r="L446"/>
      <c r="M446"/>
      <c r="N446"/>
      <c r="O446"/>
      <c r="P446"/>
      <c r="Q446"/>
      <c r="R446"/>
      <c r="S446"/>
      <c r="T446"/>
      <c r="U446"/>
      <c r="V446"/>
      <c r="W446"/>
      <c r="BF446" s="3"/>
      <c r="BG446" s="3"/>
      <c r="BH446" s="3"/>
      <c r="BI446" s="3"/>
    </row>
    <row r="447" spans="2:61" s="129" customFormat="1" outlineLevel="1">
      <c r="B447" s="172"/>
      <c r="C447" s="173"/>
      <c r="D447" s="174"/>
      <c r="E447" s="175"/>
      <c r="F447" s="171"/>
      <c r="G447"/>
      <c r="H447"/>
      <c r="I447"/>
      <c r="J447"/>
      <c r="K447"/>
      <c r="L447"/>
      <c r="M447"/>
      <c r="N447"/>
      <c r="O447"/>
      <c r="P447"/>
      <c r="Q447"/>
      <c r="R447"/>
      <c r="S447"/>
      <c r="T447"/>
      <c r="U447"/>
      <c r="V447"/>
      <c r="W447"/>
      <c r="BF447" s="3"/>
      <c r="BG447" s="3"/>
      <c r="BH447" s="3"/>
      <c r="BI447" s="3"/>
    </row>
    <row r="448" spans="2:61" s="129" customFormat="1" outlineLevel="1">
      <c r="B448" s="167"/>
      <c r="C448" s="168"/>
      <c r="D448" s="169"/>
      <c r="E448" s="170"/>
      <c r="F448" s="171"/>
      <c r="G448"/>
      <c r="H448"/>
      <c r="I448"/>
      <c r="J448"/>
      <c r="K448"/>
      <c r="L448"/>
      <c r="M448"/>
      <c r="N448"/>
      <c r="O448"/>
      <c r="P448"/>
      <c r="Q448"/>
      <c r="R448"/>
      <c r="S448"/>
      <c r="T448"/>
      <c r="U448"/>
      <c r="V448"/>
      <c r="W448"/>
      <c r="BF448" s="3"/>
      <c r="BG448" s="3"/>
      <c r="BH448" s="3"/>
      <c r="BI448" s="3"/>
    </row>
    <row r="449" spans="2:61" s="129" customFormat="1" outlineLevel="1">
      <c r="B449" s="172"/>
      <c r="C449" s="173"/>
      <c r="D449" s="174"/>
      <c r="E449" s="175"/>
      <c r="F449" s="171"/>
      <c r="G449"/>
      <c r="H449"/>
      <c r="I449"/>
      <c r="J449"/>
      <c r="K449"/>
      <c r="L449"/>
      <c r="M449"/>
      <c r="N449"/>
      <c r="O449"/>
      <c r="P449"/>
      <c r="Q449"/>
      <c r="R449"/>
      <c r="S449"/>
      <c r="T449"/>
      <c r="U449"/>
      <c r="V449"/>
      <c r="W449"/>
      <c r="BF449" s="3"/>
      <c r="BG449" s="3"/>
      <c r="BH449" s="3"/>
      <c r="BI449" s="3"/>
    </row>
    <row r="450" spans="2:61" s="129" customFormat="1" outlineLevel="1">
      <c r="B450" s="167"/>
      <c r="C450" s="168"/>
      <c r="D450" s="169"/>
      <c r="E450" s="170"/>
      <c r="F450" s="171"/>
      <c r="G450"/>
      <c r="H450"/>
      <c r="I450"/>
      <c r="J450"/>
      <c r="K450"/>
      <c r="L450"/>
      <c r="M450"/>
      <c r="N450"/>
      <c r="O450"/>
      <c r="P450"/>
      <c r="Q450"/>
      <c r="R450"/>
      <c r="S450"/>
      <c r="T450"/>
      <c r="U450"/>
      <c r="V450"/>
      <c r="W450"/>
      <c r="BF450" s="3"/>
      <c r="BG450" s="3"/>
      <c r="BH450" s="3"/>
      <c r="BI450" s="3"/>
    </row>
    <row r="451" spans="2:61" s="129" customFormat="1" outlineLevel="1">
      <c r="B451" s="172"/>
      <c r="C451" s="173"/>
      <c r="D451" s="174"/>
      <c r="E451" s="175"/>
      <c r="F451" s="171"/>
      <c r="G451"/>
      <c r="H451"/>
      <c r="I451"/>
      <c r="J451"/>
      <c r="K451"/>
      <c r="L451"/>
      <c r="M451"/>
      <c r="N451"/>
      <c r="O451"/>
      <c r="P451"/>
      <c r="Q451"/>
      <c r="R451"/>
      <c r="S451"/>
      <c r="T451"/>
      <c r="U451"/>
      <c r="V451"/>
      <c r="W451"/>
      <c r="BF451" s="3"/>
      <c r="BG451" s="3"/>
      <c r="BH451" s="3"/>
      <c r="BI451" s="3"/>
    </row>
    <row r="452" spans="2:61" s="129" customFormat="1" outlineLevel="1">
      <c r="B452" s="167"/>
      <c r="C452" s="168"/>
      <c r="D452" s="169"/>
      <c r="E452" s="170"/>
      <c r="F452" s="171"/>
      <c r="G452"/>
      <c r="H452"/>
      <c r="I452"/>
      <c r="J452"/>
      <c r="K452"/>
      <c r="L452"/>
      <c r="M452"/>
      <c r="N452"/>
      <c r="O452"/>
      <c r="P452"/>
      <c r="Q452"/>
      <c r="R452"/>
      <c r="S452"/>
      <c r="T452"/>
      <c r="U452"/>
      <c r="V452"/>
      <c r="W452"/>
      <c r="BF452" s="3"/>
      <c r="BG452" s="3"/>
      <c r="BH452" s="3"/>
      <c r="BI452" s="3"/>
    </row>
    <row r="453" spans="2:61" s="129" customFormat="1" outlineLevel="1">
      <c r="B453" s="172"/>
      <c r="C453" s="173"/>
      <c r="D453" s="174"/>
      <c r="E453" s="175"/>
      <c r="F453" s="171"/>
      <c r="G453"/>
      <c r="H453"/>
      <c r="I453"/>
      <c r="J453"/>
      <c r="K453"/>
      <c r="L453"/>
      <c r="M453"/>
      <c r="N453"/>
      <c r="O453"/>
      <c r="P453"/>
      <c r="Q453"/>
      <c r="R453"/>
      <c r="S453"/>
      <c r="T453"/>
      <c r="U453"/>
      <c r="V453"/>
      <c r="W453"/>
      <c r="BF453" s="3"/>
      <c r="BG453" s="3"/>
      <c r="BH453" s="3"/>
      <c r="BI453" s="3"/>
    </row>
    <row r="454" spans="2:61" s="129" customFormat="1" outlineLevel="1">
      <c r="B454" s="167"/>
      <c r="C454" s="168"/>
      <c r="D454" s="169"/>
      <c r="E454" s="170"/>
      <c r="F454" s="171"/>
      <c r="G454"/>
      <c r="H454"/>
      <c r="I454"/>
      <c r="J454"/>
      <c r="K454"/>
      <c r="L454"/>
      <c r="M454"/>
      <c r="N454"/>
      <c r="O454"/>
      <c r="P454"/>
      <c r="Q454"/>
      <c r="R454"/>
      <c r="S454"/>
      <c r="T454"/>
      <c r="U454"/>
      <c r="V454"/>
      <c r="W454"/>
      <c r="BF454" s="3"/>
      <c r="BG454" s="3"/>
      <c r="BH454" s="3"/>
      <c r="BI454" s="3"/>
    </row>
    <row r="455" spans="2:61" s="129" customFormat="1" outlineLevel="1">
      <c r="B455" s="172"/>
      <c r="C455" s="173"/>
      <c r="D455" s="174"/>
      <c r="E455" s="175"/>
      <c r="F455" s="171"/>
      <c r="G455"/>
      <c r="H455"/>
      <c r="I455"/>
      <c r="J455"/>
      <c r="K455"/>
      <c r="L455"/>
      <c r="M455"/>
      <c r="N455"/>
      <c r="O455"/>
      <c r="P455"/>
      <c r="Q455"/>
      <c r="R455"/>
      <c r="S455"/>
      <c r="T455"/>
      <c r="U455"/>
      <c r="V455"/>
      <c r="W455"/>
      <c r="BF455" s="3"/>
      <c r="BG455" s="3"/>
      <c r="BH455" s="3"/>
      <c r="BI455" s="3"/>
    </row>
    <row r="456" spans="2:61" s="129" customFormat="1" outlineLevel="1">
      <c r="B456" s="167"/>
      <c r="C456" s="168"/>
      <c r="D456" s="169"/>
      <c r="E456" s="170"/>
      <c r="F456" s="171"/>
      <c r="G456"/>
      <c r="H456"/>
      <c r="I456"/>
      <c r="J456"/>
      <c r="K456"/>
      <c r="L456"/>
      <c r="M456"/>
      <c r="N456"/>
      <c r="O456"/>
      <c r="P456"/>
      <c r="Q456"/>
      <c r="R456"/>
      <c r="S456"/>
      <c r="T456"/>
      <c r="U456"/>
      <c r="V456"/>
      <c r="W456"/>
      <c r="BF456" s="3"/>
      <c r="BG456" s="3"/>
      <c r="BH456" s="3"/>
      <c r="BI456" s="3"/>
    </row>
    <row r="457" spans="2:61" s="129" customFormat="1" outlineLevel="1">
      <c r="B457" s="172"/>
      <c r="C457" s="173"/>
      <c r="D457" s="174"/>
      <c r="E457" s="175"/>
      <c r="F457" s="171"/>
      <c r="G457"/>
      <c r="H457"/>
      <c r="I457"/>
      <c r="J457"/>
      <c r="K457"/>
      <c r="L457"/>
      <c r="M457"/>
      <c r="N457"/>
      <c r="O457"/>
      <c r="P457"/>
      <c r="Q457"/>
      <c r="R457"/>
      <c r="S457"/>
      <c r="T457"/>
      <c r="U457"/>
      <c r="V457"/>
      <c r="W457"/>
      <c r="BF457" s="3"/>
      <c r="BG457" s="3"/>
      <c r="BH457" s="3"/>
      <c r="BI457" s="3"/>
    </row>
    <row r="458" spans="2:61" s="129" customFormat="1" outlineLevel="1">
      <c r="B458" s="167"/>
      <c r="C458" s="168"/>
      <c r="D458" s="169"/>
      <c r="E458" s="170"/>
      <c r="F458" s="171"/>
      <c r="G458"/>
      <c r="H458"/>
      <c r="I458"/>
      <c r="J458"/>
      <c r="K458"/>
      <c r="L458"/>
      <c r="M458"/>
      <c r="N458"/>
      <c r="O458"/>
      <c r="P458"/>
      <c r="Q458"/>
      <c r="R458"/>
      <c r="S458"/>
      <c r="T458"/>
      <c r="U458"/>
      <c r="V458"/>
      <c r="W458"/>
      <c r="BF458" s="3"/>
      <c r="BG458" s="3"/>
      <c r="BH458" s="3"/>
      <c r="BI458" s="3"/>
    </row>
    <row r="459" spans="2:61" s="129" customFormat="1" outlineLevel="1">
      <c r="B459" s="172"/>
      <c r="C459" s="173"/>
      <c r="D459" s="174"/>
      <c r="E459" s="175"/>
      <c r="F459" s="171"/>
      <c r="G459"/>
      <c r="H459"/>
      <c r="I459"/>
      <c r="J459"/>
      <c r="K459"/>
      <c r="L459"/>
      <c r="M459"/>
      <c r="N459"/>
      <c r="O459"/>
      <c r="P459"/>
      <c r="Q459"/>
      <c r="R459"/>
      <c r="S459"/>
      <c r="T459"/>
      <c r="U459"/>
      <c r="V459"/>
      <c r="W459"/>
      <c r="BF459" s="3"/>
      <c r="BG459" s="3"/>
      <c r="BH459" s="3"/>
      <c r="BI459" s="3"/>
    </row>
    <row r="460" spans="2:61" s="129" customFormat="1" outlineLevel="1">
      <c r="B460" s="167"/>
      <c r="C460" s="168"/>
      <c r="D460" s="169"/>
      <c r="E460" s="170"/>
      <c r="F460" s="171"/>
      <c r="G460"/>
      <c r="H460"/>
      <c r="I460"/>
      <c r="J460"/>
      <c r="K460"/>
      <c r="L460"/>
      <c r="M460"/>
      <c r="N460"/>
      <c r="O460"/>
      <c r="P460"/>
      <c r="Q460"/>
      <c r="R460"/>
      <c r="S460"/>
      <c r="T460"/>
      <c r="U460"/>
      <c r="V460"/>
      <c r="W460"/>
      <c r="BF460" s="3"/>
      <c r="BG460" s="3"/>
      <c r="BH460" s="3"/>
      <c r="BI460" s="3"/>
    </row>
    <row r="461" spans="2:61" s="129" customFormat="1" outlineLevel="1">
      <c r="B461" s="172"/>
      <c r="C461" s="173"/>
      <c r="D461" s="174"/>
      <c r="E461" s="175"/>
      <c r="F461" s="171"/>
      <c r="G461"/>
      <c r="H461"/>
      <c r="I461"/>
      <c r="J461"/>
      <c r="K461"/>
      <c r="L461"/>
      <c r="M461"/>
      <c r="N461"/>
      <c r="O461"/>
      <c r="P461"/>
      <c r="Q461"/>
      <c r="R461"/>
      <c r="S461"/>
      <c r="T461"/>
      <c r="U461"/>
      <c r="V461"/>
      <c r="W461"/>
      <c r="BF461" s="3"/>
      <c r="BG461" s="3"/>
      <c r="BH461" s="3"/>
      <c r="BI461" s="3"/>
    </row>
    <row r="462" spans="2:61" s="129" customFormat="1" outlineLevel="1">
      <c r="B462" s="167"/>
      <c r="C462" s="168"/>
      <c r="D462" s="169"/>
      <c r="E462" s="170"/>
      <c r="F462" s="171"/>
      <c r="G462"/>
      <c r="H462"/>
      <c r="I462"/>
      <c r="J462"/>
      <c r="K462"/>
      <c r="L462"/>
      <c r="M462"/>
      <c r="N462"/>
      <c r="O462"/>
      <c r="P462"/>
      <c r="Q462"/>
      <c r="R462"/>
      <c r="S462"/>
      <c r="T462"/>
      <c r="U462"/>
      <c r="V462"/>
      <c r="W462"/>
      <c r="BF462" s="3"/>
      <c r="BG462" s="3"/>
      <c r="BH462" s="3"/>
      <c r="BI462" s="3"/>
    </row>
    <row r="463" spans="2:61" s="129" customFormat="1" outlineLevel="1">
      <c r="B463" s="172"/>
      <c r="C463" s="173"/>
      <c r="D463" s="174"/>
      <c r="E463" s="175"/>
      <c r="F463" s="171"/>
      <c r="G463"/>
      <c r="H463"/>
      <c r="I463"/>
      <c r="J463"/>
      <c r="K463"/>
      <c r="L463"/>
      <c r="M463"/>
      <c r="N463"/>
      <c r="O463"/>
      <c r="P463"/>
      <c r="Q463"/>
      <c r="R463"/>
      <c r="S463"/>
      <c r="T463"/>
      <c r="U463"/>
      <c r="V463"/>
      <c r="W463"/>
      <c r="BF463" s="3"/>
      <c r="BG463" s="3"/>
      <c r="BH463" s="3"/>
      <c r="BI463" s="3"/>
    </row>
    <row r="464" spans="2:61" s="129" customFormat="1" outlineLevel="1">
      <c r="B464" s="167"/>
      <c r="C464" s="168"/>
      <c r="D464" s="169"/>
      <c r="E464" s="170"/>
      <c r="F464" s="171"/>
      <c r="G464"/>
      <c r="H464"/>
      <c r="I464"/>
      <c r="J464"/>
      <c r="K464"/>
      <c r="L464"/>
      <c r="M464"/>
      <c r="N464"/>
      <c r="O464"/>
      <c r="P464"/>
      <c r="Q464"/>
      <c r="R464"/>
      <c r="S464"/>
      <c r="T464"/>
      <c r="U464"/>
      <c r="V464"/>
      <c r="W464"/>
      <c r="BF464" s="3"/>
      <c r="BG464" s="3"/>
      <c r="BH464" s="3"/>
      <c r="BI464" s="3"/>
    </row>
    <row r="465" spans="2:61" s="129" customFormat="1" outlineLevel="1">
      <c r="B465" s="172"/>
      <c r="C465" s="173"/>
      <c r="D465" s="174"/>
      <c r="E465" s="175"/>
      <c r="F465" s="171"/>
      <c r="G465"/>
      <c r="H465"/>
      <c r="I465"/>
      <c r="J465"/>
      <c r="K465"/>
      <c r="L465"/>
      <c r="M465"/>
      <c r="N465"/>
      <c r="O465"/>
      <c r="P465"/>
      <c r="Q465"/>
      <c r="R465"/>
      <c r="S465"/>
      <c r="T465"/>
      <c r="U465"/>
      <c r="V465"/>
      <c r="W465"/>
      <c r="BF465" s="3"/>
      <c r="BG465" s="3"/>
      <c r="BH465" s="3"/>
      <c r="BI465" s="3"/>
    </row>
    <row r="466" spans="2:61" s="129" customFormat="1" outlineLevel="1">
      <c r="B466" s="167"/>
      <c r="C466" s="168"/>
      <c r="D466" s="169"/>
      <c r="E466" s="170"/>
      <c r="F466" s="171"/>
      <c r="G466"/>
      <c r="H466"/>
      <c r="I466"/>
      <c r="J466"/>
      <c r="K466"/>
      <c r="L466"/>
      <c r="M466"/>
      <c r="N466"/>
      <c r="O466"/>
      <c r="P466"/>
      <c r="Q466"/>
      <c r="R466"/>
      <c r="S466"/>
      <c r="T466"/>
      <c r="U466"/>
      <c r="V466"/>
      <c r="W466"/>
      <c r="BF466" s="3"/>
      <c r="BG466" s="3"/>
      <c r="BH466" s="3"/>
      <c r="BI466" s="3"/>
    </row>
    <row r="467" spans="2:61" s="129" customFormat="1" outlineLevel="1">
      <c r="B467" s="172"/>
      <c r="C467" s="173"/>
      <c r="D467" s="174"/>
      <c r="E467" s="175"/>
      <c r="F467" s="171"/>
      <c r="G467"/>
      <c r="H467"/>
      <c r="I467"/>
      <c r="J467"/>
      <c r="K467"/>
      <c r="L467"/>
      <c r="M467"/>
      <c r="N467"/>
      <c r="O467"/>
      <c r="P467"/>
      <c r="Q467"/>
      <c r="R467"/>
      <c r="S467"/>
      <c r="T467"/>
      <c r="U467"/>
      <c r="V467"/>
      <c r="W467"/>
      <c r="BF467" s="3"/>
      <c r="BG467" s="3"/>
      <c r="BH467" s="3"/>
      <c r="BI467" s="3"/>
    </row>
    <row r="468" spans="2:61" s="129" customFormat="1" outlineLevel="1">
      <c r="B468" s="167"/>
      <c r="C468" s="168"/>
      <c r="D468" s="169"/>
      <c r="E468" s="170"/>
      <c r="F468" s="171"/>
      <c r="G468"/>
      <c r="H468"/>
      <c r="I468"/>
      <c r="J468"/>
      <c r="K468"/>
      <c r="L468"/>
      <c r="M468"/>
      <c r="N468"/>
      <c r="O468"/>
      <c r="P468"/>
      <c r="Q468"/>
      <c r="R468"/>
      <c r="S468"/>
      <c r="T468"/>
      <c r="U468"/>
      <c r="V468"/>
      <c r="W468"/>
      <c r="BF468" s="3"/>
      <c r="BG468" s="3"/>
      <c r="BH468" s="3"/>
      <c r="BI468" s="3"/>
    </row>
    <row r="469" spans="2:61" s="129" customFormat="1" outlineLevel="1">
      <c r="B469" s="172"/>
      <c r="C469" s="173"/>
      <c r="D469" s="174"/>
      <c r="E469" s="175"/>
      <c r="F469" s="171"/>
      <c r="G469"/>
      <c r="H469"/>
      <c r="I469"/>
      <c r="J469"/>
      <c r="K469"/>
      <c r="L469"/>
      <c r="M469"/>
      <c r="N469"/>
      <c r="O469"/>
      <c r="P469"/>
      <c r="Q469"/>
      <c r="R469"/>
      <c r="S469"/>
      <c r="T469"/>
      <c r="U469"/>
      <c r="V469"/>
      <c r="W469"/>
      <c r="BF469" s="3"/>
      <c r="BG469" s="3"/>
      <c r="BH469" s="3"/>
      <c r="BI469" s="3"/>
    </row>
    <row r="470" spans="2:61" s="129" customFormat="1" outlineLevel="1">
      <c r="B470" s="167"/>
      <c r="C470" s="168"/>
      <c r="D470" s="169"/>
      <c r="E470" s="170"/>
      <c r="F470" s="171"/>
      <c r="G470"/>
      <c r="H470"/>
      <c r="I470"/>
      <c r="J470"/>
      <c r="K470"/>
      <c r="L470"/>
      <c r="M470"/>
      <c r="N470"/>
      <c r="O470"/>
      <c r="P470"/>
      <c r="Q470"/>
      <c r="R470"/>
      <c r="S470"/>
      <c r="T470"/>
      <c r="U470"/>
      <c r="V470"/>
      <c r="W470"/>
      <c r="BF470" s="3"/>
      <c r="BG470" s="3"/>
      <c r="BH470" s="3"/>
      <c r="BI470" s="3"/>
    </row>
    <row r="471" spans="2:61" s="129" customFormat="1" outlineLevel="1">
      <c r="B471" s="172"/>
      <c r="C471" s="173"/>
      <c r="D471" s="174"/>
      <c r="E471" s="175"/>
      <c r="F471" s="171"/>
      <c r="G471"/>
      <c r="H471"/>
      <c r="I471"/>
      <c r="J471"/>
      <c r="K471"/>
      <c r="L471"/>
      <c r="M471"/>
      <c r="N471"/>
      <c r="O471"/>
      <c r="P471"/>
      <c r="Q471"/>
      <c r="R471"/>
      <c r="S471"/>
      <c r="T471"/>
      <c r="U471"/>
      <c r="V471"/>
      <c r="W471"/>
      <c r="BF471" s="3"/>
      <c r="BG471" s="3"/>
      <c r="BH471" s="3"/>
      <c r="BI471" s="3"/>
    </row>
    <row r="472" spans="2:61" s="129" customFormat="1" outlineLevel="1">
      <c r="B472" s="167"/>
      <c r="C472" s="168"/>
      <c r="D472" s="169"/>
      <c r="E472" s="170"/>
      <c r="F472" s="171"/>
      <c r="G472"/>
      <c r="H472"/>
      <c r="I472"/>
      <c r="J472"/>
      <c r="K472"/>
      <c r="L472"/>
      <c r="M472"/>
      <c r="N472"/>
      <c r="O472"/>
      <c r="P472"/>
      <c r="Q472"/>
      <c r="R472"/>
      <c r="S472"/>
      <c r="T472"/>
      <c r="U472"/>
      <c r="V472"/>
      <c r="W472"/>
      <c r="BF472" s="3"/>
      <c r="BG472" s="3"/>
      <c r="BH472" s="3"/>
      <c r="BI472" s="3"/>
    </row>
    <row r="473" spans="2:61" s="129" customFormat="1" outlineLevel="1">
      <c r="B473" s="172"/>
      <c r="C473" s="173"/>
      <c r="D473" s="174"/>
      <c r="E473" s="175"/>
      <c r="F473" s="171"/>
      <c r="G473"/>
      <c r="H473"/>
      <c r="I473"/>
      <c r="J473"/>
      <c r="K473"/>
      <c r="L473"/>
      <c r="M473"/>
      <c r="N473"/>
      <c r="O473"/>
      <c r="P473"/>
      <c r="Q473"/>
      <c r="R473"/>
      <c r="S473"/>
      <c r="T473"/>
      <c r="U473"/>
      <c r="V473"/>
      <c r="W473"/>
      <c r="BF473" s="3"/>
      <c r="BG473" s="3"/>
      <c r="BH473" s="3"/>
      <c r="BI473" s="3"/>
    </row>
    <row r="474" spans="2:61" s="129" customFormat="1" outlineLevel="1">
      <c r="B474" s="167"/>
      <c r="C474" s="168"/>
      <c r="D474" s="169"/>
      <c r="E474" s="170"/>
      <c r="F474" s="171"/>
      <c r="G474"/>
      <c r="H474"/>
      <c r="I474"/>
      <c r="J474"/>
      <c r="K474"/>
      <c r="L474"/>
      <c r="M474"/>
      <c r="N474"/>
      <c r="O474"/>
      <c r="P474"/>
      <c r="Q474"/>
      <c r="R474"/>
      <c r="S474"/>
      <c r="T474"/>
      <c r="U474"/>
      <c r="V474"/>
      <c r="W474"/>
      <c r="BF474" s="3"/>
      <c r="BG474" s="3"/>
      <c r="BH474" s="3"/>
      <c r="BI474" s="3"/>
    </row>
    <row r="475" spans="2:61" s="129" customFormat="1" outlineLevel="1">
      <c r="B475" s="172"/>
      <c r="C475" s="173"/>
      <c r="D475" s="174"/>
      <c r="E475" s="175"/>
      <c r="F475" s="171"/>
      <c r="G475"/>
      <c r="H475"/>
      <c r="I475"/>
      <c r="J475"/>
      <c r="K475"/>
      <c r="L475"/>
      <c r="M475"/>
      <c r="N475"/>
      <c r="O475"/>
      <c r="P475"/>
      <c r="Q475"/>
      <c r="R475"/>
      <c r="S475"/>
      <c r="T475"/>
      <c r="U475"/>
      <c r="V475"/>
      <c r="W475"/>
      <c r="BF475" s="3"/>
      <c r="BG475" s="3"/>
      <c r="BH475" s="3"/>
      <c r="BI475" s="3"/>
    </row>
    <row r="476" spans="2:61" s="129" customFormat="1" outlineLevel="1">
      <c r="B476" s="167"/>
      <c r="C476" s="168"/>
      <c r="D476" s="169"/>
      <c r="E476" s="170"/>
      <c r="F476" s="171"/>
      <c r="G476"/>
      <c r="H476"/>
      <c r="I476"/>
      <c r="J476"/>
      <c r="K476"/>
      <c r="L476"/>
      <c r="M476"/>
      <c r="N476"/>
      <c r="O476"/>
      <c r="P476"/>
      <c r="Q476"/>
      <c r="R476"/>
      <c r="S476"/>
      <c r="T476"/>
      <c r="U476"/>
      <c r="V476"/>
      <c r="W476"/>
      <c r="BF476" s="3"/>
      <c r="BG476" s="3"/>
      <c r="BH476" s="3"/>
      <c r="BI476" s="3"/>
    </row>
    <row r="477" spans="2:61" s="129" customFormat="1" outlineLevel="1">
      <c r="B477" s="172"/>
      <c r="C477" s="173"/>
      <c r="D477" s="174"/>
      <c r="E477" s="175"/>
      <c r="F477" s="171"/>
      <c r="G477"/>
      <c r="H477"/>
      <c r="I477"/>
      <c r="J477"/>
      <c r="K477"/>
      <c r="L477"/>
      <c r="M477"/>
      <c r="N477"/>
      <c r="O477"/>
      <c r="P477"/>
      <c r="Q477"/>
      <c r="R477"/>
      <c r="S477"/>
      <c r="T477"/>
      <c r="U477"/>
      <c r="V477"/>
      <c r="W477"/>
      <c r="BF477" s="3"/>
      <c r="BG477" s="3"/>
      <c r="BH477" s="3"/>
      <c r="BI477" s="3"/>
    </row>
    <row r="478" spans="2:61" s="129" customFormat="1" outlineLevel="1">
      <c r="B478" s="167"/>
      <c r="C478" s="168"/>
      <c r="D478" s="169"/>
      <c r="E478" s="170"/>
      <c r="F478" s="171"/>
      <c r="G478"/>
      <c r="H478"/>
      <c r="I478"/>
      <c r="J478"/>
      <c r="K478"/>
      <c r="L478"/>
      <c r="M478"/>
      <c r="N478"/>
      <c r="O478"/>
      <c r="P478"/>
      <c r="Q478"/>
      <c r="R478"/>
      <c r="S478"/>
      <c r="T478"/>
      <c r="U478"/>
      <c r="V478"/>
      <c r="W478"/>
      <c r="BF478" s="3"/>
      <c r="BG478" s="3"/>
      <c r="BH478" s="3"/>
      <c r="BI478" s="3"/>
    </row>
    <row r="479" spans="2:61" s="129" customFormat="1" outlineLevel="1">
      <c r="B479" s="172"/>
      <c r="C479" s="173"/>
      <c r="D479" s="174"/>
      <c r="E479" s="175"/>
      <c r="F479" s="171"/>
      <c r="G479"/>
      <c r="H479"/>
      <c r="I479"/>
      <c r="J479"/>
      <c r="K479"/>
      <c r="L479"/>
      <c r="M479"/>
      <c r="N479"/>
      <c r="O479"/>
      <c r="P479"/>
      <c r="Q479"/>
      <c r="R479"/>
      <c r="S479"/>
      <c r="T479"/>
      <c r="U479"/>
      <c r="V479"/>
      <c r="W479"/>
      <c r="BF479" s="3"/>
      <c r="BG479" s="3"/>
      <c r="BH479" s="3"/>
      <c r="BI479" s="3"/>
    </row>
    <row r="480" spans="2:61" s="129" customFormat="1" outlineLevel="1">
      <c r="B480" s="167"/>
      <c r="C480" s="168"/>
      <c r="D480" s="169"/>
      <c r="E480" s="170"/>
      <c r="F480" s="171"/>
      <c r="G480"/>
      <c r="H480"/>
      <c r="I480"/>
      <c r="J480"/>
      <c r="K480"/>
      <c r="L480"/>
      <c r="M480"/>
      <c r="N480"/>
      <c r="O480"/>
      <c r="P480"/>
      <c r="Q480"/>
      <c r="R480"/>
      <c r="S480"/>
      <c r="T480"/>
      <c r="U480"/>
      <c r="V480"/>
      <c r="W480"/>
      <c r="BF480" s="3"/>
      <c r="BG480" s="3"/>
      <c r="BH480" s="3"/>
      <c r="BI480" s="3"/>
    </row>
    <row r="481" spans="2:61" s="129" customFormat="1" outlineLevel="1">
      <c r="B481" s="172"/>
      <c r="C481" s="173"/>
      <c r="D481" s="174"/>
      <c r="E481" s="175"/>
      <c r="F481" s="171"/>
      <c r="G481"/>
      <c r="H481"/>
      <c r="I481"/>
      <c r="J481"/>
      <c r="K481"/>
      <c r="L481"/>
      <c r="M481"/>
      <c r="N481"/>
      <c r="O481"/>
      <c r="P481"/>
      <c r="Q481"/>
      <c r="R481"/>
      <c r="S481"/>
      <c r="T481"/>
      <c r="U481"/>
      <c r="V481"/>
      <c r="W481"/>
      <c r="BF481" s="3"/>
      <c r="BG481" s="3"/>
      <c r="BH481" s="3"/>
      <c r="BI481" s="3"/>
    </row>
    <row r="482" spans="2:61" s="129" customFormat="1" outlineLevel="1">
      <c r="B482" s="167"/>
      <c r="C482" s="168"/>
      <c r="D482" s="169"/>
      <c r="E482" s="170"/>
      <c r="F482" s="171"/>
      <c r="G482"/>
      <c r="H482"/>
      <c r="I482"/>
      <c r="J482"/>
      <c r="K482"/>
      <c r="L482"/>
      <c r="M482"/>
      <c r="N482"/>
      <c r="O482"/>
      <c r="P482"/>
      <c r="Q482"/>
      <c r="R482"/>
      <c r="S482"/>
      <c r="T482"/>
      <c r="U482"/>
      <c r="V482"/>
      <c r="W482"/>
      <c r="BF482" s="3"/>
      <c r="BG482" s="3"/>
      <c r="BH482" s="3"/>
      <c r="BI482" s="3"/>
    </row>
    <row r="483" spans="2:61" s="129" customFormat="1" outlineLevel="1">
      <c r="B483" s="172"/>
      <c r="C483" s="173"/>
      <c r="D483" s="174"/>
      <c r="E483" s="175"/>
      <c r="F483" s="171"/>
      <c r="G483"/>
      <c r="H483"/>
      <c r="I483"/>
      <c r="J483"/>
      <c r="K483"/>
      <c r="L483"/>
      <c r="M483"/>
      <c r="N483"/>
      <c r="O483"/>
      <c r="P483"/>
      <c r="Q483"/>
      <c r="R483"/>
      <c r="S483"/>
      <c r="T483"/>
      <c r="U483"/>
      <c r="V483"/>
      <c r="W483"/>
      <c r="BF483" s="3"/>
      <c r="BG483" s="3"/>
      <c r="BH483" s="3"/>
      <c r="BI483" s="3"/>
    </row>
    <row r="484" spans="2:61" s="129" customFormat="1" outlineLevel="1">
      <c r="B484" s="167"/>
      <c r="C484" s="168"/>
      <c r="D484" s="169"/>
      <c r="E484" s="170"/>
      <c r="F484" s="171"/>
      <c r="G484"/>
      <c r="H484"/>
      <c r="I484"/>
      <c r="J484"/>
      <c r="K484"/>
      <c r="L484"/>
      <c r="M484"/>
      <c r="N484"/>
      <c r="O484"/>
      <c r="P484"/>
      <c r="Q484"/>
      <c r="R484"/>
      <c r="S484"/>
      <c r="T484"/>
      <c r="U484"/>
      <c r="V484"/>
      <c r="W484"/>
      <c r="BF484" s="3"/>
      <c r="BG484" s="3"/>
      <c r="BH484" s="3"/>
      <c r="BI484" s="3"/>
    </row>
    <row r="485" spans="2:61" s="129" customFormat="1" outlineLevel="1">
      <c r="B485" s="172"/>
      <c r="C485" s="173"/>
      <c r="D485" s="174"/>
      <c r="E485" s="175"/>
      <c r="F485" s="171"/>
      <c r="G485"/>
      <c r="H485"/>
      <c r="I485"/>
      <c r="J485"/>
      <c r="K485"/>
      <c r="L485"/>
      <c r="M485"/>
      <c r="N485"/>
      <c r="O485"/>
      <c r="P485"/>
      <c r="Q485"/>
      <c r="R485"/>
      <c r="S485"/>
      <c r="T485"/>
      <c r="U485"/>
      <c r="V485"/>
      <c r="W485"/>
      <c r="BF485" s="3"/>
      <c r="BG485" s="3"/>
      <c r="BH485" s="3"/>
      <c r="BI485" s="3"/>
    </row>
    <row r="486" spans="2:61" s="129" customFormat="1" outlineLevel="1">
      <c r="B486" s="167"/>
      <c r="C486" s="168"/>
      <c r="D486" s="169"/>
      <c r="E486" s="170"/>
      <c r="F486" s="171"/>
      <c r="G486"/>
      <c r="H486"/>
      <c r="I486"/>
      <c r="J486"/>
      <c r="K486"/>
      <c r="L486"/>
      <c r="M486"/>
      <c r="N486"/>
      <c r="O486"/>
      <c r="P486"/>
      <c r="Q486"/>
      <c r="R486"/>
      <c r="S486"/>
      <c r="T486"/>
      <c r="U486"/>
      <c r="V486"/>
      <c r="W486"/>
      <c r="BF486" s="3"/>
      <c r="BG486" s="3"/>
      <c r="BH486" s="3"/>
      <c r="BI486" s="3"/>
    </row>
    <row r="487" spans="2:61" s="129" customFormat="1" outlineLevel="1">
      <c r="B487" s="172"/>
      <c r="C487" s="173"/>
      <c r="D487" s="174"/>
      <c r="E487" s="175"/>
      <c r="F487" s="171"/>
      <c r="G487"/>
      <c r="H487"/>
      <c r="I487"/>
      <c r="J487"/>
      <c r="K487"/>
      <c r="L487"/>
      <c r="M487"/>
      <c r="N487"/>
      <c r="O487"/>
      <c r="P487"/>
      <c r="Q487"/>
      <c r="R487"/>
      <c r="S487"/>
      <c r="T487"/>
      <c r="U487"/>
      <c r="V487"/>
      <c r="W487"/>
      <c r="BF487" s="3"/>
      <c r="BG487" s="3"/>
      <c r="BH487" s="3"/>
      <c r="BI487" s="3"/>
    </row>
    <row r="488" spans="2:61" s="129" customFormat="1" outlineLevel="1">
      <c r="B488" s="167"/>
      <c r="C488" s="168"/>
      <c r="D488" s="169"/>
      <c r="E488" s="170"/>
      <c r="F488" s="171"/>
      <c r="G488"/>
      <c r="H488"/>
      <c r="I488"/>
      <c r="J488"/>
      <c r="K488"/>
      <c r="L488"/>
      <c r="M488"/>
      <c r="N488"/>
      <c r="O488"/>
      <c r="P488"/>
      <c r="Q488"/>
      <c r="R488"/>
      <c r="S488"/>
      <c r="T488"/>
      <c r="U488"/>
      <c r="V488"/>
      <c r="W488"/>
      <c r="BF488" s="3"/>
      <c r="BG488" s="3"/>
      <c r="BH488" s="3"/>
      <c r="BI488" s="3"/>
    </row>
    <row r="489" spans="2:61" s="129" customFormat="1" outlineLevel="1">
      <c r="B489" s="172"/>
      <c r="C489" s="173"/>
      <c r="D489" s="174"/>
      <c r="E489" s="175"/>
      <c r="F489" s="171"/>
      <c r="G489"/>
      <c r="H489"/>
      <c r="I489"/>
      <c r="J489"/>
      <c r="K489"/>
      <c r="L489"/>
      <c r="M489"/>
      <c r="N489"/>
      <c r="O489"/>
      <c r="P489"/>
      <c r="Q489"/>
      <c r="R489"/>
      <c r="S489"/>
      <c r="T489"/>
      <c r="U489"/>
      <c r="V489"/>
      <c r="W489"/>
      <c r="BF489" s="3"/>
      <c r="BG489" s="3"/>
      <c r="BH489" s="3"/>
      <c r="BI489" s="3"/>
    </row>
    <row r="490" spans="2:61" s="129" customFormat="1" outlineLevel="1">
      <c r="B490" s="167"/>
      <c r="C490" s="168"/>
      <c r="D490" s="169"/>
      <c r="E490" s="170"/>
      <c r="F490" s="171"/>
      <c r="G490"/>
      <c r="H490"/>
      <c r="I490"/>
      <c r="J490"/>
      <c r="K490"/>
      <c r="L490"/>
      <c r="M490"/>
      <c r="N490"/>
      <c r="O490"/>
      <c r="P490"/>
      <c r="Q490"/>
      <c r="R490"/>
      <c r="S490"/>
      <c r="T490"/>
      <c r="U490"/>
      <c r="V490"/>
      <c r="W490"/>
      <c r="BF490" s="3"/>
      <c r="BG490" s="3"/>
      <c r="BH490" s="3"/>
      <c r="BI490" s="3"/>
    </row>
    <row r="491" spans="2:61" s="129" customFormat="1" outlineLevel="1">
      <c r="B491" s="172"/>
      <c r="C491" s="173"/>
      <c r="D491" s="174"/>
      <c r="E491" s="175"/>
      <c r="F491" s="171"/>
      <c r="G491"/>
      <c r="H491"/>
      <c r="I491"/>
      <c r="J491"/>
      <c r="K491"/>
      <c r="L491"/>
      <c r="M491"/>
      <c r="N491"/>
      <c r="O491"/>
      <c r="P491"/>
      <c r="Q491"/>
      <c r="R491"/>
      <c r="S491"/>
      <c r="T491"/>
      <c r="U491"/>
      <c r="V491"/>
      <c r="W491"/>
      <c r="BF491" s="3"/>
      <c r="BG491" s="3"/>
      <c r="BH491" s="3"/>
      <c r="BI491" s="3"/>
    </row>
    <row r="492" spans="2:61" s="129" customFormat="1" outlineLevel="1">
      <c r="B492" s="167"/>
      <c r="C492" s="168"/>
      <c r="D492" s="169"/>
      <c r="E492" s="170"/>
      <c r="F492" s="171"/>
      <c r="G492"/>
      <c r="H492"/>
      <c r="I492"/>
      <c r="J492"/>
      <c r="K492"/>
      <c r="L492"/>
      <c r="M492"/>
      <c r="N492"/>
      <c r="O492"/>
      <c r="P492"/>
      <c r="Q492"/>
      <c r="R492"/>
      <c r="S492"/>
      <c r="T492"/>
      <c r="U492"/>
      <c r="V492"/>
      <c r="W492"/>
      <c r="BF492" s="3"/>
      <c r="BG492" s="3"/>
      <c r="BH492" s="3"/>
      <c r="BI492" s="3"/>
    </row>
    <row r="493" spans="2:61" s="129" customFormat="1" outlineLevel="1">
      <c r="B493" s="172"/>
      <c r="C493" s="173"/>
      <c r="D493" s="174"/>
      <c r="E493" s="175"/>
      <c r="F493" s="171"/>
      <c r="G493"/>
      <c r="H493"/>
      <c r="I493"/>
      <c r="J493"/>
      <c r="K493"/>
      <c r="L493"/>
      <c r="M493"/>
      <c r="N493"/>
      <c r="O493"/>
      <c r="P493"/>
      <c r="Q493"/>
      <c r="R493"/>
      <c r="S493"/>
      <c r="T493"/>
      <c r="U493"/>
      <c r="V493"/>
      <c r="W493"/>
      <c r="BF493" s="3"/>
      <c r="BG493" s="3"/>
      <c r="BH493" s="3"/>
      <c r="BI493" s="3"/>
    </row>
    <row r="494" spans="2:61" s="129" customFormat="1" outlineLevel="1">
      <c r="B494" s="167"/>
      <c r="C494" s="168"/>
      <c r="D494" s="169"/>
      <c r="E494" s="170"/>
      <c r="F494" s="171"/>
      <c r="G494"/>
      <c r="H494"/>
      <c r="I494"/>
      <c r="J494"/>
      <c r="K494"/>
      <c r="L494"/>
      <c r="M494"/>
      <c r="N494"/>
      <c r="O494"/>
      <c r="P494"/>
      <c r="Q494"/>
      <c r="R494"/>
      <c r="S494"/>
      <c r="T494"/>
      <c r="U494"/>
      <c r="V494"/>
      <c r="W494"/>
      <c r="BF494" s="3"/>
      <c r="BG494" s="3"/>
      <c r="BH494" s="3"/>
      <c r="BI494" s="3"/>
    </row>
    <row r="495" spans="2:61" s="129" customFormat="1" outlineLevel="1">
      <c r="B495" s="172"/>
      <c r="C495" s="173"/>
      <c r="D495" s="174"/>
      <c r="E495" s="175"/>
      <c r="F495" s="171"/>
      <c r="G495"/>
      <c r="H495"/>
      <c r="I495"/>
      <c r="J495"/>
      <c r="K495"/>
      <c r="L495"/>
      <c r="M495"/>
      <c r="N495"/>
      <c r="O495"/>
      <c r="P495"/>
      <c r="Q495"/>
      <c r="R495"/>
      <c r="S495"/>
      <c r="T495"/>
      <c r="U495"/>
      <c r="V495"/>
      <c r="W495"/>
      <c r="BF495" s="3"/>
      <c r="BG495" s="3"/>
      <c r="BH495" s="3"/>
      <c r="BI495" s="3"/>
    </row>
    <row r="496" spans="2:61" s="129" customFormat="1" outlineLevel="1">
      <c r="B496" s="167"/>
      <c r="C496" s="168"/>
      <c r="D496" s="169"/>
      <c r="E496" s="170"/>
      <c r="F496" s="171"/>
      <c r="G496"/>
      <c r="H496"/>
      <c r="I496"/>
      <c r="J496"/>
      <c r="K496"/>
      <c r="L496"/>
      <c r="M496"/>
      <c r="N496"/>
      <c r="O496"/>
      <c r="P496"/>
      <c r="Q496"/>
      <c r="R496"/>
      <c r="S496"/>
      <c r="T496"/>
      <c r="U496"/>
      <c r="V496"/>
      <c r="W496"/>
      <c r="BF496" s="3"/>
      <c r="BG496" s="3"/>
      <c r="BH496" s="3"/>
      <c r="BI496" s="3"/>
    </row>
    <row r="497" spans="2:61" s="129" customFormat="1" outlineLevel="1">
      <c r="B497" s="172"/>
      <c r="C497" s="173"/>
      <c r="D497" s="174"/>
      <c r="E497" s="175"/>
      <c r="F497" s="171"/>
      <c r="G497"/>
      <c r="H497"/>
      <c r="I497"/>
      <c r="J497"/>
      <c r="K497"/>
      <c r="L497"/>
      <c r="M497"/>
      <c r="N497"/>
      <c r="O497"/>
      <c r="P497"/>
      <c r="Q497"/>
      <c r="R497"/>
      <c r="S497"/>
      <c r="T497"/>
      <c r="U497"/>
      <c r="V497"/>
      <c r="W497"/>
      <c r="BF497" s="3"/>
      <c r="BG497" s="3"/>
      <c r="BH497" s="3"/>
      <c r="BI497" s="3"/>
    </row>
    <row r="498" spans="2:61" s="129" customFormat="1" outlineLevel="1">
      <c r="B498" s="167"/>
      <c r="C498" s="168"/>
      <c r="D498" s="169"/>
      <c r="E498" s="170"/>
      <c r="F498" s="171"/>
      <c r="G498"/>
      <c r="H498"/>
      <c r="I498"/>
      <c r="J498"/>
      <c r="K498"/>
      <c r="L498"/>
      <c r="M498"/>
      <c r="N498"/>
      <c r="O498"/>
      <c r="P498"/>
      <c r="Q498"/>
      <c r="R498"/>
      <c r="S498"/>
      <c r="T498"/>
      <c r="U498"/>
      <c r="V498"/>
      <c r="W498"/>
      <c r="BF498" s="3"/>
      <c r="BG498" s="3"/>
      <c r="BH498" s="3"/>
      <c r="BI498" s="3"/>
    </row>
    <row r="499" spans="2:61" s="129" customFormat="1" outlineLevel="1">
      <c r="B499" s="172"/>
      <c r="C499" s="173"/>
      <c r="D499" s="174"/>
      <c r="E499" s="175"/>
      <c r="F499" s="171"/>
      <c r="G499"/>
      <c r="H499"/>
      <c r="I499"/>
      <c r="J499"/>
      <c r="K499"/>
      <c r="L499"/>
      <c r="M499"/>
      <c r="N499"/>
      <c r="O499"/>
      <c r="P499"/>
      <c r="Q499"/>
      <c r="R499"/>
      <c r="S499"/>
      <c r="T499"/>
      <c r="U499"/>
      <c r="V499"/>
      <c r="W499"/>
      <c r="BF499" s="3"/>
      <c r="BG499" s="3"/>
      <c r="BH499" s="3"/>
      <c r="BI499" s="3"/>
    </row>
    <row r="500" spans="2:61" s="129" customFormat="1" outlineLevel="1">
      <c r="B500" s="167"/>
      <c r="C500" s="168"/>
      <c r="D500" s="169"/>
      <c r="E500" s="170"/>
      <c r="F500" s="171"/>
      <c r="G500"/>
      <c r="H500"/>
      <c r="I500"/>
      <c r="J500"/>
      <c r="K500"/>
      <c r="L500"/>
      <c r="M500"/>
      <c r="N500"/>
      <c r="O500"/>
      <c r="P500"/>
      <c r="Q500"/>
      <c r="R500"/>
      <c r="S500"/>
      <c r="T500"/>
      <c r="U500"/>
      <c r="V500"/>
      <c r="W500"/>
      <c r="BF500" s="3"/>
      <c r="BG500" s="3"/>
      <c r="BH500" s="3"/>
      <c r="BI500" s="3"/>
    </row>
    <row r="501" spans="2:61" s="129" customFormat="1" outlineLevel="1">
      <c r="B501" s="172"/>
      <c r="C501" s="173"/>
      <c r="D501" s="174"/>
      <c r="E501" s="175"/>
      <c r="F501" s="171"/>
      <c r="G501"/>
      <c r="H501"/>
      <c r="I501"/>
      <c r="J501"/>
      <c r="K501"/>
      <c r="L501"/>
      <c r="M501"/>
      <c r="N501"/>
      <c r="O501"/>
      <c r="P501"/>
      <c r="Q501"/>
      <c r="R501"/>
      <c r="S501"/>
      <c r="T501"/>
      <c r="U501"/>
      <c r="V501"/>
      <c r="W501"/>
      <c r="BF501" s="3"/>
      <c r="BG501" s="3"/>
      <c r="BH501" s="3"/>
      <c r="BI501" s="3"/>
    </row>
    <row r="502" spans="2:61" s="129" customFormat="1" outlineLevel="1">
      <c r="B502" s="167"/>
      <c r="C502" s="168"/>
      <c r="D502" s="169"/>
      <c r="E502" s="170"/>
      <c r="F502" s="171"/>
      <c r="G502"/>
      <c r="H502"/>
      <c r="I502"/>
      <c r="J502"/>
      <c r="K502"/>
      <c r="L502"/>
      <c r="M502"/>
      <c r="N502"/>
      <c r="O502"/>
      <c r="P502"/>
      <c r="Q502"/>
      <c r="R502"/>
      <c r="S502"/>
      <c r="T502"/>
      <c r="U502"/>
      <c r="V502"/>
      <c r="W502"/>
      <c r="BF502" s="3"/>
      <c r="BG502" s="3"/>
      <c r="BH502" s="3"/>
      <c r="BI502" s="3"/>
    </row>
    <row r="503" spans="2:61" s="129" customFormat="1" outlineLevel="1">
      <c r="B503" s="172"/>
      <c r="C503" s="173"/>
      <c r="D503" s="174"/>
      <c r="E503" s="175"/>
      <c r="F503" s="171"/>
      <c r="G503"/>
      <c r="H503"/>
      <c r="I503"/>
      <c r="J503"/>
      <c r="K503"/>
      <c r="L503"/>
      <c r="M503"/>
      <c r="N503"/>
      <c r="O503"/>
      <c r="P503"/>
      <c r="Q503"/>
      <c r="R503"/>
      <c r="S503"/>
      <c r="T503"/>
      <c r="U503"/>
      <c r="V503"/>
      <c r="W503"/>
      <c r="BF503" s="3"/>
      <c r="BG503" s="3"/>
      <c r="BH503" s="3"/>
      <c r="BI503" s="3"/>
    </row>
    <row r="504" spans="2:61" s="129" customFormat="1" outlineLevel="1">
      <c r="B504" s="167"/>
      <c r="C504" s="168"/>
      <c r="D504" s="169"/>
      <c r="E504" s="170"/>
      <c r="F504" s="171"/>
      <c r="G504"/>
      <c r="H504"/>
      <c r="I504"/>
      <c r="J504"/>
      <c r="K504"/>
      <c r="L504"/>
      <c r="M504"/>
      <c r="N504"/>
      <c r="O504"/>
      <c r="P504"/>
      <c r="Q504"/>
      <c r="R504"/>
      <c r="S504"/>
      <c r="T504"/>
      <c r="U504"/>
      <c r="V504"/>
      <c r="W504"/>
      <c r="BF504" s="3"/>
      <c r="BG504" s="3"/>
      <c r="BH504" s="3"/>
      <c r="BI504" s="3"/>
    </row>
    <row r="505" spans="2:61" s="129" customFormat="1" outlineLevel="1">
      <c r="B505" s="172"/>
      <c r="C505" s="173"/>
      <c r="D505" s="174"/>
      <c r="E505" s="175"/>
      <c r="F505" s="171"/>
      <c r="G505"/>
      <c r="H505"/>
      <c r="I505"/>
      <c r="J505"/>
      <c r="K505"/>
      <c r="L505"/>
      <c r="M505"/>
      <c r="N505"/>
      <c r="O505"/>
      <c r="P505"/>
      <c r="Q505"/>
      <c r="R505"/>
      <c r="S505"/>
      <c r="T505"/>
      <c r="U505"/>
      <c r="V505"/>
      <c r="W505"/>
      <c r="BF505" s="3"/>
      <c r="BG505" s="3"/>
      <c r="BH505" s="3"/>
      <c r="BI505" s="3"/>
    </row>
    <row r="506" spans="2:61" s="129" customFormat="1" outlineLevel="1">
      <c r="B506" s="167"/>
      <c r="C506" s="168"/>
      <c r="D506" s="169"/>
      <c r="E506" s="170"/>
      <c r="F506" s="171"/>
      <c r="G506"/>
      <c r="H506"/>
      <c r="I506"/>
      <c r="J506"/>
      <c r="K506"/>
      <c r="L506"/>
      <c r="M506"/>
      <c r="N506"/>
      <c r="O506"/>
      <c r="P506"/>
      <c r="Q506"/>
      <c r="R506"/>
      <c r="S506"/>
      <c r="T506"/>
      <c r="U506"/>
      <c r="V506"/>
      <c r="W506"/>
      <c r="BF506" s="3"/>
      <c r="BG506" s="3"/>
      <c r="BH506" s="3"/>
      <c r="BI506" s="3"/>
    </row>
    <row r="507" spans="2:61" s="129" customFormat="1" outlineLevel="1">
      <c r="B507" s="172"/>
      <c r="C507" s="173"/>
      <c r="D507" s="174"/>
      <c r="E507" s="175"/>
      <c r="F507" s="171"/>
      <c r="G507"/>
      <c r="H507"/>
      <c r="I507"/>
      <c r="J507"/>
      <c r="K507"/>
      <c r="L507"/>
      <c r="M507"/>
      <c r="N507"/>
      <c r="O507"/>
      <c r="P507"/>
      <c r="Q507"/>
      <c r="R507"/>
      <c r="S507"/>
      <c r="T507"/>
      <c r="U507"/>
      <c r="V507"/>
      <c r="W507"/>
      <c r="BF507" s="3"/>
      <c r="BG507" s="3"/>
      <c r="BH507" s="3"/>
      <c r="BI507" s="3"/>
    </row>
    <row r="508" spans="2:61" s="129" customFormat="1" outlineLevel="1">
      <c r="B508" s="167"/>
      <c r="C508" s="168"/>
      <c r="D508" s="169"/>
      <c r="E508" s="170"/>
      <c r="F508" s="171"/>
      <c r="G508"/>
      <c r="H508"/>
      <c r="I508"/>
      <c r="J508"/>
      <c r="K508"/>
      <c r="L508"/>
      <c r="M508"/>
      <c r="N508"/>
      <c r="O508"/>
      <c r="P508"/>
      <c r="Q508"/>
      <c r="R508"/>
      <c r="S508"/>
      <c r="T508"/>
      <c r="U508"/>
      <c r="V508"/>
      <c r="W508"/>
      <c r="BF508" s="3"/>
      <c r="BG508" s="3"/>
      <c r="BH508" s="3"/>
      <c r="BI508" s="3"/>
    </row>
    <row r="509" spans="2:61" s="129" customFormat="1" outlineLevel="1">
      <c r="B509" s="172"/>
      <c r="C509" s="173"/>
      <c r="D509" s="174"/>
      <c r="E509" s="175"/>
      <c r="F509" s="171"/>
      <c r="G509"/>
      <c r="H509"/>
      <c r="I509"/>
      <c r="J509"/>
      <c r="K509"/>
      <c r="L509"/>
      <c r="M509"/>
      <c r="N509"/>
      <c r="O509"/>
      <c r="P509"/>
      <c r="Q509"/>
      <c r="R509"/>
      <c r="S509"/>
      <c r="T509"/>
      <c r="U509"/>
      <c r="V509"/>
      <c r="W509"/>
      <c r="BF509" s="3"/>
      <c r="BG509" s="3"/>
      <c r="BH509" s="3"/>
      <c r="BI509" s="3"/>
    </row>
    <row r="510" spans="2:61" s="129" customFormat="1" outlineLevel="1">
      <c r="B510" s="167"/>
      <c r="C510" s="168"/>
      <c r="D510" s="169"/>
      <c r="E510" s="170"/>
      <c r="F510" s="171"/>
      <c r="G510"/>
      <c r="H510"/>
      <c r="I510"/>
      <c r="J510"/>
      <c r="K510"/>
      <c r="L510"/>
      <c r="M510"/>
      <c r="N510"/>
      <c r="O510"/>
      <c r="P510"/>
      <c r="Q510"/>
      <c r="R510"/>
      <c r="S510"/>
      <c r="T510"/>
      <c r="U510"/>
      <c r="V510"/>
      <c r="W510"/>
      <c r="BF510" s="3"/>
      <c r="BG510" s="3"/>
      <c r="BH510" s="3"/>
      <c r="BI510" s="3"/>
    </row>
    <row r="511" spans="2:61" s="129" customFormat="1" outlineLevel="1">
      <c r="B511" s="172"/>
      <c r="C511" s="173"/>
      <c r="D511" s="174"/>
      <c r="E511" s="175"/>
      <c r="F511" s="171"/>
      <c r="G511"/>
      <c r="H511"/>
      <c r="I511"/>
      <c r="J511"/>
      <c r="K511"/>
      <c r="L511"/>
      <c r="M511"/>
      <c r="N511"/>
      <c r="O511"/>
      <c r="P511"/>
      <c r="Q511"/>
      <c r="R511"/>
      <c r="S511"/>
      <c r="T511"/>
      <c r="U511"/>
      <c r="V511"/>
      <c r="W511"/>
      <c r="BF511" s="3"/>
      <c r="BG511" s="3"/>
      <c r="BH511" s="3"/>
      <c r="BI511" s="3"/>
    </row>
    <row r="512" spans="2:61" s="129" customFormat="1" outlineLevel="1">
      <c r="B512" s="167"/>
      <c r="C512" s="168"/>
      <c r="D512" s="169"/>
      <c r="E512" s="170"/>
      <c r="F512" s="171"/>
      <c r="G512"/>
      <c r="H512"/>
      <c r="I512"/>
      <c r="J512"/>
      <c r="K512"/>
      <c r="L512"/>
      <c r="M512"/>
      <c r="N512"/>
      <c r="O512"/>
      <c r="P512"/>
      <c r="Q512"/>
      <c r="R512"/>
      <c r="S512"/>
      <c r="T512"/>
      <c r="U512"/>
      <c r="V512"/>
      <c r="W512"/>
      <c r="BF512" s="3"/>
      <c r="BG512" s="3"/>
      <c r="BH512" s="3"/>
      <c r="BI512" s="3"/>
    </row>
    <row r="513" spans="2:61" s="129" customFormat="1" outlineLevel="1">
      <c r="B513" s="172"/>
      <c r="C513" s="173"/>
      <c r="D513" s="174"/>
      <c r="E513" s="175"/>
      <c r="F513" s="171"/>
      <c r="G513"/>
      <c r="H513"/>
      <c r="I513"/>
      <c r="J513"/>
      <c r="K513"/>
      <c r="L513"/>
      <c r="M513"/>
      <c r="N513"/>
      <c r="O513"/>
      <c r="P513"/>
      <c r="Q513"/>
      <c r="R513"/>
      <c r="S513"/>
      <c r="T513"/>
      <c r="U513"/>
      <c r="V513"/>
      <c r="W513"/>
      <c r="BF513" s="3"/>
      <c r="BG513" s="3"/>
      <c r="BH513" s="3"/>
      <c r="BI513" s="3"/>
    </row>
    <row r="514" spans="2:61" s="129" customFormat="1" outlineLevel="1">
      <c r="B514" s="167"/>
      <c r="C514" s="168"/>
      <c r="D514" s="169"/>
      <c r="E514" s="170"/>
      <c r="F514" s="171"/>
      <c r="G514"/>
      <c r="H514"/>
      <c r="I514"/>
      <c r="J514"/>
      <c r="K514"/>
      <c r="L514"/>
      <c r="M514"/>
      <c r="N514"/>
      <c r="O514"/>
      <c r="P514"/>
      <c r="Q514"/>
      <c r="R514"/>
      <c r="S514"/>
      <c r="T514"/>
      <c r="U514"/>
      <c r="V514"/>
      <c r="W514"/>
      <c r="BF514" s="3"/>
      <c r="BG514" s="3"/>
      <c r="BH514" s="3"/>
      <c r="BI514" s="3"/>
    </row>
    <row r="515" spans="2:61" s="129" customFormat="1" outlineLevel="1">
      <c r="B515" s="172"/>
      <c r="C515" s="173"/>
      <c r="D515" s="174"/>
      <c r="E515" s="175"/>
      <c r="F515" s="171"/>
      <c r="G515"/>
      <c r="H515"/>
      <c r="I515"/>
      <c r="J515"/>
      <c r="K515"/>
      <c r="L515"/>
      <c r="M515"/>
      <c r="N515"/>
      <c r="O515"/>
      <c r="P515"/>
      <c r="Q515"/>
      <c r="R515"/>
      <c r="S515"/>
      <c r="T515"/>
      <c r="U515"/>
      <c r="V515"/>
      <c r="W515"/>
      <c r="BF515" s="3"/>
      <c r="BG515" s="3"/>
      <c r="BH515" s="3"/>
      <c r="BI515" s="3"/>
    </row>
    <row r="516" spans="2:61" s="129" customFormat="1" outlineLevel="1">
      <c r="B516" s="167"/>
      <c r="C516" s="168"/>
      <c r="D516" s="169"/>
      <c r="E516" s="170"/>
      <c r="F516" s="171"/>
      <c r="G516"/>
      <c r="H516"/>
      <c r="I516"/>
      <c r="J516"/>
      <c r="K516"/>
      <c r="L516"/>
      <c r="M516"/>
      <c r="N516"/>
      <c r="O516"/>
      <c r="P516"/>
      <c r="Q516"/>
      <c r="R516"/>
      <c r="S516"/>
      <c r="T516"/>
      <c r="U516"/>
      <c r="V516"/>
      <c r="W516"/>
      <c r="BF516" s="3"/>
      <c r="BG516" s="3"/>
      <c r="BH516" s="3"/>
      <c r="BI516" s="3"/>
    </row>
    <row r="517" spans="2:61" s="129" customFormat="1" outlineLevel="1">
      <c r="B517" s="172"/>
      <c r="C517" s="173"/>
      <c r="D517" s="174"/>
      <c r="E517" s="175"/>
      <c r="F517" s="171"/>
      <c r="G517"/>
      <c r="H517"/>
      <c r="I517"/>
      <c r="J517"/>
      <c r="K517"/>
      <c r="L517"/>
      <c r="M517"/>
      <c r="N517"/>
      <c r="O517"/>
      <c r="P517"/>
      <c r="Q517"/>
      <c r="R517"/>
      <c r="S517"/>
      <c r="T517"/>
      <c r="U517"/>
      <c r="V517"/>
      <c r="W517"/>
      <c r="BF517" s="3"/>
      <c r="BG517" s="3"/>
      <c r="BH517" s="3"/>
      <c r="BI517" s="3"/>
    </row>
    <row r="518" spans="2:61" s="129" customFormat="1" outlineLevel="1">
      <c r="B518" s="167"/>
      <c r="C518" s="168"/>
      <c r="D518" s="169"/>
      <c r="E518" s="170"/>
      <c r="F518" s="171"/>
      <c r="G518"/>
      <c r="H518"/>
      <c r="I518"/>
      <c r="J518"/>
      <c r="K518"/>
      <c r="L518"/>
      <c r="M518"/>
      <c r="N518"/>
      <c r="O518"/>
      <c r="P518"/>
      <c r="Q518"/>
      <c r="R518"/>
      <c r="S518"/>
      <c r="T518"/>
      <c r="U518"/>
      <c r="V518"/>
      <c r="W518"/>
      <c r="BF518" s="3"/>
      <c r="BG518" s="3"/>
      <c r="BH518" s="3"/>
      <c r="BI518" s="3"/>
    </row>
    <row r="519" spans="2:61" s="129" customFormat="1" outlineLevel="1">
      <c r="B519" s="172"/>
      <c r="C519" s="173"/>
      <c r="D519" s="174"/>
      <c r="E519" s="175"/>
      <c r="F519" s="171"/>
      <c r="G519"/>
      <c r="H519"/>
      <c r="I519"/>
      <c r="J519"/>
      <c r="K519"/>
      <c r="L519"/>
      <c r="M519"/>
      <c r="N519"/>
      <c r="O519"/>
      <c r="P519"/>
      <c r="Q519"/>
      <c r="R519"/>
      <c r="S519"/>
      <c r="T519"/>
      <c r="U519"/>
      <c r="V519"/>
      <c r="W519"/>
      <c r="BF519" s="3"/>
      <c r="BG519" s="3"/>
      <c r="BH519" s="3"/>
      <c r="BI519" s="3"/>
    </row>
    <row r="520" spans="2:61" s="129" customFormat="1" outlineLevel="1">
      <c r="B520" s="167"/>
      <c r="C520" s="168"/>
      <c r="D520" s="169"/>
      <c r="E520" s="170"/>
      <c r="F520" s="171"/>
      <c r="G520"/>
      <c r="H520"/>
      <c r="I520"/>
      <c r="J520"/>
      <c r="K520"/>
      <c r="L520"/>
      <c r="M520"/>
      <c r="N520"/>
      <c r="O520"/>
      <c r="P520"/>
      <c r="Q520"/>
      <c r="R520"/>
      <c r="S520"/>
      <c r="T520"/>
      <c r="U520"/>
      <c r="V520"/>
      <c r="W520"/>
      <c r="BF520" s="3"/>
      <c r="BG520" s="3"/>
      <c r="BH520" s="3"/>
      <c r="BI520" s="3"/>
    </row>
    <row r="521" spans="2:61" s="129" customFormat="1" outlineLevel="1">
      <c r="B521" s="172"/>
      <c r="C521" s="173"/>
      <c r="D521" s="174"/>
      <c r="E521" s="175"/>
      <c r="F521" s="171"/>
      <c r="G521"/>
      <c r="H521"/>
      <c r="I521"/>
      <c r="J521"/>
      <c r="K521"/>
      <c r="L521"/>
      <c r="M521"/>
      <c r="N521"/>
      <c r="O521"/>
      <c r="P521"/>
      <c r="Q521"/>
      <c r="R521"/>
      <c r="S521"/>
      <c r="T521"/>
      <c r="U521"/>
      <c r="V521"/>
      <c r="W521"/>
      <c r="BF521" s="3"/>
      <c r="BG521" s="3"/>
      <c r="BH521" s="3"/>
      <c r="BI521" s="3"/>
    </row>
    <row r="522" spans="2:61" s="129" customFormat="1" outlineLevel="1">
      <c r="B522" s="167"/>
      <c r="C522" s="168"/>
      <c r="D522" s="169"/>
      <c r="E522" s="170"/>
      <c r="F522" s="171"/>
      <c r="G522"/>
      <c r="H522"/>
      <c r="I522"/>
      <c r="J522"/>
      <c r="K522"/>
      <c r="L522"/>
      <c r="M522"/>
      <c r="N522"/>
      <c r="O522"/>
      <c r="P522"/>
      <c r="Q522"/>
      <c r="R522"/>
      <c r="S522"/>
      <c r="T522"/>
      <c r="U522"/>
      <c r="V522"/>
      <c r="W522"/>
      <c r="BF522" s="3"/>
      <c r="BG522" s="3"/>
      <c r="BH522" s="3"/>
      <c r="BI522" s="3"/>
    </row>
    <row r="523" spans="2:61" s="129" customFormat="1" outlineLevel="1">
      <c r="B523" s="172"/>
      <c r="C523" s="173"/>
      <c r="D523" s="174"/>
      <c r="E523" s="175"/>
      <c r="F523" s="171"/>
      <c r="G523"/>
      <c r="H523"/>
      <c r="I523"/>
      <c r="J523"/>
      <c r="K523"/>
      <c r="L523"/>
      <c r="M523"/>
      <c r="N523"/>
      <c r="O523"/>
      <c r="P523"/>
      <c r="Q523"/>
      <c r="R523"/>
      <c r="S523"/>
      <c r="T523"/>
      <c r="U523"/>
      <c r="V523"/>
      <c r="W523"/>
      <c r="BF523" s="3"/>
      <c r="BG523" s="3"/>
      <c r="BH523" s="3"/>
      <c r="BI523" s="3"/>
    </row>
    <row r="524" spans="2:61" s="129" customFormat="1" outlineLevel="1">
      <c r="B524" s="167"/>
      <c r="C524" s="168"/>
      <c r="D524" s="169"/>
      <c r="E524" s="170"/>
      <c r="F524" s="171"/>
      <c r="G524"/>
      <c r="H524"/>
      <c r="I524"/>
      <c r="J524"/>
      <c r="K524"/>
      <c r="L524"/>
      <c r="M524"/>
      <c r="N524"/>
      <c r="O524"/>
      <c r="P524"/>
      <c r="Q524"/>
      <c r="R524"/>
      <c r="S524"/>
      <c r="T524"/>
      <c r="U524"/>
      <c r="V524"/>
      <c r="W524"/>
      <c r="BF524" s="3"/>
      <c r="BG524" s="3"/>
      <c r="BH524" s="3"/>
      <c r="BI524" s="3"/>
    </row>
    <row r="525" spans="2:61" s="129" customFormat="1" outlineLevel="1">
      <c r="B525" s="172"/>
      <c r="C525" s="173"/>
      <c r="D525" s="174"/>
      <c r="E525" s="175"/>
      <c r="F525" s="171"/>
      <c r="G525"/>
      <c r="H525"/>
      <c r="I525"/>
      <c r="J525"/>
      <c r="K525"/>
      <c r="L525"/>
      <c r="M525"/>
      <c r="N525"/>
      <c r="O525"/>
      <c r="P525"/>
      <c r="Q525"/>
      <c r="R525"/>
      <c r="S525"/>
      <c r="T525"/>
      <c r="U525"/>
      <c r="V525"/>
      <c r="W525"/>
      <c r="BF525" s="3"/>
      <c r="BG525" s="3"/>
      <c r="BH525" s="3"/>
      <c r="BI525" s="3"/>
    </row>
    <row r="526" spans="2:61" s="129" customFormat="1" outlineLevel="1">
      <c r="B526" s="167"/>
      <c r="C526" s="168"/>
      <c r="D526" s="169"/>
      <c r="E526" s="170"/>
      <c r="F526" s="171"/>
      <c r="G526"/>
      <c r="H526"/>
      <c r="I526"/>
      <c r="J526"/>
      <c r="K526"/>
      <c r="L526"/>
      <c r="M526"/>
      <c r="N526"/>
      <c r="O526"/>
      <c r="P526"/>
      <c r="Q526"/>
      <c r="R526"/>
      <c r="S526"/>
      <c r="T526"/>
      <c r="U526"/>
      <c r="V526"/>
      <c r="W526"/>
      <c r="BF526" s="3"/>
      <c r="BG526" s="3"/>
      <c r="BH526" s="3"/>
      <c r="BI526" s="3"/>
    </row>
    <row r="527" spans="2:61" s="129" customFormat="1" outlineLevel="1">
      <c r="B527" s="172"/>
      <c r="C527" s="173"/>
      <c r="D527" s="174"/>
      <c r="E527" s="175"/>
      <c r="F527" s="171"/>
      <c r="G527"/>
      <c r="H527"/>
      <c r="I527"/>
      <c r="J527"/>
      <c r="K527"/>
      <c r="L527"/>
      <c r="M527"/>
      <c r="N527"/>
      <c r="O527"/>
      <c r="P527"/>
      <c r="Q527"/>
      <c r="R527"/>
      <c r="S527"/>
      <c r="T527"/>
      <c r="U527"/>
      <c r="V527"/>
      <c r="W527"/>
      <c r="BF527" s="3"/>
      <c r="BG527" s="3"/>
      <c r="BH527" s="3"/>
      <c r="BI527" s="3"/>
    </row>
    <row r="528" spans="2:61" s="129" customFormat="1" outlineLevel="1">
      <c r="B528" s="167"/>
      <c r="C528" s="168"/>
      <c r="D528" s="169"/>
      <c r="E528" s="170"/>
      <c r="F528" s="171"/>
      <c r="G528"/>
      <c r="H528"/>
      <c r="I528"/>
      <c r="J528"/>
      <c r="K528"/>
      <c r="L528"/>
      <c r="M528"/>
      <c r="N528"/>
      <c r="O528"/>
      <c r="P528"/>
      <c r="Q528"/>
      <c r="R528"/>
      <c r="S528"/>
      <c r="T528"/>
      <c r="U528"/>
      <c r="V528"/>
      <c r="W528"/>
      <c r="BF528" s="3"/>
      <c r="BG528" s="3"/>
      <c r="BH528" s="3"/>
      <c r="BI528" s="3"/>
    </row>
    <row r="529" spans="2:61" s="129" customFormat="1" outlineLevel="1">
      <c r="B529" s="172"/>
      <c r="C529" s="173"/>
      <c r="D529" s="174"/>
      <c r="E529" s="175"/>
      <c r="F529" s="171"/>
      <c r="G529"/>
      <c r="H529"/>
      <c r="I529"/>
      <c r="J529"/>
      <c r="K529"/>
      <c r="L529"/>
      <c r="M529"/>
      <c r="N529"/>
      <c r="O529"/>
      <c r="P529"/>
      <c r="Q529"/>
      <c r="R529"/>
      <c r="S529"/>
      <c r="T529"/>
      <c r="U529"/>
      <c r="V529"/>
      <c r="W529"/>
      <c r="BF529" s="3"/>
      <c r="BG529" s="3"/>
      <c r="BH529" s="3"/>
      <c r="BI529" s="3"/>
    </row>
    <row r="530" spans="2:61" s="129" customFormat="1" outlineLevel="1">
      <c r="B530" s="167"/>
      <c r="C530" s="168"/>
      <c r="D530" s="169"/>
      <c r="E530" s="170"/>
      <c r="F530" s="171"/>
      <c r="G530"/>
      <c r="H530"/>
      <c r="I530"/>
      <c r="J530"/>
      <c r="K530"/>
      <c r="L530"/>
      <c r="M530"/>
      <c r="N530"/>
      <c r="O530"/>
      <c r="P530"/>
      <c r="Q530"/>
      <c r="R530"/>
      <c r="S530"/>
      <c r="T530"/>
      <c r="U530"/>
      <c r="V530"/>
      <c r="W530"/>
      <c r="BF530" s="3"/>
      <c r="BG530" s="3"/>
      <c r="BH530" s="3"/>
      <c r="BI530" s="3"/>
    </row>
    <row r="531" spans="2:61" s="129" customFormat="1" outlineLevel="1">
      <c r="B531" s="172"/>
      <c r="C531" s="173"/>
      <c r="D531" s="174"/>
      <c r="E531" s="175"/>
      <c r="F531" s="171"/>
      <c r="G531"/>
      <c r="H531"/>
      <c r="I531"/>
      <c r="J531"/>
      <c r="K531"/>
      <c r="L531"/>
      <c r="M531"/>
      <c r="N531"/>
      <c r="O531"/>
      <c r="P531"/>
      <c r="Q531"/>
      <c r="R531"/>
      <c r="S531"/>
      <c r="T531"/>
      <c r="U531"/>
      <c r="V531"/>
      <c r="W531"/>
      <c r="BF531" s="3"/>
      <c r="BG531" s="3"/>
      <c r="BH531" s="3"/>
      <c r="BI531" s="3"/>
    </row>
    <row r="532" spans="2:61" s="129" customFormat="1" outlineLevel="1">
      <c r="B532" s="167"/>
      <c r="C532" s="168"/>
      <c r="D532" s="169"/>
      <c r="E532" s="170"/>
      <c r="F532" s="171"/>
      <c r="G532"/>
      <c r="H532"/>
      <c r="I532"/>
      <c r="J532"/>
      <c r="K532"/>
      <c r="L532"/>
      <c r="M532"/>
      <c r="N532"/>
      <c r="O532"/>
      <c r="P532"/>
      <c r="Q532"/>
      <c r="R532"/>
      <c r="S532"/>
      <c r="T532"/>
      <c r="U532"/>
      <c r="V532"/>
      <c r="W532"/>
      <c r="BF532" s="3"/>
      <c r="BG532" s="3"/>
      <c r="BH532" s="3"/>
      <c r="BI532" s="3"/>
    </row>
    <row r="533" spans="2:61" s="129" customFormat="1" outlineLevel="1">
      <c r="B533" s="172"/>
      <c r="C533" s="173"/>
      <c r="D533" s="174"/>
      <c r="E533" s="175"/>
      <c r="F533" s="171"/>
      <c r="G533"/>
      <c r="H533"/>
      <c r="I533"/>
      <c r="J533"/>
      <c r="K533"/>
      <c r="L533"/>
      <c r="M533"/>
      <c r="N533"/>
      <c r="O533"/>
      <c r="P533"/>
      <c r="Q533"/>
      <c r="R533"/>
      <c r="S533"/>
      <c r="T533"/>
      <c r="U533"/>
      <c r="V533"/>
      <c r="W533"/>
      <c r="BF533" s="3"/>
      <c r="BG533" s="3"/>
      <c r="BH533" s="3"/>
      <c r="BI533" s="3"/>
    </row>
    <row r="534" spans="2:61" s="129" customFormat="1" outlineLevel="1">
      <c r="B534" s="167"/>
      <c r="C534" s="168"/>
      <c r="D534" s="169"/>
      <c r="E534" s="170"/>
      <c r="F534" s="171"/>
      <c r="G534"/>
      <c r="H534"/>
      <c r="I534"/>
      <c r="J534"/>
      <c r="K534"/>
      <c r="L534"/>
      <c r="M534"/>
      <c r="N534"/>
      <c r="O534"/>
      <c r="P534"/>
      <c r="Q534"/>
      <c r="R534"/>
      <c r="S534"/>
      <c r="T534"/>
      <c r="U534"/>
      <c r="V534"/>
      <c r="W534"/>
      <c r="BF534" s="3"/>
      <c r="BG534" s="3"/>
      <c r="BH534" s="3"/>
      <c r="BI534" s="3"/>
    </row>
    <row r="535" spans="2:61" s="129" customFormat="1" outlineLevel="1">
      <c r="B535" s="172"/>
      <c r="C535" s="173"/>
      <c r="D535" s="174"/>
      <c r="E535" s="175"/>
      <c r="F535" s="171"/>
      <c r="G535"/>
      <c r="H535"/>
      <c r="I535"/>
      <c r="J535"/>
      <c r="K535"/>
      <c r="L535"/>
      <c r="M535"/>
      <c r="N535"/>
      <c r="O535"/>
      <c r="P535"/>
      <c r="Q535"/>
      <c r="R535"/>
      <c r="S535"/>
      <c r="T535"/>
      <c r="U535"/>
      <c r="V535"/>
      <c r="W535"/>
      <c r="BF535" s="3"/>
      <c r="BG535" s="3"/>
      <c r="BH535" s="3"/>
      <c r="BI535" s="3"/>
    </row>
    <row r="536" spans="2:61" s="129" customFormat="1" outlineLevel="1">
      <c r="B536" s="167"/>
      <c r="C536" s="168"/>
      <c r="D536" s="169"/>
      <c r="E536" s="170"/>
      <c r="F536" s="171"/>
      <c r="G536"/>
      <c r="H536"/>
      <c r="I536"/>
      <c r="J536"/>
      <c r="K536"/>
      <c r="L536"/>
      <c r="M536"/>
      <c r="N536"/>
      <c r="O536"/>
      <c r="P536"/>
      <c r="Q536"/>
      <c r="R536"/>
      <c r="S536"/>
      <c r="T536"/>
      <c r="U536"/>
      <c r="V536"/>
      <c r="W536"/>
      <c r="BF536" s="3"/>
      <c r="BG536" s="3"/>
      <c r="BH536" s="3"/>
      <c r="BI536" s="3"/>
    </row>
    <row r="537" spans="2:61" s="129" customFormat="1" outlineLevel="1">
      <c r="B537" s="172"/>
      <c r="C537" s="173"/>
      <c r="D537" s="174"/>
      <c r="E537" s="175"/>
      <c r="F537" s="171"/>
      <c r="G537"/>
      <c r="H537"/>
      <c r="I537"/>
      <c r="J537"/>
      <c r="K537"/>
      <c r="L537"/>
      <c r="M537"/>
      <c r="N537"/>
      <c r="O537"/>
      <c r="P537"/>
      <c r="Q537"/>
      <c r="R537"/>
      <c r="S537"/>
      <c r="T537"/>
      <c r="U537"/>
      <c r="V537"/>
      <c r="W537"/>
      <c r="BF537" s="3"/>
      <c r="BG537" s="3"/>
      <c r="BH537" s="3"/>
      <c r="BI537" s="3"/>
    </row>
    <row r="538" spans="2:61" s="129" customFormat="1" outlineLevel="1">
      <c r="B538" s="167"/>
      <c r="C538" s="168"/>
      <c r="D538" s="169"/>
      <c r="E538" s="170"/>
      <c r="F538" s="171"/>
      <c r="G538"/>
      <c r="H538"/>
      <c r="I538"/>
      <c r="J538"/>
      <c r="K538"/>
      <c r="L538"/>
      <c r="M538"/>
      <c r="N538"/>
      <c r="O538"/>
      <c r="P538"/>
      <c r="Q538"/>
      <c r="R538"/>
      <c r="S538"/>
      <c r="T538"/>
      <c r="U538"/>
      <c r="V538"/>
      <c r="W538"/>
      <c r="BF538" s="3"/>
      <c r="BG538" s="3"/>
      <c r="BH538" s="3"/>
      <c r="BI538" s="3"/>
    </row>
    <row r="539" spans="2:61" s="129" customFormat="1" outlineLevel="1">
      <c r="B539" s="172"/>
      <c r="C539" s="173"/>
      <c r="D539" s="174"/>
      <c r="E539" s="175"/>
      <c r="F539" s="171"/>
      <c r="G539"/>
      <c r="H539"/>
      <c r="I539"/>
      <c r="J539"/>
      <c r="K539"/>
      <c r="L539"/>
      <c r="M539"/>
      <c r="N539"/>
      <c r="O539"/>
      <c r="P539"/>
      <c r="Q539"/>
      <c r="R539"/>
      <c r="S539"/>
      <c r="T539"/>
      <c r="U539"/>
      <c r="V539"/>
      <c r="W539"/>
      <c r="BF539" s="3"/>
      <c r="BG539" s="3"/>
      <c r="BH539" s="3"/>
      <c r="BI539" s="3"/>
    </row>
    <row r="540" spans="2:61" s="129" customFormat="1" outlineLevel="1">
      <c r="B540" s="167"/>
      <c r="C540" s="168"/>
      <c r="D540" s="169"/>
      <c r="E540" s="170"/>
      <c r="F540" s="171"/>
      <c r="G540"/>
      <c r="H540"/>
      <c r="I540"/>
      <c r="J540"/>
      <c r="K540"/>
      <c r="L540"/>
      <c r="M540"/>
      <c r="N540"/>
      <c r="O540"/>
      <c r="P540"/>
      <c r="Q540"/>
      <c r="R540"/>
      <c r="S540"/>
      <c r="T540"/>
      <c r="U540"/>
      <c r="V540"/>
      <c r="W540"/>
      <c r="BF540" s="3"/>
      <c r="BG540" s="3"/>
      <c r="BH540" s="3"/>
      <c r="BI540" s="3"/>
    </row>
    <row r="541" spans="2:61" s="129" customFormat="1" outlineLevel="1">
      <c r="B541" s="172"/>
      <c r="C541" s="173"/>
      <c r="D541" s="174"/>
      <c r="E541" s="175"/>
      <c r="F541" s="171"/>
      <c r="G541"/>
      <c r="H541"/>
      <c r="I541"/>
      <c r="J541"/>
      <c r="K541"/>
      <c r="L541"/>
      <c r="M541"/>
      <c r="N541"/>
      <c r="O541"/>
      <c r="P541"/>
      <c r="Q541"/>
      <c r="R541"/>
      <c r="S541"/>
      <c r="T541"/>
      <c r="U541"/>
      <c r="V541"/>
      <c r="W541"/>
      <c r="BF541" s="3"/>
      <c r="BG541" s="3"/>
      <c r="BH541" s="3"/>
      <c r="BI541" s="3"/>
    </row>
    <row r="542" spans="2:61" s="129" customFormat="1" outlineLevel="1">
      <c r="B542" s="167"/>
      <c r="C542" s="168"/>
      <c r="D542" s="169"/>
      <c r="E542" s="170"/>
      <c r="F542" s="171"/>
      <c r="G542"/>
      <c r="H542"/>
      <c r="I542"/>
      <c r="J542"/>
      <c r="K542"/>
      <c r="L542"/>
      <c r="M542"/>
      <c r="N542"/>
      <c r="O542"/>
      <c r="P542"/>
      <c r="Q542"/>
      <c r="R542"/>
      <c r="S542"/>
      <c r="T542"/>
      <c r="U542"/>
      <c r="V542"/>
      <c r="W542"/>
      <c r="BF542" s="3"/>
      <c r="BG542" s="3"/>
      <c r="BH542" s="3"/>
      <c r="BI542" s="3"/>
    </row>
    <row r="543" spans="2:61" s="129" customFormat="1" outlineLevel="1">
      <c r="B543" s="172"/>
      <c r="C543" s="173"/>
      <c r="D543" s="174"/>
      <c r="E543" s="175"/>
      <c r="F543" s="171"/>
      <c r="G543"/>
      <c r="H543"/>
      <c r="I543"/>
      <c r="J543"/>
      <c r="K543"/>
      <c r="L543"/>
      <c r="M543"/>
      <c r="N543"/>
      <c r="O543"/>
      <c r="P543"/>
      <c r="Q543"/>
      <c r="R543"/>
      <c r="S543"/>
      <c r="T543"/>
      <c r="U543"/>
      <c r="V543"/>
      <c r="W543"/>
      <c r="BF543" s="3"/>
      <c r="BG543" s="3"/>
      <c r="BH543" s="3"/>
      <c r="BI543" s="3"/>
    </row>
    <row r="544" spans="2:61" s="129" customFormat="1" outlineLevel="1">
      <c r="B544" s="167"/>
      <c r="C544" s="168"/>
      <c r="D544" s="169"/>
      <c r="E544" s="170"/>
      <c r="F544" s="171"/>
      <c r="G544"/>
      <c r="H544"/>
      <c r="I544"/>
      <c r="J544"/>
      <c r="K544"/>
      <c r="L544"/>
      <c r="M544"/>
      <c r="N544"/>
      <c r="O544"/>
      <c r="P544"/>
      <c r="Q544"/>
      <c r="R544"/>
      <c r="S544"/>
      <c r="T544"/>
      <c r="U544"/>
      <c r="V544"/>
      <c r="W544"/>
      <c r="BF544" s="3"/>
      <c r="BG544" s="3"/>
      <c r="BH544" s="3"/>
      <c r="BI544" s="3"/>
    </row>
    <row r="545" spans="2:61" s="129" customFormat="1" outlineLevel="1">
      <c r="B545" s="172"/>
      <c r="C545" s="173"/>
      <c r="D545" s="174"/>
      <c r="E545" s="175"/>
      <c r="F545" s="171"/>
      <c r="G545"/>
      <c r="H545"/>
      <c r="I545"/>
      <c r="J545"/>
      <c r="K545"/>
      <c r="L545"/>
      <c r="M545"/>
      <c r="N545"/>
      <c r="O545"/>
      <c r="P545"/>
      <c r="Q545"/>
      <c r="R545"/>
      <c r="S545"/>
      <c r="T545"/>
      <c r="U545"/>
      <c r="V545"/>
      <c r="W545"/>
      <c r="BF545" s="3"/>
      <c r="BG545" s="3"/>
      <c r="BH545" s="3"/>
      <c r="BI545" s="3"/>
    </row>
    <row r="546" spans="2:61" s="129" customFormat="1" outlineLevel="1">
      <c r="B546" s="167"/>
      <c r="C546" s="168"/>
      <c r="D546" s="169"/>
      <c r="E546" s="170"/>
      <c r="F546" s="171"/>
      <c r="G546"/>
      <c r="H546"/>
      <c r="I546"/>
      <c r="J546"/>
      <c r="K546"/>
      <c r="L546"/>
      <c r="M546"/>
      <c r="N546"/>
      <c r="O546"/>
      <c r="P546"/>
      <c r="Q546"/>
      <c r="R546"/>
      <c r="S546"/>
      <c r="T546"/>
      <c r="U546"/>
      <c r="V546"/>
      <c r="W546"/>
      <c r="BF546" s="3"/>
      <c r="BG546" s="3"/>
      <c r="BH546" s="3"/>
      <c r="BI546" s="3"/>
    </row>
    <row r="547" spans="2:61" s="129" customFormat="1" outlineLevel="1">
      <c r="B547" s="172"/>
      <c r="C547" s="173"/>
      <c r="D547" s="174"/>
      <c r="E547" s="175"/>
      <c r="F547" s="171"/>
      <c r="G547"/>
      <c r="H547"/>
      <c r="I547"/>
      <c r="J547"/>
      <c r="K547"/>
      <c r="L547"/>
      <c r="M547"/>
      <c r="N547"/>
      <c r="O547"/>
      <c r="P547"/>
      <c r="Q547"/>
      <c r="R547"/>
      <c r="S547"/>
      <c r="T547"/>
      <c r="U547"/>
      <c r="V547"/>
      <c r="W547"/>
      <c r="BF547" s="3"/>
      <c r="BG547" s="3"/>
      <c r="BH547" s="3"/>
      <c r="BI547" s="3"/>
    </row>
    <row r="548" spans="2:61" s="129" customFormat="1" outlineLevel="1">
      <c r="B548" s="167"/>
      <c r="C548" s="168"/>
      <c r="D548" s="169"/>
      <c r="E548" s="170"/>
      <c r="F548" s="171"/>
      <c r="G548"/>
      <c r="H548"/>
      <c r="I548"/>
      <c r="J548"/>
      <c r="K548"/>
      <c r="L548"/>
      <c r="M548"/>
      <c r="N548"/>
      <c r="O548"/>
      <c r="P548"/>
      <c r="Q548"/>
      <c r="R548"/>
      <c r="S548"/>
      <c r="T548"/>
      <c r="U548"/>
      <c r="V548"/>
      <c r="W548"/>
      <c r="BF548" s="3"/>
      <c r="BG548" s="3"/>
      <c r="BH548" s="3"/>
      <c r="BI548" s="3"/>
    </row>
    <row r="549" spans="2:61" s="129" customFormat="1" outlineLevel="1">
      <c r="B549" s="172"/>
      <c r="C549" s="173"/>
      <c r="D549" s="174"/>
      <c r="E549" s="175"/>
      <c r="F549" s="171"/>
      <c r="G549"/>
      <c r="H549"/>
      <c r="I549"/>
      <c r="J549"/>
      <c r="K549"/>
      <c r="L549"/>
      <c r="M549"/>
      <c r="N549"/>
      <c r="O549"/>
      <c r="P549"/>
      <c r="Q549"/>
      <c r="R549"/>
      <c r="S549"/>
      <c r="T549"/>
      <c r="U549"/>
      <c r="V549"/>
      <c r="W549"/>
      <c r="BF549" s="3"/>
      <c r="BG549" s="3"/>
      <c r="BH549" s="3"/>
      <c r="BI549" s="3"/>
    </row>
    <row r="550" spans="2:61" s="129" customFormat="1" outlineLevel="1">
      <c r="B550" s="167"/>
      <c r="C550" s="168"/>
      <c r="D550" s="169"/>
      <c r="E550" s="170"/>
      <c r="F550" s="171"/>
      <c r="G550"/>
      <c r="H550"/>
      <c r="I550"/>
      <c r="J550"/>
      <c r="K550"/>
      <c r="L550"/>
      <c r="M550"/>
      <c r="N550"/>
      <c r="O550"/>
      <c r="P550"/>
      <c r="Q550"/>
      <c r="R550"/>
      <c r="S550"/>
      <c r="T550"/>
      <c r="U550"/>
      <c r="V550"/>
      <c r="W550"/>
      <c r="BF550" s="3"/>
      <c r="BG550" s="3"/>
      <c r="BH550" s="3"/>
      <c r="BI550" s="3"/>
    </row>
    <row r="551" spans="2:61" s="129" customFormat="1" outlineLevel="1">
      <c r="B551" s="172"/>
      <c r="C551" s="173"/>
      <c r="D551" s="174"/>
      <c r="E551" s="175"/>
      <c r="F551" s="171"/>
      <c r="G551"/>
      <c r="H551"/>
      <c r="I551"/>
      <c r="J551"/>
      <c r="K551"/>
      <c r="L551"/>
      <c r="M551"/>
      <c r="N551"/>
      <c r="O551"/>
      <c r="P551"/>
      <c r="Q551"/>
      <c r="R551"/>
      <c r="S551"/>
      <c r="T551"/>
      <c r="U551"/>
      <c r="V551"/>
      <c r="W551"/>
      <c r="BF551" s="3"/>
      <c r="BG551" s="3"/>
      <c r="BH551" s="3"/>
      <c r="BI551" s="3"/>
    </row>
    <row r="552" spans="2:61" s="129" customFormat="1" outlineLevel="1">
      <c r="B552" s="167"/>
      <c r="C552" s="168"/>
      <c r="D552" s="169"/>
      <c r="E552" s="170"/>
      <c r="F552" s="171"/>
      <c r="G552"/>
      <c r="H552"/>
      <c r="I552"/>
      <c r="J552"/>
      <c r="K552"/>
      <c r="L552"/>
      <c r="M552"/>
      <c r="N552"/>
      <c r="O552"/>
      <c r="P552"/>
      <c r="Q552"/>
      <c r="R552"/>
      <c r="S552"/>
      <c r="T552"/>
      <c r="U552"/>
      <c r="V552"/>
      <c r="W552"/>
      <c r="BF552" s="3"/>
      <c r="BG552" s="3"/>
      <c r="BH552" s="3"/>
      <c r="BI552" s="3"/>
    </row>
    <row r="553" spans="2:61" s="129" customFormat="1" outlineLevel="1">
      <c r="B553" s="172"/>
      <c r="C553" s="173"/>
      <c r="D553" s="174"/>
      <c r="E553" s="175"/>
      <c r="F553" s="171"/>
      <c r="G553"/>
      <c r="H553"/>
      <c r="I553"/>
      <c r="J553"/>
      <c r="K553"/>
      <c r="L553"/>
      <c r="M553"/>
      <c r="N553"/>
      <c r="O553"/>
      <c r="P553"/>
      <c r="Q553"/>
      <c r="R553"/>
      <c r="S553"/>
      <c r="T553"/>
      <c r="U553"/>
      <c r="V553"/>
      <c r="W553"/>
      <c r="BF553" s="3"/>
      <c r="BG553" s="3"/>
      <c r="BH553" s="3"/>
      <c r="BI553" s="3"/>
    </row>
    <row r="554" spans="2:61" s="129" customFormat="1" outlineLevel="1">
      <c r="B554" s="167"/>
      <c r="C554" s="168"/>
      <c r="D554" s="169"/>
      <c r="E554" s="170"/>
      <c r="F554" s="171"/>
      <c r="G554"/>
      <c r="H554"/>
      <c r="I554"/>
      <c r="J554"/>
      <c r="K554"/>
      <c r="L554"/>
      <c r="M554"/>
      <c r="N554"/>
      <c r="O554"/>
      <c r="P554"/>
      <c r="Q554"/>
      <c r="R554"/>
      <c r="S554"/>
      <c r="T554"/>
      <c r="U554"/>
      <c r="V554"/>
      <c r="W554"/>
      <c r="BF554" s="3"/>
      <c r="BG554" s="3"/>
      <c r="BH554" s="3"/>
      <c r="BI554" s="3"/>
    </row>
    <row r="555" spans="2:61" s="129" customFormat="1" outlineLevel="1">
      <c r="B555" s="172"/>
      <c r="C555" s="173"/>
      <c r="D555" s="174"/>
      <c r="E555" s="175"/>
      <c r="F555" s="171"/>
      <c r="G555"/>
      <c r="H555"/>
      <c r="I555"/>
      <c r="J555"/>
      <c r="K555"/>
      <c r="L555"/>
      <c r="M555"/>
      <c r="N555"/>
      <c r="O555"/>
      <c r="P555"/>
      <c r="Q555"/>
      <c r="R555"/>
      <c r="S555"/>
      <c r="T555"/>
      <c r="U555"/>
      <c r="V555"/>
      <c r="W555"/>
      <c r="BF555" s="3"/>
      <c r="BG555" s="3"/>
      <c r="BH555" s="3"/>
      <c r="BI555" s="3"/>
    </row>
    <row r="556" spans="2:61" s="129" customFormat="1" outlineLevel="1">
      <c r="B556" s="167"/>
      <c r="C556" s="168"/>
      <c r="D556" s="169"/>
      <c r="E556" s="170"/>
      <c r="F556" s="171"/>
      <c r="G556"/>
      <c r="H556"/>
      <c r="I556"/>
      <c r="J556"/>
      <c r="K556"/>
      <c r="L556"/>
      <c r="M556"/>
      <c r="N556"/>
      <c r="O556"/>
      <c r="P556"/>
      <c r="Q556"/>
      <c r="R556"/>
      <c r="S556"/>
      <c r="T556"/>
      <c r="U556"/>
      <c r="V556"/>
      <c r="W556"/>
      <c r="BF556" s="3"/>
      <c r="BG556" s="3"/>
      <c r="BH556" s="3"/>
      <c r="BI556" s="3"/>
    </row>
    <row r="557" spans="2:61" s="129" customFormat="1" outlineLevel="1">
      <c r="B557" s="172"/>
      <c r="C557" s="173"/>
      <c r="D557" s="174"/>
      <c r="E557" s="175"/>
      <c r="F557" s="171"/>
      <c r="G557"/>
      <c r="H557"/>
      <c r="I557"/>
      <c r="J557"/>
      <c r="K557"/>
      <c r="L557"/>
      <c r="M557"/>
      <c r="N557"/>
      <c r="O557"/>
      <c r="P557"/>
      <c r="Q557"/>
      <c r="R557"/>
      <c r="S557"/>
      <c r="T557"/>
      <c r="U557"/>
      <c r="V557"/>
      <c r="W557"/>
      <c r="BF557" s="3"/>
      <c r="BG557" s="3"/>
      <c r="BH557" s="3"/>
      <c r="BI557" s="3"/>
    </row>
    <row r="558" spans="2:61" s="129" customFormat="1" outlineLevel="1">
      <c r="B558" s="167"/>
      <c r="C558" s="168"/>
      <c r="D558" s="169"/>
      <c r="E558" s="170"/>
      <c r="F558" s="171"/>
      <c r="G558"/>
      <c r="H558"/>
      <c r="I558"/>
      <c r="J558"/>
      <c r="K558"/>
      <c r="L558"/>
      <c r="M558"/>
      <c r="N558"/>
      <c r="O558"/>
      <c r="P558"/>
      <c r="Q558"/>
      <c r="R558"/>
      <c r="S558"/>
      <c r="T558"/>
      <c r="U558"/>
      <c r="V558"/>
      <c r="W558"/>
      <c r="BF558" s="3"/>
      <c r="BG558" s="3"/>
      <c r="BH558" s="3"/>
      <c r="BI558" s="3"/>
    </row>
    <row r="559" spans="2:61" s="129" customFormat="1" outlineLevel="1">
      <c r="B559" s="172"/>
      <c r="C559" s="173"/>
      <c r="D559" s="174"/>
      <c r="E559" s="175"/>
      <c r="F559" s="171"/>
      <c r="G559"/>
      <c r="H559"/>
      <c r="I559"/>
      <c r="J559"/>
      <c r="K559"/>
      <c r="L559"/>
      <c r="M559"/>
      <c r="N559"/>
      <c r="O559"/>
      <c r="P559"/>
      <c r="Q559"/>
      <c r="R559"/>
      <c r="S559"/>
      <c r="T559"/>
      <c r="U559"/>
      <c r="V559"/>
      <c r="W559"/>
      <c r="BF559" s="3"/>
      <c r="BG559" s="3"/>
      <c r="BH559" s="3"/>
      <c r="BI559" s="3"/>
    </row>
    <row r="560" spans="2:61" s="129" customFormat="1" outlineLevel="1">
      <c r="B560" s="167"/>
      <c r="C560" s="168"/>
      <c r="D560" s="169"/>
      <c r="E560" s="170"/>
      <c r="F560" s="171"/>
      <c r="G560"/>
      <c r="H560"/>
      <c r="I560"/>
      <c r="J560"/>
      <c r="K560"/>
      <c r="L560"/>
      <c r="M560"/>
      <c r="N560"/>
      <c r="O560"/>
      <c r="P560"/>
      <c r="Q560"/>
      <c r="R560"/>
      <c r="S560"/>
      <c r="T560"/>
      <c r="U560"/>
      <c r="V560"/>
      <c r="W560"/>
      <c r="BF560" s="3"/>
      <c r="BG560" s="3"/>
      <c r="BH560" s="3"/>
      <c r="BI560" s="3"/>
    </row>
    <row r="561" spans="2:61" s="129" customFormat="1" outlineLevel="1">
      <c r="B561" s="172"/>
      <c r="C561" s="173"/>
      <c r="D561" s="174"/>
      <c r="E561" s="175"/>
      <c r="F561" s="171"/>
      <c r="G561"/>
      <c r="H561"/>
      <c r="I561"/>
      <c r="J561"/>
      <c r="K561"/>
      <c r="L561"/>
      <c r="M561"/>
      <c r="N561"/>
      <c r="O561"/>
      <c r="P561"/>
      <c r="Q561"/>
      <c r="R561"/>
      <c r="S561"/>
      <c r="T561"/>
      <c r="U561"/>
      <c r="V561"/>
      <c r="W561"/>
      <c r="BF561" s="3"/>
      <c r="BG561" s="3"/>
      <c r="BH561" s="3"/>
      <c r="BI561" s="3"/>
    </row>
    <row r="562" spans="2:61" s="129" customFormat="1" outlineLevel="1">
      <c r="B562" s="167"/>
      <c r="C562" s="168"/>
      <c r="D562" s="169"/>
      <c r="E562" s="170"/>
      <c r="F562" s="171"/>
      <c r="G562"/>
      <c r="H562"/>
      <c r="I562"/>
      <c r="J562"/>
      <c r="K562"/>
      <c r="L562"/>
      <c r="M562"/>
      <c r="N562"/>
      <c r="O562"/>
      <c r="P562"/>
      <c r="Q562"/>
      <c r="R562"/>
      <c r="S562"/>
      <c r="T562"/>
      <c r="U562"/>
      <c r="V562"/>
      <c r="W562"/>
      <c r="BF562" s="3"/>
      <c r="BG562" s="3"/>
      <c r="BH562" s="3"/>
      <c r="BI562" s="3"/>
    </row>
    <row r="563" spans="2:61" s="129" customFormat="1" outlineLevel="1">
      <c r="B563" s="172"/>
      <c r="C563" s="173"/>
      <c r="D563" s="174"/>
      <c r="E563" s="175"/>
      <c r="F563" s="171"/>
      <c r="G563"/>
      <c r="H563"/>
      <c r="I563"/>
      <c r="J563"/>
      <c r="K563"/>
      <c r="L563"/>
      <c r="M563"/>
      <c r="N563"/>
      <c r="O563"/>
      <c r="P563"/>
      <c r="Q563"/>
      <c r="R563"/>
      <c r="S563"/>
      <c r="T563"/>
      <c r="U563"/>
      <c r="V563"/>
      <c r="W563"/>
      <c r="BF563" s="3"/>
      <c r="BG563" s="3"/>
      <c r="BH563" s="3"/>
      <c r="BI563" s="3"/>
    </row>
    <row r="564" spans="2:61" s="129" customFormat="1" outlineLevel="1">
      <c r="B564" s="167"/>
      <c r="C564" s="168"/>
      <c r="D564" s="169"/>
      <c r="E564" s="170"/>
      <c r="F564" s="171"/>
      <c r="G564"/>
      <c r="H564"/>
      <c r="I564"/>
      <c r="J564"/>
      <c r="K564"/>
      <c r="L564"/>
      <c r="M564"/>
      <c r="N564"/>
      <c r="O564"/>
      <c r="P564"/>
      <c r="Q564"/>
      <c r="R564"/>
      <c r="S564"/>
      <c r="T564"/>
      <c r="U564"/>
      <c r="V564"/>
      <c r="W564"/>
      <c r="BF564" s="3"/>
      <c r="BG564" s="3"/>
      <c r="BH564" s="3"/>
      <c r="BI564" s="3"/>
    </row>
    <row r="565" spans="2:61" s="129" customFormat="1" outlineLevel="1">
      <c r="B565" s="172"/>
      <c r="C565" s="173"/>
      <c r="D565" s="174"/>
      <c r="E565" s="175"/>
      <c r="F565" s="171"/>
      <c r="G565"/>
      <c r="H565"/>
      <c r="I565"/>
      <c r="J565"/>
      <c r="K565"/>
      <c r="L565"/>
      <c r="M565"/>
      <c r="N565"/>
      <c r="O565"/>
      <c r="P565"/>
      <c r="Q565"/>
      <c r="R565"/>
      <c r="S565"/>
      <c r="T565"/>
      <c r="U565"/>
      <c r="V565"/>
      <c r="W565"/>
      <c r="BF565" s="3"/>
      <c r="BG565" s="3"/>
      <c r="BH565" s="3"/>
      <c r="BI565" s="3"/>
    </row>
    <row r="566" spans="2:61" s="129" customFormat="1" outlineLevel="1">
      <c r="B566" s="167"/>
      <c r="C566" s="168"/>
      <c r="D566" s="169"/>
      <c r="E566" s="170"/>
      <c r="F566" s="171"/>
      <c r="G566"/>
      <c r="H566"/>
      <c r="I566"/>
      <c r="J566"/>
      <c r="K566"/>
      <c r="L566"/>
      <c r="M566"/>
      <c r="N566"/>
      <c r="O566"/>
      <c r="P566"/>
      <c r="Q566"/>
      <c r="R566"/>
      <c r="S566"/>
      <c r="T566"/>
      <c r="U566"/>
      <c r="V566"/>
      <c r="W566"/>
      <c r="BF566" s="3"/>
      <c r="BG566" s="3"/>
      <c r="BH566" s="3"/>
      <c r="BI566" s="3"/>
    </row>
    <row r="567" spans="2:61" s="129" customFormat="1" outlineLevel="1">
      <c r="B567" s="172"/>
      <c r="C567" s="173"/>
      <c r="D567" s="174"/>
      <c r="E567" s="175"/>
      <c r="F567" s="171"/>
      <c r="G567"/>
      <c r="H567"/>
      <c r="I567"/>
      <c r="J567"/>
      <c r="K567"/>
      <c r="L567"/>
      <c r="M567"/>
      <c r="N567"/>
      <c r="O567"/>
      <c r="P567"/>
      <c r="Q567"/>
      <c r="R567"/>
      <c r="S567"/>
      <c r="T567"/>
      <c r="U567"/>
      <c r="V567"/>
      <c r="W567"/>
      <c r="BF567" s="3"/>
      <c r="BG567" s="3"/>
      <c r="BH567" s="3"/>
      <c r="BI567" s="3"/>
    </row>
    <row r="568" spans="2:61" s="129" customFormat="1" outlineLevel="1">
      <c r="B568" s="167"/>
      <c r="C568" s="168"/>
      <c r="D568" s="169"/>
      <c r="E568" s="170"/>
      <c r="F568" s="171"/>
      <c r="G568"/>
      <c r="H568"/>
      <c r="I568"/>
      <c r="J568"/>
      <c r="K568"/>
      <c r="L568"/>
      <c r="M568"/>
      <c r="N568"/>
      <c r="O568"/>
      <c r="P568"/>
      <c r="Q568"/>
      <c r="R568"/>
      <c r="S568"/>
      <c r="T568"/>
      <c r="U568"/>
      <c r="V568"/>
      <c r="W568"/>
      <c r="BF568" s="3"/>
      <c r="BG568" s="3"/>
      <c r="BH568" s="3"/>
      <c r="BI568" s="3"/>
    </row>
    <row r="569" spans="2:61" s="129" customFormat="1" outlineLevel="1">
      <c r="B569" s="172"/>
      <c r="C569" s="173"/>
      <c r="D569" s="174"/>
      <c r="E569" s="175"/>
      <c r="F569" s="171"/>
      <c r="G569"/>
      <c r="H569"/>
      <c r="I569"/>
      <c r="J569"/>
      <c r="K569"/>
      <c r="L569"/>
      <c r="M569"/>
      <c r="N569"/>
      <c r="O569"/>
      <c r="P569"/>
      <c r="Q569"/>
      <c r="R569"/>
      <c r="S569"/>
      <c r="T569"/>
      <c r="U569"/>
      <c r="V569"/>
      <c r="W569"/>
      <c r="BF569" s="3"/>
      <c r="BG569" s="3"/>
      <c r="BH569" s="3"/>
      <c r="BI569" s="3"/>
    </row>
    <row r="570" spans="2:61" s="129" customFormat="1" outlineLevel="1">
      <c r="B570" s="167"/>
      <c r="C570" s="168"/>
      <c r="D570" s="169"/>
      <c r="E570" s="170"/>
      <c r="F570" s="171"/>
      <c r="G570"/>
      <c r="H570"/>
      <c r="I570"/>
      <c r="J570"/>
      <c r="K570"/>
      <c r="L570"/>
      <c r="M570"/>
      <c r="N570"/>
      <c r="O570"/>
      <c r="P570"/>
      <c r="Q570"/>
      <c r="R570"/>
      <c r="S570"/>
      <c r="T570"/>
      <c r="U570"/>
      <c r="V570"/>
      <c r="W570"/>
      <c r="BF570" s="3"/>
      <c r="BG570" s="3"/>
      <c r="BH570" s="3"/>
      <c r="BI570" s="3"/>
    </row>
    <row r="571" spans="2:61" s="129" customFormat="1" outlineLevel="1">
      <c r="B571" s="172"/>
      <c r="C571" s="173"/>
      <c r="D571" s="174"/>
      <c r="E571" s="175"/>
      <c r="F571" s="171"/>
      <c r="G571"/>
      <c r="H571"/>
      <c r="I571"/>
      <c r="J571"/>
      <c r="K571"/>
      <c r="L571"/>
      <c r="M571"/>
      <c r="N571"/>
      <c r="O571"/>
      <c r="P571"/>
      <c r="Q571"/>
      <c r="R571"/>
      <c r="S571"/>
      <c r="T571"/>
      <c r="U571"/>
      <c r="V571"/>
      <c r="W571"/>
      <c r="BF571" s="3"/>
      <c r="BG571" s="3"/>
      <c r="BH571" s="3"/>
      <c r="BI571" s="3"/>
    </row>
    <row r="572" spans="2:61" s="129" customFormat="1" outlineLevel="1">
      <c r="B572" s="167"/>
      <c r="C572" s="168"/>
      <c r="D572" s="169"/>
      <c r="E572" s="170"/>
      <c r="F572" s="171"/>
      <c r="G572"/>
      <c r="H572"/>
      <c r="I572"/>
      <c r="J572"/>
      <c r="K572"/>
      <c r="L572"/>
      <c r="M572"/>
      <c r="N572"/>
      <c r="O572"/>
      <c r="P572"/>
      <c r="Q572"/>
      <c r="R572"/>
      <c r="S572"/>
      <c r="T572"/>
      <c r="U572"/>
      <c r="V572"/>
      <c r="W572"/>
      <c r="BF572" s="3"/>
      <c r="BG572" s="3"/>
      <c r="BH572" s="3"/>
      <c r="BI572" s="3"/>
    </row>
    <row r="573" spans="2:61" s="129" customFormat="1" outlineLevel="1">
      <c r="B573" s="172"/>
      <c r="C573" s="173"/>
      <c r="D573" s="174"/>
      <c r="E573" s="175"/>
      <c r="F573" s="171"/>
      <c r="G573"/>
      <c r="H573"/>
      <c r="I573"/>
      <c r="J573"/>
      <c r="K573"/>
      <c r="L573"/>
      <c r="M573"/>
      <c r="N573"/>
      <c r="O573"/>
      <c r="P573"/>
      <c r="Q573"/>
      <c r="R573"/>
      <c r="S573"/>
      <c r="T573"/>
      <c r="U573"/>
      <c r="V573"/>
      <c r="W573"/>
      <c r="BF573" s="3"/>
      <c r="BG573" s="3"/>
      <c r="BH573" s="3"/>
      <c r="BI573" s="3"/>
    </row>
    <row r="574" spans="2:61" s="129" customFormat="1" outlineLevel="1">
      <c r="B574" s="167"/>
      <c r="C574" s="168"/>
      <c r="D574" s="169"/>
      <c r="E574" s="170"/>
      <c r="F574" s="171"/>
      <c r="G574"/>
      <c r="H574"/>
      <c r="I574"/>
      <c r="J574"/>
      <c r="K574"/>
      <c r="L574"/>
      <c r="M574"/>
      <c r="N574"/>
      <c r="O574"/>
      <c r="P574"/>
      <c r="Q574"/>
      <c r="R574"/>
      <c r="S574"/>
      <c r="T574"/>
      <c r="U574"/>
      <c r="V574"/>
      <c r="W574"/>
      <c r="BF574" s="3"/>
      <c r="BG574" s="3"/>
      <c r="BH574" s="3"/>
      <c r="BI574" s="3"/>
    </row>
    <row r="575" spans="2:61" s="129" customFormat="1" outlineLevel="1">
      <c r="B575" s="172"/>
      <c r="C575" s="173"/>
      <c r="D575" s="174"/>
      <c r="E575" s="175"/>
      <c r="F575" s="171"/>
      <c r="G575"/>
      <c r="H575"/>
      <c r="I575"/>
      <c r="J575"/>
      <c r="K575"/>
      <c r="L575"/>
      <c r="M575"/>
      <c r="N575"/>
      <c r="O575"/>
      <c r="P575"/>
      <c r="Q575"/>
      <c r="R575"/>
      <c r="S575"/>
      <c r="T575"/>
      <c r="U575"/>
      <c r="V575"/>
      <c r="W575"/>
      <c r="BF575" s="3"/>
      <c r="BG575" s="3"/>
      <c r="BH575" s="3"/>
      <c r="BI575" s="3"/>
    </row>
    <row r="576" spans="2:61" s="129" customFormat="1" outlineLevel="1">
      <c r="B576" s="167"/>
      <c r="C576" s="168"/>
      <c r="D576" s="169"/>
      <c r="E576" s="170"/>
      <c r="F576" s="171"/>
      <c r="G576"/>
      <c r="H576"/>
      <c r="I576"/>
      <c r="J576"/>
      <c r="K576"/>
      <c r="L576"/>
      <c r="M576"/>
      <c r="N576"/>
      <c r="O576"/>
      <c r="P576"/>
      <c r="Q576"/>
      <c r="R576"/>
      <c r="S576"/>
      <c r="T576"/>
      <c r="U576"/>
      <c r="V576"/>
      <c r="W576"/>
      <c r="BF576" s="3"/>
      <c r="BG576" s="3"/>
      <c r="BH576" s="3"/>
      <c r="BI576" s="3"/>
    </row>
    <row r="577" spans="2:61" s="129" customFormat="1" outlineLevel="1">
      <c r="B577" s="172"/>
      <c r="C577" s="173"/>
      <c r="D577" s="174"/>
      <c r="E577" s="175"/>
      <c r="F577" s="171"/>
      <c r="G577"/>
      <c r="H577"/>
      <c r="I577"/>
      <c r="J577"/>
      <c r="K577"/>
      <c r="L577"/>
      <c r="M577"/>
      <c r="N577"/>
      <c r="O577"/>
      <c r="P577"/>
      <c r="Q577"/>
      <c r="R577"/>
      <c r="S577"/>
      <c r="T577"/>
      <c r="U577"/>
      <c r="V577"/>
      <c r="W577"/>
      <c r="BF577" s="3"/>
      <c r="BG577" s="3"/>
      <c r="BH577" s="3"/>
      <c r="BI577" s="3"/>
    </row>
    <row r="578" spans="2:61" s="129" customFormat="1" outlineLevel="1">
      <c r="B578" s="167"/>
      <c r="C578" s="168"/>
      <c r="D578" s="169"/>
      <c r="E578" s="170"/>
      <c r="F578" s="171"/>
      <c r="G578"/>
      <c r="H578"/>
      <c r="I578"/>
      <c r="J578"/>
      <c r="K578"/>
      <c r="L578"/>
      <c r="M578"/>
      <c r="N578"/>
      <c r="O578"/>
      <c r="P578"/>
      <c r="Q578"/>
      <c r="R578"/>
      <c r="S578"/>
      <c r="T578"/>
      <c r="U578"/>
      <c r="V578"/>
      <c r="W578"/>
      <c r="BF578" s="3"/>
      <c r="BG578" s="3"/>
      <c r="BH578" s="3"/>
      <c r="BI578" s="3"/>
    </row>
    <row r="579" spans="2:61" s="129" customFormat="1" outlineLevel="1">
      <c r="B579" s="172"/>
      <c r="C579" s="173"/>
      <c r="D579" s="174"/>
      <c r="E579" s="175"/>
      <c r="F579" s="171"/>
      <c r="G579"/>
      <c r="H579"/>
      <c r="I579"/>
      <c r="J579"/>
      <c r="K579"/>
      <c r="L579"/>
      <c r="M579"/>
      <c r="N579"/>
      <c r="O579"/>
      <c r="P579"/>
      <c r="Q579"/>
      <c r="R579"/>
      <c r="S579"/>
      <c r="T579"/>
      <c r="U579"/>
      <c r="V579"/>
      <c r="W579"/>
      <c r="BF579" s="3"/>
      <c r="BG579" s="3"/>
      <c r="BH579" s="3"/>
      <c r="BI579" s="3"/>
    </row>
    <row r="580" spans="2:61" s="129" customFormat="1" outlineLevel="1">
      <c r="B580" s="167"/>
      <c r="C580" s="168"/>
      <c r="D580" s="169"/>
      <c r="E580" s="170"/>
      <c r="F580" s="171"/>
      <c r="G580"/>
      <c r="H580"/>
      <c r="I580"/>
      <c r="J580"/>
      <c r="K580"/>
      <c r="L580"/>
      <c r="M580"/>
      <c r="N580"/>
      <c r="O580"/>
      <c r="P580"/>
      <c r="Q580"/>
      <c r="R580"/>
      <c r="S580"/>
      <c r="T580"/>
      <c r="U580"/>
      <c r="V580"/>
      <c r="W580"/>
      <c r="BF580" s="3"/>
      <c r="BG580" s="3"/>
      <c r="BH580" s="3"/>
      <c r="BI580" s="3"/>
    </row>
    <row r="581" spans="2:61" s="129" customFormat="1" outlineLevel="1">
      <c r="B581" s="172"/>
      <c r="C581" s="173"/>
      <c r="D581" s="174"/>
      <c r="E581" s="175"/>
      <c r="F581" s="171"/>
      <c r="G581"/>
      <c r="H581"/>
      <c r="I581"/>
      <c r="J581"/>
      <c r="K581"/>
      <c r="L581"/>
      <c r="M581"/>
      <c r="N581"/>
      <c r="O581"/>
      <c r="P581"/>
      <c r="Q581"/>
      <c r="R581"/>
      <c r="S581"/>
      <c r="T581"/>
      <c r="U581"/>
      <c r="V581"/>
      <c r="W581"/>
      <c r="BF581" s="3"/>
      <c r="BG581" s="3"/>
      <c r="BH581" s="3"/>
      <c r="BI581" s="3"/>
    </row>
    <row r="582" spans="2:61" s="129" customFormat="1" outlineLevel="1">
      <c r="B582" s="167"/>
      <c r="C582" s="168"/>
      <c r="D582" s="169"/>
      <c r="E582" s="170"/>
      <c r="F582" s="171"/>
      <c r="G582"/>
      <c r="H582"/>
      <c r="I582"/>
      <c r="J582"/>
      <c r="K582"/>
      <c r="L582"/>
      <c r="M582"/>
      <c r="N582"/>
      <c r="O582"/>
      <c r="P582"/>
      <c r="Q582"/>
      <c r="R582"/>
      <c r="S582"/>
      <c r="T582"/>
      <c r="U582"/>
      <c r="V582"/>
      <c r="W582"/>
      <c r="BF582" s="3"/>
      <c r="BG582" s="3"/>
      <c r="BH582" s="3"/>
      <c r="BI582" s="3"/>
    </row>
    <row r="583" spans="2:61" s="129" customFormat="1" outlineLevel="1">
      <c r="B583" s="172"/>
      <c r="C583" s="173"/>
      <c r="D583" s="174"/>
      <c r="E583" s="175"/>
      <c r="F583" s="171"/>
      <c r="G583"/>
      <c r="H583"/>
      <c r="I583"/>
      <c r="J583"/>
      <c r="K583"/>
      <c r="L583"/>
      <c r="M583"/>
      <c r="N583"/>
      <c r="O583"/>
      <c r="P583"/>
      <c r="Q583"/>
      <c r="R583"/>
      <c r="S583"/>
      <c r="T583"/>
      <c r="U583"/>
      <c r="V583"/>
      <c r="W583"/>
      <c r="BF583" s="3"/>
      <c r="BG583" s="3"/>
      <c r="BH583" s="3"/>
      <c r="BI583" s="3"/>
    </row>
    <row r="584" spans="2:61" s="129" customFormat="1" outlineLevel="1">
      <c r="B584" s="167"/>
      <c r="C584" s="168"/>
      <c r="D584" s="169"/>
      <c r="E584" s="170"/>
      <c r="F584" s="171"/>
      <c r="G584"/>
      <c r="H584"/>
      <c r="I584"/>
      <c r="J584"/>
      <c r="K584"/>
      <c r="L584"/>
      <c r="M584"/>
      <c r="N584"/>
      <c r="O584"/>
      <c r="P584"/>
      <c r="Q584"/>
      <c r="R584"/>
      <c r="S584"/>
      <c r="T584"/>
      <c r="U584"/>
      <c r="V584"/>
      <c r="W584"/>
      <c r="BF584" s="3"/>
      <c r="BG584" s="3"/>
      <c r="BH584" s="3"/>
      <c r="BI584" s="3"/>
    </row>
    <row r="585" spans="2:61" s="129" customFormat="1" outlineLevel="1">
      <c r="B585" s="172"/>
      <c r="C585" s="173"/>
      <c r="D585" s="174"/>
      <c r="E585" s="175"/>
      <c r="F585" s="171"/>
      <c r="G585"/>
      <c r="H585"/>
      <c r="I585"/>
      <c r="J585"/>
      <c r="K585"/>
      <c r="L585"/>
      <c r="M585"/>
      <c r="N585"/>
      <c r="O585"/>
      <c r="P585"/>
      <c r="Q585"/>
      <c r="R585"/>
      <c r="S585"/>
      <c r="T585"/>
      <c r="U585"/>
      <c r="V585"/>
      <c r="W585"/>
      <c r="BF585" s="3"/>
      <c r="BG585" s="3"/>
      <c r="BH585" s="3"/>
      <c r="BI585" s="3"/>
    </row>
    <row r="586" spans="2:61" s="129" customFormat="1" outlineLevel="1">
      <c r="B586" s="167"/>
      <c r="C586" s="168"/>
      <c r="D586" s="169"/>
      <c r="E586" s="170"/>
      <c r="F586" s="171"/>
      <c r="G586"/>
      <c r="H586"/>
      <c r="I586"/>
      <c r="J586"/>
      <c r="K586"/>
      <c r="L586"/>
      <c r="M586"/>
      <c r="N586"/>
      <c r="O586"/>
      <c r="P586"/>
      <c r="Q586"/>
      <c r="R586"/>
      <c r="S586"/>
      <c r="T586"/>
      <c r="U586"/>
      <c r="V586"/>
      <c r="W586"/>
      <c r="BF586" s="3"/>
      <c r="BG586" s="3"/>
      <c r="BH586" s="3"/>
      <c r="BI586" s="3"/>
    </row>
    <row r="587" spans="2:61" s="129" customFormat="1" outlineLevel="1">
      <c r="B587" s="172"/>
      <c r="C587" s="173"/>
      <c r="D587" s="174"/>
      <c r="E587" s="175"/>
      <c r="F587" s="171"/>
      <c r="G587"/>
      <c r="H587"/>
      <c r="I587"/>
      <c r="J587"/>
      <c r="K587"/>
      <c r="L587"/>
      <c r="M587"/>
      <c r="N587"/>
      <c r="O587"/>
      <c r="P587"/>
      <c r="Q587"/>
      <c r="R587"/>
      <c r="S587"/>
      <c r="T587"/>
      <c r="U587"/>
      <c r="V587"/>
      <c r="W587"/>
      <c r="BF587" s="3"/>
      <c r="BG587" s="3"/>
      <c r="BH587" s="3"/>
      <c r="BI587" s="3"/>
    </row>
    <row r="588" spans="2:61" s="129" customFormat="1" outlineLevel="1">
      <c r="B588" s="167"/>
      <c r="C588" s="168"/>
      <c r="D588" s="169"/>
      <c r="E588" s="170"/>
      <c r="F588" s="171"/>
      <c r="G588"/>
      <c r="H588"/>
      <c r="I588"/>
      <c r="J588"/>
      <c r="K588"/>
      <c r="L588"/>
      <c r="M588"/>
      <c r="N588"/>
      <c r="O588"/>
      <c r="P588"/>
      <c r="Q588"/>
      <c r="R588"/>
      <c r="S588"/>
      <c r="T588"/>
      <c r="U588"/>
      <c r="V588"/>
      <c r="W588"/>
      <c r="BF588" s="3"/>
      <c r="BG588" s="3"/>
      <c r="BH588" s="3"/>
      <c r="BI588" s="3"/>
    </row>
    <row r="589" spans="2:61" s="129" customFormat="1" outlineLevel="1">
      <c r="B589" s="172"/>
      <c r="C589" s="173"/>
      <c r="D589" s="174"/>
      <c r="E589" s="175"/>
      <c r="F589" s="171"/>
      <c r="G589"/>
      <c r="H589"/>
      <c r="I589"/>
      <c r="J589"/>
      <c r="K589"/>
      <c r="L589"/>
      <c r="M589"/>
      <c r="N589"/>
      <c r="O589"/>
      <c r="P589"/>
      <c r="Q589"/>
      <c r="R589"/>
      <c r="S589"/>
      <c r="T589"/>
      <c r="U589"/>
      <c r="V589"/>
      <c r="W589"/>
      <c r="BF589" s="3"/>
      <c r="BG589" s="3"/>
      <c r="BH589" s="3"/>
      <c r="BI589" s="3"/>
    </row>
    <row r="590" spans="2:61" s="129" customFormat="1" outlineLevel="1">
      <c r="B590" s="167"/>
      <c r="C590" s="168"/>
      <c r="D590" s="169"/>
      <c r="E590" s="170"/>
      <c r="F590" s="171"/>
      <c r="G590"/>
      <c r="H590"/>
      <c r="I590"/>
      <c r="J590"/>
      <c r="K590"/>
      <c r="L590"/>
      <c r="M590"/>
      <c r="N590"/>
      <c r="O590"/>
      <c r="P590"/>
      <c r="Q590"/>
      <c r="R590"/>
      <c r="S590"/>
      <c r="T590"/>
      <c r="U590"/>
      <c r="V590"/>
      <c r="W590"/>
      <c r="BF590" s="3"/>
      <c r="BG590" s="3"/>
      <c r="BH590" s="3"/>
      <c r="BI590" s="3"/>
    </row>
    <row r="591" spans="2:61" s="129" customFormat="1" outlineLevel="1">
      <c r="B591" s="172"/>
      <c r="C591" s="173"/>
      <c r="D591" s="174"/>
      <c r="E591" s="175"/>
      <c r="F591" s="171"/>
      <c r="G591"/>
      <c r="H591"/>
      <c r="I591"/>
      <c r="J591"/>
      <c r="K591"/>
      <c r="L591"/>
      <c r="M591"/>
      <c r="N591"/>
      <c r="O591"/>
      <c r="P591"/>
      <c r="Q591"/>
      <c r="R591"/>
      <c r="S591"/>
      <c r="T591"/>
      <c r="U591"/>
      <c r="V591"/>
      <c r="W591"/>
      <c r="BF591" s="3"/>
      <c r="BG591" s="3"/>
      <c r="BH591" s="3"/>
      <c r="BI591" s="3"/>
    </row>
    <row r="592" spans="2:61" s="129" customFormat="1" outlineLevel="1">
      <c r="B592" s="167"/>
      <c r="C592" s="168"/>
      <c r="D592" s="169"/>
      <c r="E592" s="170"/>
      <c r="F592" s="171"/>
      <c r="G592"/>
      <c r="H592"/>
      <c r="I592"/>
      <c r="J592"/>
      <c r="K592"/>
      <c r="L592"/>
      <c r="M592"/>
      <c r="N592"/>
      <c r="O592"/>
      <c r="P592"/>
      <c r="Q592"/>
      <c r="R592"/>
      <c r="S592"/>
      <c r="T592"/>
      <c r="U592"/>
      <c r="V592"/>
      <c r="W592"/>
      <c r="BF592" s="3"/>
      <c r="BG592" s="3"/>
      <c r="BH592" s="3"/>
      <c r="BI592" s="3"/>
    </row>
    <row r="593" spans="2:61" s="129" customFormat="1" outlineLevel="1">
      <c r="B593" s="172"/>
      <c r="C593" s="173"/>
      <c r="D593" s="174"/>
      <c r="E593" s="175"/>
      <c r="F593" s="171"/>
      <c r="G593"/>
      <c r="H593"/>
      <c r="I593"/>
      <c r="J593"/>
      <c r="K593"/>
      <c r="L593"/>
      <c r="M593"/>
      <c r="N593"/>
      <c r="O593"/>
      <c r="P593"/>
      <c r="Q593"/>
      <c r="R593"/>
      <c r="S593"/>
      <c r="T593"/>
      <c r="U593"/>
      <c r="V593"/>
      <c r="W593"/>
      <c r="BF593" s="3"/>
      <c r="BG593" s="3"/>
      <c r="BH593" s="3"/>
      <c r="BI593" s="3"/>
    </row>
    <row r="594" spans="2:61" s="129" customFormat="1" outlineLevel="1">
      <c r="B594" s="167"/>
      <c r="C594" s="168"/>
      <c r="D594" s="169"/>
      <c r="E594" s="170"/>
      <c r="F594" s="171"/>
      <c r="G594"/>
      <c r="H594"/>
      <c r="I594"/>
      <c r="J594"/>
      <c r="K594"/>
      <c r="L594"/>
      <c r="M594"/>
      <c r="N594"/>
      <c r="O594"/>
      <c r="P594"/>
      <c r="Q594"/>
      <c r="R594"/>
      <c r="S594"/>
      <c r="T594"/>
      <c r="U594"/>
      <c r="V594"/>
      <c r="W594"/>
      <c r="BF594" s="3"/>
      <c r="BG594" s="3"/>
      <c r="BH594" s="3"/>
      <c r="BI594" s="3"/>
    </row>
    <row r="595" spans="2:61" s="129" customFormat="1" outlineLevel="1">
      <c r="B595" s="172"/>
      <c r="C595" s="173"/>
      <c r="D595" s="174"/>
      <c r="E595" s="175"/>
      <c r="F595" s="171"/>
      <c r="G595"/>
      <c r="H595"/>
      <c r="I595"/>
      <c r="J595"/>
      <c r="K595"/>
      <c r="L595"/>
      <c r="M595"/>
      <c r="N595"/>
      <c r="O595"/>
      <c r="P595"/>
      <c r="Q595"/>
      <c r="R595"/>
      <c r="S595"/>
      <c r="T595"/>
      <c r="U595"/>
      <c r="V595"/>
      <c r="W595"/>
      <c r="BF595" s="3"/>
      <c r="BG595" s="3"/>
      <c r="BH595" s="3"/>
      <c r="BI595" s="3"/>
    </row>
    <row r="596" spans="2:61" s="129" customFormat="1" outlineLevel="1">
      <c r="B596" s="167"/>
      <c r="C596" s="168"/>
      <c r="D596" s="169"/>
      <c r="E596" s="170"/>
      <c r="F596" s="171"/>
      <c r="G596"/>
      <c r="H596"/>
      <c r="I596"/>
      <c r="J596"/>
      <c r="K596"/>
      <c r="L596"/>
      <c r="M596"/>
      <c r="N596"/>
      <c r="O596"/>
      <c r="P596"/>
      <c r="Q596"/>
      <c r="R596"/>
      <c r="S596"/>
      <c r="T596"/>
      <c r="U596"/>
      <c r="V596"/>
      <c r="W596"/>
      <c r="BF596" s="3"/>
      <c r="BG596" s="3"/>
      <c r="BH596" s="3"/>
      <c r="BI596" s="3"/>
    </row>
    <row r="597" spans="2:61" s="129" customFormat="1" outlineLevel="1">
      <c r="B597" s="172"/>
      <c r="C597" s="173"/>
      <c r="D597" s="174"/>
      <c r="E597" s="175"/>
      <c r="F597" s="171"/>
      <c r="G597"/>
      <c r="H597"/>
      <c r="I597"/>
      <c r="J597"/>
      <c r="K597"/>
      <c r="L597"/>
      <c r="M597"/>
      <c r="N597"/>
      <c r="O597"/>
      <c r="P597"/>
      <c r="Q597"/>
      <c r="R597"/>
      <c r="S597"/>
      <c r="T597"/>
      <c r="U597"/>
      <c r="V597"/>
      <c r="W597"/>
      <c r="BF597" s="3"/>
      <c r="BG597" s="3"/>
      <c r="BH597" s="3"/>
      <c r="BI597" s="3"/>
    </row>
    <row r="598" spans="2:61" s="129" customFormat="1" outlineLevel="1">
      <c r="B598" s="167"/>
      <c r="C598" s="168"/>
      <c r="D598" s="169"/>
      <c r="E598" s="170"/>
      <c r="F598" s="171"/>
      <c r="G598"/>
      <c r="H598"/>
      <c r="I598"/>
      <c r="J598"/>
      <c r="K598"/>
      <c r="L598"/>
      <c r="M598"/>
      <c r="N598"/>
      <c r="O598"/>
      <c r="P598"/>
      <c r="Q598"/>
      <c r="R598"/>
      <c r="S598"/>
      <c r="T598"/>
      <c r="U598"/>
      <c r="V598"/>
      <c r="W598"/>
      <c r="BF598" s="3"/>
      <c r="BG598" s="3"/>
      <c r="BH598" s="3"/>
      <c r="BI598" s="3"/>
    </row>
    <row r="599" spans="2:61" s="129" customFormat="1" outlineLevel="1">
      <c r="B599" s="172"/>
      <c r="C599" s="173"/>
      <c r="D599" s="174"/>
      <c r="E599" s="175"/>
      <c r="F599" s="171"/>
      <c r="G599"/>
      <c r="H599"/>
      <c r="I599"/>
      <c r="J599"/>
      <c r="K599"/>
      <c r="L599"/>
      <c r="M599"/>
      <c r="N599"/>
      <c r="O599"/>
      <c r="P599"/>
      <c r="Q599"/>
      <c r="R599"/>
      <c r="S599"/>
      <c r="T599"/>
      <c r="U599"/>
      <c r="V599"/>
      <c r="W599"/>
      <c r="BF599" s="3"/>
      <c r="BG599" s="3"/>
      <c r="BH599" s="3"/>
      <c r="BI599" s="3"/>
    </row>
    <row r="600" spans="2:61" s="129" customFormat="1" outlineLevel="1">
      <c r="B600" s="167"/>
      <c r="C600" s="168"/>
      <c r="D600" s="169"/>
      <c r="E600" s="170"/>
      <c r="F600" s="171"/>
      <c r="G600"/>
      <c r="H600"/>
      <c r="I600"/>
      <c r="J600"/>
      <c r="K600"/>
      <c r="L600"/>
      <c r="M600"/>
      <c r="N600"/>
      <c r="O600"/>
      <c r="P600"/>
      <c r="Q600"/>
      <c r="R600"/>
      <c r="S600"/>
      <c r="T600"/>
      <c r="U600"/>
      <c r="V600"/>
      <c r="W600"/>
      <c r="BF600" s="3"/>
      <c r="BG600" s="3"/>
      <c r="BH600" s="3"/>
      <c r="BI600" s="3"/>
    </row>
    <row r="601" spans="2:61" s="129" customFormat="1" outlineLevel="1">
      <c r="B601" s="172"/>
      <c r="C601" s="173"/>
      <c r="D601" s="174"/>
      <c r="E601" s="175"/>
      <c r="F601" s="171"/>
      <c r="G601"/>
      <c r="H601"/>
      <c r="I601"/>
      <c r="J601"/>
      <c r="K601"/>
      <c r="L601"/>
      <c r="M601"/>
      <c r="N601"/>
      <c r="O601"/>
      <c r="P601"/>
      <c r="Q601"/>
      <c r="R601"/>
      <c r="S601"/>
      <c r="T601"/>
      <c r="U601"/>
      <c r="V601"/>
      <c r="W601"/>
      <c r="BF601" s="3"/>
      <c r="BG601" s="3"/>
      <c r="BH601" s="3"/>
      <c r="BI601" s="3"/>
    </row>
    <row r="602" spans="2:61" s="129" customFormat="1" outlineLevel="1">
      <c r="B602" s="167"/>
      <c r="C602" s="168"/>
      <c r="D602" s="169"/>
      <c r="E602" s="170"/>
      <c r="F602" s="171"/>
      <c r="G602"/>
      <c r="H602"/>
      <c r="I602"/>
      <c r="J602"/>
      <c r="K602"/>
      <c r="L602"/>
      <c r="M602"/>
      <c r="N602"/>
      <c r="O602"/>
      <c r="P602"/>
      <c r="Q602"/>
      <c r="R602"/>
      <c r="S602"/>
      <c r="T602"/>
      <c r="U602"/>
      <c r="V602"/>
      <c r="W602"/>
      <c r="BF602" s="3"/>
      <c r="BG602" s="3"/>
      <c r="BH602" s="3"/>
      <c r="BI602" s="3"/>
    </row>
    <row r="603" spans="2:61" s="129" customFormat="1" outlineLevel="1">
      <c r="B603" s="172"/>
      <c r="C603" s="173"/>
      <c r="D603" s="174"/>
      <c r="E603" s="175"/>
      <c r="F603" s="171"/>
      <c r="G603"/>
      <c r="H603"/>
      <c r="I603"/>
      <c r="J603"/>
      <c r="K603"/>
      <c r="L603"/>
      <c r="M603"/>
      <c r="N603"/>
      <c r="O603"/>
      <c r="P603"/>
      <c r="Q603"/>
      <c r="R603"/>
      <c r="S603"/>
      <c r="T603"/>
      <c r="U603"/>
      <c r="V603"/>
      <c r="W603"/>
      <c r="BF603" s="3"/>
      <c r="BG603" s="3"/>
      <c r="BH603" s="3"/>
      <c r="BI603" s="3"/>
    </row>
    <row r="604" spans="2:61" s="129" customFormat="1" outlineLevel="1">
      <c r="B604" s="167"/>
      <c r="C604" s="168"/>
      <c r="D604" s="169"/>
      <c r="E604" s="170"/>
      <c r="F604" s="171"/>
      <c r="G604"/>
      <c r="H604"/>
      <c r="I604"/>
      <c r="J604"/>
      <c r="K604"/>
      <c r="L604"/>
      <c r="M604"/>
      <c r="N604"/>
      <c r="O604"/>
      <c r="P604"/>
      <c r="Q604"/>
      <c r="R604"/>
      <c r="S604"/>
      <c r="T604"/>
      <c r="U604"/>
      <c r="V604"/>
      <c r="W604"/>
      <c r="BF604" s="3"/>
      <c r="BG604" s="3"/>
      <c r="BH604" s="3"/>
      <c r="BI604" s="3"/>
    </row>
    <row r="605" spans="2:61" s="129" customFormat="1" outlineLevel="1">
      <c r="B605" s="172"/>
      <c r="C605" s="173"/>
      <c r="D605" s="174"/>
      <c r="E605" s="175"/>
      <c r="F605" s="171"/>
      <c r="G605"/>
      <c r="H605"/>
      <c r="I605"/>
      <c r="J605"/>
      <c r="K605"/>
      <c r="L605"/>
      <c r="M605"/>
      <c r="N605"/>
      <c r="O605"/>
      <c r="P605"/>
      <c r="Q605"/>
      <c r="R605"/>
      <c r="S605"/>
      <c r="T605"/>
      <c r="U605"/>
      <c r="V605"/>
      <c r="W605"/>
      <c r="BF605" s="3"/>
      <c r="BG605" s="3"/>
      <c r="BH605" s="3"/>
      <c r="BI605" s="3"/>
    </row>
    <row r="606" spans="2:61" s="129" customFormat="1" outlineLevel="1">
      <c r="B606" s="167"/>
      <c r="C606" s="168"/>
      <c r="D606" s="169"/>
      <c r="E606" s="170"/>
      <c r="F606" s="171"/>
      <c r="G606"/>
      <c r="H606"/>
      <c r="I606"/>
      <c r="J606"/>
      <c r="K606"/>
      <c r="L606"/>
      <c r="M606"/>
      <c r="N606"/>
      <c r="O606"/>
      <c r="P606"/>
      <c r="Q606"/>
      <c r="R606"/>
      <c r="S606"/>
      <c r="T606"/>
      <c r="U606"/>
      <c r="V606"/>
      <c r="W606"/>
      <c r="BF606" s="3"/>
      <c r="BG606" s="3"/>
      <c r="BH606" s="3"/>
      <c r="BI606" s="3"/>
    </row>
    <row r="607" spans="2:61" s="129" customFormat="1" outlineLevel="1">
      <c r="B607" s="172"/>
      <c r="C607" s="173"/>
      <c r="D607" s="174"/>
      <c r="E607" s="175"/>
      <c r="F607" s="171"/>
      <c r="G607"/>
      <c r="H607"/>
      <c r="I607"/>
      <c r="J607"/>
      <c r="K607"/>
      <c r="L607"/>
      <c r="M607"/>
      <c r="N607"/>
      <c r="O607"/>
      <c r="P607"/>
      <c r="Q607"/>
      <c r="R607"/>
      <c r="S607"/>
      <c r="T607"/>
      <c r="U607"/>
      <c r="V607"/>
      <c r="W607"/>
      <c r="BF607" s="3"/>
      <c r="BG607" s="3"/>
      <c r="BH607" s="3"/>
      <c r="BI607" s="3"/>
    </row>
    <row r="608" spans="2:61" s="129" customFormat="1" outlineLevel="1">
      <c r="B608" s="167"/>
      <c r="C608" s="168"/>
      <c r="D608" s="169"/>
      <c r="E608" s="170"/>
      <c r="F608" s="171"/>
      <c r="G608"/>
      <c r="H608"/>
      <c r="I608"/>
      <c r="J608"/>
      <c r="K608"/>
      <c r="L608"/>
      <c r="M608"/>
      <c r="N608"/>
      <c r="O608"/>
      <c r="P608"/>
      <c r="Q608"/>
      <c r="R608"/>
      <c r="S608"/>
      <c r="T608"/>
      <c r="U608"/>
      <c r="V608"/>
      <c r="W608"/>
      <c r="BF608" s="3"/>
      <c r="BG608" s="3"/>
      <c r="BH608" s="3"/>
      <c r="BI608" s="3"/>
    </row>
    <row r="609" spans="2:61" s="129" customFormat="1" outlineLevel="1">
      <c r="B609" s="172"/>
      <c r="C609" s="173"/>
      <c r="D609" s="174"/>
      <c r="E609" s="175"/>
      <c r="F609" s="171"/>
      <c r="G609"/>
      <c r="H609"/>
      <c r="I609"/>
      <c r="J609"/>
      <c r="K609"/>
      <c r="L609"/>
      <c r="M609"/>
      <c r="N609"/>
      <c r="O609"/>
      <c r="P609"/>
      <c r="Q609"/>
      <c r="R609"/>
      <c r="S609"/>
      <c r="T609"/>
      <c r="U609"/>
      <c r="V609"/>
      <c r="W609"/>
      <c r="BF609" s="3"/>
      <c r="BG609" s="3"/>
      <c r="BH609" s="3"/>
      <c r="BI609" s="3"/>
    </row>
    <row r="610" spans="2:61" s="129" customFormat="1" outlineLevel="1">
      <c r="B610" s="167"/>
      <c r="C610" s="168"/>
      <c r="D610" s="169"/>
      <c r="E610" s="170"/>
      <c r="F610" s="171"/>
      <c r="G610"/>
      <c r="H610"/>
      <c r="I610"/>
      <c r="J610"/>
      <c r="K610"/>
      <c r="L610"/>
      <c r="M610"/>
      <c r="N610"/>
      <c r="O610"/>
      <c r="P610"/>
      <c r="Q610"/>
      <c r="R610"/>
      <c r="S610"/>
      <c r="T610"/>
      <c r="U610"/>
      <c r="V610"/>
      <c r="W610"/>
      <c r="BF610" s="3"/>
      <c r="BG610" s="3"/>
      <c r="BH610" s="3"/>
      <c r="BI610" s="3"/>
    </row>
    <row r="611" spans="2:61" s="129" customFormat="1" outlineLevel="1">
      <c r="B611" s="172"/>
      <c r="C611" s="173"/>
      <c r="D611" s="174"/>
      <c r="E611" s="175"/>
      <c r="F611" s="171"/>
      <c r="G611"/>
      <c r="H611"/>
      <c r="I611"/>
      <c r="J611"/>
      <c r="K611"/>
      <c r="L611"/>
      <c r="M611"/>
      <c r="N611"/>
      <c r="O611"/>
      <c r="P611"/>
      <c r="Q611"/>
      <c r="R611"/>
      <c r="S611"/>
      <c r="T611"/>
      <c r="U611"/>
      <c r="V611"/>
      <c r="W611"/>
      <c r="BF611" s="3"/>
      <c r="BG611" s="3"/>
      <c r="BH611" s="3"/>
      <c r="BI611" s="3"/>
    </row>
    <row r="612" spans="2:61" s="129" customFormat="1" outlineLevel="1">
      <c r="B612" s="167"/>
      <c r="C612" s="168"/>
      <c r="D612" s="169"/>
      <c r="E612" s="170"/>
      <c r="F612" s="171"/>
      <c r="G612"/>
      <c r="H612"/>
      <c r="I612"/>
      <c r="J612"/>
      <c r="K612"/>
      <c r="L612"/>
      <c r="M612"/>
      <c r="N612"/>
      <c r="O612"/>
      <c r="P612"/>
      <c r="Q612"/>
      <c r="R612"/>
      <c r="S612"/>
      <c r="T612"/>
      <c r="U612"/>
      <c r="V612"/>
      <c r="W612"/>
      <c r="BF612" s="3"/>
      <c r="BG612" s="3"/>
      <c r="BH612" s="3"/>
      <c r="BI612" s="3"/>
    </row>
    <row r="613" spans="2:61" s="129" customFormat="1" outlineLevel="1">
      <c r="B613" s="172"/>
      <c r="C613" s="173"/>
      <c r="D613" s="174"/>
      <c r="E613" s="175"/>
      <c r="F613" s="171"/>
      <c r="G613"/>
      <c r="H613"/>
      <c r="I613"/>
      <c r="J613"/>
      <c r="K613"/>
      <c r="L613"/>
      <c r="M613"/>
      <c r="N613"/>
      <c r="O613"/>
      <c r="P613"/>
      <c r="Q613"/>
      <c r="R613"/>
      <c r="S613"/>
      <c r="T613"/>
      <c r="U613"/>
      <c r="V613"/>
      <c r="W613"/>
      <c r="BF613" s="3"/>
      <c r="BG613" s="3"/>
      <c r="BH613" s="3"/>
      <c r="BI613" s="3"/>
    </row>
    <row r="614" spans="2:61" s="129" customFormat="1" outlineLevel="1">
      <c r="B614" s="167"/>
      <c r="C614" s="168"/>
      <c r="D614" s="169"/>
      <c r="E614" s="170"/>
      <c r="F614" s="171"/>
      <c r="G614"/>
      <c r="H614"/>
      <c r="I614"/>
      <c r="J614"/>
      <c r="K614"/>
      <c r="L614"/>
      <c r="M614"/>
      <c r="N614"/>
      <c r="O614"/>
      <c r="P614"/>
      <c r="Q614"/>
      <c r="R614"/>
      <c r="S614"/>
      <c r="T614"/>
      <c r="U614"/>
      <c r="V614"/>
      <c r="W614"/>
      <c r="BF614" s="3"/>
      <c r="BG614" s="3"/>
      <c r="BH614" s="3"/>
      <c r="BI614" s="3"/>
    </row>
    <row r="615" spans="2:61" s="129" customFormat="1" outlineLevel="1">
      <c r="B615" s="172"/>
      <c r="C615" s="173"/>
      <c r="D615" s="174"/>
      <c r="E615" s="175"/>
      <c r="F615" s="171"/>
      <c r="G615"/>
      <c r="H615"/>
      <c r="I615"/>
      <c r="J615"/>
      <c r="K615"/>
      <c r="L615"/>
      <c r="M615"/>
      <c r="N615"/>
      <c r="O615"/>
      <c r="P615"/>
      <c r="Q615"/>
      <c r="R615"/>
      <c r="S615"/>
      <c r="T615"/>
      <c r="U615"/>
      <c r="V615"/>
      <c r="W615"/>
      <c r="BF615" s="3"/>
      <c r="BG615" s="3"/>
      <c r="BH615" s="3"/>
      <c r="BI615" s="3"/>
    </row>
    <row r="616" spans="2:61" s="129" customFormat="1" outlineLevel="1">
      <c r="B616" s="167"/>
      <c r="C616" s="168"/>
      <c r="D616" s="169"/>
      <c r="E616" s="170"/>
      <c r="F616" s="171"/>
      <c r="G616"/>
      <c r="H616"/>
      <c r="I616"/>
      <c r="J616"/>
      <c r="K616"/>
      <c r="L616"/>
      <c r="M616"/>
      <c r="N616"/>
      <c r="O616"/>
      <c r="P616"/>
      <c r="Q616"/>
      <c r="R616"/>
      <c r="S616"/>
      <c r="T616"/>
      <c r="U616"/>
      <c r="V616"/>
      <c r="W616"/>
      <c r="BF616" s="3"/>
      <c r="BG616" s="3"/>
      <c r="BH616" s="3"/>
      <c r="BI616" s="3"/>
    </row>
    <row r="617" spans="2:61" s="129" customFormat="1" outlineLevel="1">
      <c r="B617" s="172"/>
      <c r="C617" s="173"/>
      <c r="D617" s="174"/>
      <c r="E617" s="175"/>
      <c r="F617" s="171"/>
      <c r="G617"/>
      <c r="H617"/>
      <c r="I617"/>
      <c r="J617"/>
      <c r="K617"/>
      <c r="L617"/>
      <c r="M617"/>
      <c r="N617"/>
      <c r="O617"/>
      <c r="P617"/>
      <c r="Q617"/>
      <c r="R617"/>
      <c r="S617"/>
      <c r="T617"/>
      <c r="U617"/>
      <c r="V617"/>
      <c r="W617"/>
      <c r="BF617" s="3"/>
      <c r="BG617" s="3"/>
      <c r="BH617" s="3"/>
      <c r="BI617" s="3"/>
    </row>
    <row r="618" spans="2:61" s="129" customFormat="1" outlineLevel="1">
      <c r="B618" s="167"/>
      <c r="C618" s="168"/>
      <c r="D618" s="169"/>
      <c r="E618" s="170"/>
      <c r="F618" s="171"/>
      <c r="G618"/>
      <c r="H618"/>
      <c r="I618"/>
      <c r="J618"/>
      <c r="K618"/>
      <c r="L618"/>
      <c r="M618"/>
      <c r="N618"/>
      <c r="O618"/>
      <c r="P618"/>
      <c r="Q618"/>
      <c r="R618"/>
      <c r="S618"/>
      <c r="T618"/>
      <c r="U618"/>
      <c r="V618"/>
      <c r="W618"/>
      <c r="BF618" s="3"/>
      <c r="BG618" s="3"/>
      <c r="BH618" s="3"/>
      <c r="BI618" s="3"/>
    </row>
    <row r="619" spans="2:61" s="129" customFormat="1" outlineLevel="1">
      <c r="B619" s="172"/>
      <c r="C619" s="173"/>
      <c r="D619" s="174"/>
      <c r="E619" s="175"/>
      <c r="F619" s="171"/>
      <c r="G619"/>
      <c r="H619"/>
      <c r="I619"/>
      <c r="J619"/>
      <c r="K619"/>
      <c r="L619"/>
      <c r="M619"/>
      <c r="N619"/>
      <c r="O619"/>
      <c r="P619"/>
      <c r="Q619"/>
      <c r="R619"/>
      <c r="S619"/>
      <c r="T619"/>
      <c r="U619"/>
      <c r="V619"/>
      <c r="W619"/>
      <c r="BF619" s="3"/>
      <c r="BG619" s="3"/>
      <c r="BH619" s="3"/>
      <c r="BI619" s="3"/>
    </row>
    <row r="620" spans="2:61" s="129" customFormat="1" outlineLevel="1">
      <c r="B620" s="167"/>
      <c r="C620" s="168"/>
      <c r="D620" s="169"/>
      <c r="E620" s="170"/>
      <c r="F620" s="171"/>
      <c r="G620"/>
      <c r="H620"/>
      <c r="I620"/>
      <c r="J620"/>
      <c r="K620"/>
      <c r="L620"/>
      <c r="M620"/>
      <c r="N620"/>
      <c r="O620"/>
      <c r="P620"/>
      <c r="Q620"/>
      <c r="R620"/>
      <c r="S620"/>
      <c r="T620"/>
      <c r="U620"/>
      <c r="V620"/>
      <c r="W620"/>
      <c r="BF620" s="3"/>
      <c r="BG620" s="3"/>
      <c r="BH620" s="3"/>
      <c r="BI620" s="3"/>
    </row>
    <row r="621" spans="2:61" s="129" customFormat="1" outlineLevel="1">
      <c r="B621" s="172"/>
      <c r="C621" s="173"/>
      <c r="D621" s="174"/>
      <c r="E621" s="175"/>
      <c r="F621" s="171"/>
      <c r="G621"/>
      <c r="H621"/>
      <c r="I621"/>
      <c r="J621"/>
      <c r="K621"/>
      <c r="L621"/>
      <c r="M621"/>
      <c r="N621"/>
      <c r="O621"/>
      <c r="P621"/>
      <c r="Q621"/>
      <c r="R621"/>
      <c r="S621"/>
      <c r="T621"/>
      <c r="U621"/>
      <c r="V621"/>
      <c r="W621"/>
      <c r="BF621" s="3"/>
      <c r="BG621" s="3"/>
      <c r="BH621" s="3"/>
      <c r="BI621" s="3"/>
    </row>
    <row r="622" spans="2:61" s="129" customFormat="1" outlineLevel="1">
      <c r="B622" s="167"/>
      <c r="C622" s="168"/>
      <c r="D622" s="169"/>
      <c r="E622" s="170"/>
      <c r="F622" s="171"/>
      <c r="G622"/>
      <c r="H622"/>
      <c r="I622"/>
      <c r="J622"/>
      <c r="K622"/>
      <c r="L622"/>
      <c r="M622"/>
      <c r="N622"/>
      <c r="O622"/>
      <c r="P622"/>
      <c r="Q622"/>
      <c r="R622"/>
      <c r="S622"/>
      <c r="T622"/>
      <c r="U622"/>
      <c r="V622"/>
      <c r="W622"/>
      <c r="BF622" s="3"/>
      <c r="BG622" s="3"/>
      <c r="BH622" s="3"/>
      <c r="BI622" s="3"/>
    </row>
    <row r="623" spans="2:61" s="129" customFormat="1" outlineLevel="1">
      <c r="B623" s="172"/>
      <c r="C623" s="173"/>
      <c r="D623" s="174"/>
      <c r="E623" s="175"/>
      <c r="F623" s="171"/>
      <c r="G623"/>
      <c r="H623"/>
      <c r="I623"/>
      <c r="J623"/>
      <c r="K623"/>
      <c r="L623"/>
      <c r="M623"/>
      <c r="N623"/>
      <c r="O623"/>
      <c r="P623"/>
      <c r="Q623"/>
      <c r="R623"/>
      <c r="S623"/>
      <c r="T623"/>
      <c r="U623"/>
      <c r="V623"/>
      <c r="W623"/>
      <c r="BF623" s="3"/>
      <c r="BG623" s="3"/>
      <c r="BH623" s="3"/>
      <c r="BI623" s="3"/>
    </row>
    <row r="624" spans="2:61" s="129" customFormat="1" outlineLevel="1">
      <c r="B624" s="167"/>
      <c r="C624" s="168"/>
      <c r="D624" s="169"/>
      <c r="E624" s="170"/>
      <c r="F624" s="171"/>
      <c r="G624"/>
      <c r="H624"/>
      <c r="I624"/>
      <c r="J624"/>
      <c r="K624"/>
      <c r="L624"/>
      <c r="M624"/>
      <c r="N624"/>
      <c r="O624"/>
      <c r="P624"/>
      <c r="Q624"/>
      <c r="R624"/>
      <c r="S624"/>
      <c r="T624"/>
      <c r="U624"/>
      <c r="V624"/>
      <c r="W624"/>
      <c r="BF624" s="3"/>
      <c r="BG624" s="3"/>
      <c r="BH624" s="3"/>
      <c r="BI624" s="3"/>
    </row>
    <row r="625" spans="2:61" s="129" customFormat="1" outlineLevel="1">
      <c r="B625" s="172"/>
      <c r="C625" s="173"/>
      <c r="D625" s="174"/>
      <c r="E625" s="175"/>
      <c r="F625" s="171"/>
      <c r="G625"/>
      <c r="H625"/>
      <c r="I625"/>
      <c r="J625"/>
      <c r="K625"/>
      <c r="L625"/>
      <c r="M625"/>
      <c r="N625"/>
      <c r="O625"/>
      <c r="P625"/>
      <c r="Q625"/>
      <c r="R625"/>
      <c r="S625"/>
      <c r="T625"/>
      <c r="U625"/>
      <c r="V625"/>
      <c r="W625"/>
      <c r="BF625" s="3"/>
      <c r="BG625" s="3"/>
      <c r="BH625" s="3"/>
      <c r="BI625" s="3"/>
    </row>
    <row r="626" spans="2:61" s="129" customFormat="1" outlineLevel="1">
      <c r="B626" s="167"/>
      <c r="C626" s="168"/>
      <c r="D626" s="169"/>
      <c r="E626" s="170"/>
      <c r="F626" s="171"/>
      <c r="G626"/>
      <c r="H626"/>
      <c r="I626"/>
      <c r="J626"/>
      <c r="K626"/>
      <c r="L626"/>
      <c r="M626"/>
      <c r="N626"/>
      <c r="O626"/>
      <c r="P626"/>
      <c r="Q626"/>
      <c r="R626"/>
      <c r="S626"/>
      <c r="T626"/>
      <c r="U626"/>
      <c r="V626"/>
      <c r="W626"/>
      <c r="BF626" s="3"/>
      <c r="BG626" s="3"/>
      <c r="BH626" s="3"/>
      <c r="BI626" s="3"/>
    </row>
    <row r="627" spans="2:61" s="129" customFormat="1" outlineLevel="1">
      <c r="B627" s="172"/>
      <c r="C627" s="173"/>
      <c r="D627" s="174"/>
      <c r="E627" s="175"/>
      <c r="F627" s="171"/>
      <c r="G627"/>
      <c r="H627"/>
      <c r="I627"/>
      <c r="J627"/>
      <c r="K627"/>
      <c r="L627"/>
      <c r="M627"/>
      <c r="N627"/>
      <c r="O627"/>
      <c r="P627"/>
      <c r="Q627"/>
      <c r="R627"/>
      <c r="S627"/>
      <c r="T627"/>
      <c r="U627"/>
      <c r="V627"/>
      <c r="W627"/>
      <c r="BF627" s="3"/>
      <c r="BG627" s="3"/>
      <c r="BH627" s="3"/>
      <c r="BI627" s="3"/>
    </row>
    <row r="628" spans="2:61" s="129" customFormat="1" outlineLevel="1">
      <c r="B628" s="167"/>
      <c r="C628" s="168"/>
      <c r="D628" s="169"/>
      <c r="E628" s="170"/>
      <c r="F628" s="171"/>
      <c r="G628"/>
      <c r="H628"/>
      <c r="I628"/>
      <c r="J628"/>
      <c r="K628"/>
      <c r="L628"/>
      <c r="M628"/>
      <c r="N628"/>
      <c r="O628"/>
      <c r="P628"/>
      <c r="Q628"/>
      <c r="R628"/>
      <c r="S628"/>
      <c r="T628"/>
      <c r="U628"/>
      <c r="V628"/>
      <c r="W628"/>
      <c r="BF628" s="3"/>
      <c r="BG628" s="3"/>
      <c r="BH628" s="3"/>
      <c r="BI628" s="3"/>
    </row>
    <row r="629" spans="2:61" s="129" customFormat="1" outlineLevel="1">
      <c r="B629" s="172"/>
      <c r="C629" s="173"/>
      <c r="D629" s="174"/>
      <c r="E629" s="175"/>
      <c r="F629" s="171"/>
      <c r="G629"/>
      <c r="H629"/>
      <c r="I629"/>
      <c r="J629"/>
      <c r="K629"/>
      <c r="L629"/>
      <c r="M629"/>
      <c r="N629"/>
      <c r="O629"/>
      <c r="P629"/>
      <c r="Q629"/>
      <c r="R629"/>
      <c r="S629"/>
      <c r="T629"/>
      <c r="U629"/>
      <c r="V629"/>
      <c r="W629"/>
      <c r="BF629" s="3"/>
      <c r="BG629" s="3"/>
      <c r="BH629" s="3"/>
      <c r="BI629" s="3"/>
    </row>
    <row r="630" spans="2:61" s="129" customFormat="1" outlineLevel="1">
      <c r="B630" s="167"/>
      <c r="C630" s="168"/>
      <c r="D630" s="169"/>
      <c r="E630" s="170"/>
      <c r="F630" s="171"/>
      <c r="G630"/>
      <c r="H630"/>
      <c r="I630"/>
      <c r="J630"/>
      <c r="K630"/>
      <c r="L630"/>
      <c r="M630"/>
      <c r="N630"/>
      <c r="O630"/>
      <c r="P630"/>
      <c r="Q630"/>
      <c r="R630"/>
      <c r="S630"/>
      <c r="T630"/>
      <c r="U630"/>
      <c r="V630"/>
      <c r="W630"/>
      <c r="BF630" s="3"/>
      <c r="BG630" s="3"/>
      <c r="BH630" s="3"/>
      <c r="BI630" s="3"/>
    </row>
    <row r="631" spans="2:61" s="129" customFormat="1" outlineLevel="1">
      <c r="B631" s="172"/>
      <c r="C631" s="173"/>
      <c r="D631" s="174"/>
      <c r="E631" s="175"/>
      <c r="F631" s="171"/>
      <c r="G631"/>
      <c r="H631"/>
      <c r="I631"/>
      <c r="J631"/>
      <c r="K631"/>
      <c r="L631"/>
      <c r="M631"/>
      <c r="N631"/>
      <c r="O631"/>
      <c r="P631"/>
      <c r="Q631"/>
      <c r="R631"/>
      <c r="S631"/>
      <c r="T631"/>
      <c r="U631"/>
      <c r="V631"/>
      <c r="W631"/>
      <c r="BF631" s="3"/>
      <c r="BG631" s="3"/>
      <c r="BH631" s="3"/>
      <c r="BI631" s="3"/>
    </row>
    <row r="632" spans="2:61" s="129" customFormat="1" outlineLevel="1">
      <c r="B632" s="167"/>
      <c r="C632" s="168"/>
      <c r="D632" s="169"/>
      <c r="E632" s="170"/>
      <c r="F632" s="171"/>
      <c r="G632"/>
      <c r="H632"/>
      <c r="I632"/>
      <c r="J632"/>
      <c r="K632"/>
      <c r="L632"/>
      <c r="M632"/>
      <c r="N632"/>
      <c r="O632"/>
      <c r="P632"/>
      <c r="Q632"/>
      <c r="R632"/>
      <c r="S632"/>
      <c r="T632"/>
      <c r="U632"/>
      <c r="V632"/>
      <c r="W632"/>
      <c r="BF632" s="3"/>
      <c r="BG632" s="3"/>
      <c r="BH632" s="3"/>
      <c r="BI632" s="3"/>
    </row>
    <row r="633" spans="2:61" s="129" customFormat="1" outlineLevel="1">
      <c r="B633" s="172"/>
      <c r="C633" s="173"/>
      <c r="D633" s="174"/>
      <c r="E633" s="175"/>
      <c r="F633" s="171"/>
      <c r="G633"/>
      <c r="H633"/>
      <c r="I633"/>
      <c r="J633"/>
      <c r="K633"/>
      <c r="L633"/>
      <c r="M633"/>
      <c r="N633"/>
      <c r="O633"/>
      <c r="P633"/>
      <c r="Q633"/>
      <c r="R633"/>
      <c r="S633"/>
      <c r="T633"/>
      <c r="U633"/>
      <c r="V633"/>
      <c r="W633"/>
      <c r="BF633" s="3"/>
      <c r="BG633" s="3"/>
      <c r="BH633" s="3"/>
      <c r="BI633" s="3"/>
    </row>
    <row r="634" spans="2:61" s="129" customFormat="1" outlineLevel="1">
      <c r="B634" s="167"/>
      <c r="C634" s="168"/>
      <c r="D634" s="169"/>
      <c r="E634" s="170"/>
      <c r="F634" s="171"/>
      <c r="G634"/>
      <c r="H634"/>
      <c r="I634"/>
      <c r="J634"/>
      <c r="K634"/>
      <c r="L634"/>
      <c r="M634"/>
      <c r="N634"/>
      <c r="O634"/>
      <c r="P634"/>
      <c r="Q634"/>
      <c r="R634"/>
      <c r="S634"/>
      <c r="T634"/>
      <c r="U634"/>
      <c r="V634"/>
      <c r="W634"/>
      <c r="BF634" s="3"/>
      <c r="BG634" s="3"/>
      <c r="BH634" s="3"/>
      <c r="BI634" s="3"/>
    </row>
    <row r="635" spans="2:61" s="129" customFormat="1">
      <c r="B635" s="16" t="s">
        <v>15</v>
      </c>
      <c r="C635" s="5"/>
      <c r="D635" s="14"/>
      <c r="E635" s="102"/>
      <c r="F635" s="36"/>
      <c r="G635"/>
      <c r="H635" s="3"/>
      <c r="I635" s="3"/>
      <c r="J635" s="3"/>
      <c r="K635" s="3"/>
      <c r="L635" s="3"/>
      <c r="M635" s="3"/>
      <c r="N635" s="3"/>
      <c r="O635" s="3"/>
      <c r="P635" s="3"/>
      <c r="Q635" s="3"/>
      <c r="R635" s="3"/>
      <c r="S635" s="3"/>
      <c r="T635" s="3"/>
      <c r="U635" s="3"/>
      <c r="V635" s="3"/>
      <c r="W635" s="3"/>
      <c r="BF635" s="3"/>
      <c r="BG635" s="3"/>
      <c r="BH635" s="3"/>
      <c r="BI635" s="3"/>
    </row>
    <row r="636" spans="2:61" s="129" customFormat="1">
      <c r="B636"/>
      <c r="C636" s="3"/>
      <c r="D636" s="3"/>
      <c r="E636" s="95"/>
      <c r="F636" s="3"/>
      <c r="G636" s="3"/>
      <c r="H636" s="3"/>
      <c r="I636" s="3"/>
      <c r="J636" s="3"/>
      <c r="K636" s="3"/>
      <c r="L636" s="3"/>
      <c r="M636" s="3"/>
      <c r="N636" s="3"/>
      <c r="O636" s="3"/>
      <c r="P636" s="3"/>
      <c r="Q636" s="3"/>
      <c r="R636" s="3"/>
      <c r="S636" s="3"/>
      <c r="T636" s="3"/>
      <c r="U636" s="3"/>
      <c r="V636" s="3"/>
      <c r="W636" s="3"/>
      <c r="BF636" s="3"/>
      <c r="BG636" s="3"/>
      <c r="BH636" s="3"/>
      <c r="BI636" s="3"/>
    </row>
  </sheetData>
  <sheetProtection algorithmName="SHA-512" hashValue="T+Dqz/oyP61I1Ohpt3AoOi6iPGXeaIqpcvrXwZHeFSiCLigxpS74y5/N78WXa0VjX1JCHKWS9jxXJLPSFwaCCQ==" saltValue="x/Q7XA7ZRdTPsuQ/ogIOTQ==" spinCount="100000" sheet="1" objects="1" scenarios="1"/>
  <phoneticPr fontId="39"/>
  <dataValidations count="4">
    <dataValidation type="list" allowBlank="1" showInputMessage="1" showErrorMessage="1" sqref="I361:I362">
      <formula1>"With Video,No Video"</formula1>
    </dataValidation>
    <dataValidation type="list" allowBlank="1" showInputMessage="1" showErrorMessage="1" sqref="U72:U73">
      <formula1>"VSYNC,HSYNC Count,Immediate"</formula1>
    </dataValidation>
    <dataValidation type="list" allowBlank="1" showInputMessage="1" showErrorMessage="1" sqref="I17 I37 I43">
      <formula1>"eFuse, No"</formula1>
    </dataValidation>
    <dataValidation type="list" allowBlank="1" showInputMessage="1" showErrorMessage="1" sqref="O17 K17 M17 O37 K37 M37 O43 K43 M43">
      <formula1>"Enable,Disable"</formula1>
    </dataValidation>
  </dataValidations>
  <pageMargins left="0.75" right="0.75" top="1" bottom="1" header="0.5" footer="0.5"/>
  <pageSetup paperSize="9" orientation="portrait" verticalDpi="0" r:id="rId1"/>
</worksheet>
</file>

<file path=xl/worksheets/sheet9.xml><?xml version="1.0" encoding="utf-8"?>
<worksheet xmlns="http://schemas.openxmlformats.org/spreadsheetml/2006/main" xmlns:r="http://schemas.openxmlformats.org/officeDocument/2006/relationships">
  <sheetPr codeName="Sheet38">
    <tabColor theme="7" tint="0.59999389629810485"/>
    <pageSetUpPr autoPageBreaks="0"/>
  </sheetPr>
  <dimension ref="B1:BI42"/>
  <sheetViews>
    <sheetView showGridLines="0" topLeftCell="A7" zoomScale="75" zoomScaleNormal="75" workbookViewId="0">
      <selection activeCell="F61" sqref="F61"/>
    </sheetView>
  </sheetViews>
  <sheetFormatPr defaultColWidth="9" defaultRowHeight="14.25"/>
  <cols>
    <col min="1" max="1" width="3.375" style="3" customWidth="1"/>
    <col min="2" max="2" width="8.875" style="3" customWidth="1"/>
    <col min="3" max="3" width="43.375" style="3" bestFit="1" customWidth="1"/>
    <col min="4" max="4" width="11" style="3" customWidth="1"/>
    <col min="5" max="5" width="12.625" style="95" customWidth="1"/>
    <col min="6" max="6" width="59.25" style="3" customWidth="1"/>
    <col min="7" max="7" width="4.875" style="3" customWidth="1"/>
    <col min="8" max="8" width="11.625" style="3" customWidth="1"/>
    <col min="9" max="9" width="10.375" style="3" customWidth="1"/>
    <col min="10" max="10" width="11" style="3" customWidth="1"/>
    <col min="11" max="11" width="10.625" style="3" customWidth="1"/>
    <col min="12" max="12" width="11" style="3" customWidth="1"/>
    <col min="13" max="13" width="9.25" style="3" customWidth="1"/>
    <col min="14" max="14" width="14.375" style="3" customWidth="1"/>
    <col min="15" max="15" width="15.25" style="3" customWidth="1"/>
    <col min="16" max="16" width="15.375" style="3" customWidth="1"/>
    <col min="17" max="17" width="12.625" style="3" customWidth="1"/>
    <col min="18" max="18" width="14.375" style="3" customWidth="1"/>
    <col min="19" max="19" width="13.75" style="3" customWidth="1"/>
    <col min="20" max="20" width="14" style="3" customWidth="1"/>
    <col min="21" max="21" width="14.375" style="3" customWidth="1"/>
    <col min="22" max="22" width="14" style="3" customWidth="1"/>
    <col min="23" max="23" width="15.375" style="3" customWidth="1"/>
    <col min="24" max="24" width="7.875" style="129" customWidth="1"/>
    <col min="25" max="30" width="5" style="129" customWidth="1"/>
    <col min="31" max="38" width="4" style="129" customWidth="1"/>
    <col min="39" max="39" width="5" style="129" customWidth="1"/>
    <col min="40" max="40" width="4" style="129" customWidth="1"/>
    <col min="41" max="41" width="7.125" style="129" customWidth="1"/>
    <col min="42" max="46" width="5" style="129" customWidth="1"/>
    <col min="47" max="49" width="4" style="129" customWidth="1"/>
    <col min="50" max="50" width="3.75" style="129" customWidth="1"/>
    <col min="51" max="52" width="4" style="129" customWidth="1"/>
    <col min="53" max="53" width="6.75" style="129" hidden="1" customWidth="1"/>
    <col min="54" max="54" width="7" style="129" hidden="1" customWidth="1"/>
    <col min="55" max="55" width="9.625" style="129" hidden="1" customWidth="1"/>
    <col min="56" max="57" width="7" style="129" hidden="1" customWidth="1"/>
    <col min="58" max="16384" width="9" style="3"/>
  </cols>
  <sheetData>
    <row r="1" spans="2:61" ht="18">
      <c r="B1" s="11" t="s">
        <v>611</v>
      </c>
      <c r="C1" s="11"/>
      <c r="F1" s="114"/>
      <c r="G1" s="231" t="s">
        <v>635</v>
      </c>
      <c r="H1" s="105" t="s">
        <v>81</v>
      </c>
      <c r="I1" s="18"/>
      <c r="J1" s="4"/>
      <c r="K1"/>
      <c r="L1" s="15"/>
    </row>
    <row r="2" spans="2:61" ht="18">
      <c r="B2" s="3" t="s">
        <v>123</v>
      </c>
      <c r="H2" s="114" t="s">
        <v>16</v>
      </c>
      <c r="I2"/>
      <c r="J2"/>
      <c r="K2"/>
      <c r="L2"/>
      <c r="M2"/>
      <c r="N2"/>
      <c r="O2"/>
      <c r="P2"/>
    </row>
    <row r="3" spans="2:61">
      <c r="B3" s="3" t="s">
        <v>420</v>
      </c>
      <c r="C3" s="10"/>
      <c r="D3" s="1"/>
      <c r="E3" s="96"/>
      <c r="F3" s="1"/>
      <c r="G3" s="1"/>
      <c r="H3" s="1"/>
      <c r="I3"/>
      <c r="J3"/>
      <c r="K3"/>
      <c r="L3"/>
      <c r="M3"/>
      <c r="N3"/>
      <c r="O3"/>
      <c r="P3"/>
      <c r="Q3"/>
      <c r="R3"/>
      <c r="S3"/>
      <c r="T3"/>
      <c r="U3"/>
      <c r="V3"/>
      <c r="W3"/>
      <c r="X3" s="222"/>
      <c r="AH3" s="222"/>
    </row>
    <row r="4" spans="2:61">
      <c r="C4" s="10"/>
      <c r="D4" s="1"/>
      <c r="E4" s="96"/>
      <c r="F4" s="1"/>
      <c r="G4" s="1"/>
      <c r="H4" s="1"/>
      <c r="I4"/>
      <c r="J4"/>
      <c r="K4"/>
      <c r="L4"/>
      <c r="M4"/>
      <c r="N4"/>
      <c r="O4"/>
      <c r="P4"/>
      <c r="Q4"/>
      <c r="R4"/>
      <c r="S4"/>
      <c r="T4"/>
      <c r="U4"/>
      <c r="V4"/>
      <c r="W4"/>
      <c r="X4" s="222"/>
      <c r="AH4" s="222"/>
    </row>
    <row r="5" spans="2:61">
      <c r="B5" s="284"/>
      <c r="C5" s="10" t="s">
        <v>380</v>
      </c>
      <c r="D5" s="1"/>
      <c r="E5" s="96"/>
      <c r="F5" s="1"/>
      <c r="G5" s="1"/>
      <c r="H5" s="1"/>
      <c r="I5"/>
      <c r="J5"/>
      <c r="K5"/>
      <c r="L5"/>
      <c r="M5"/>
      <c r="N5"/>
      <c r="O5"/>
      <c r="P5"/>
      <c r="Q5"/>
      <c r="R5"/>
      <c r="S5"/>
      <c r="T5"/>
      <c r="U5"/>
      <c r="V5"/>
      <c r="W5"/>
      <c r="X5" s="222"/>
      <c r="AH5" s="222"/>
    </row>
    <row r="6" spans="2:61" ht="15">
      <c r="B6" s="9"/>
      <c r="C6" s="10"/>
      <c r="D6" s="1"/>
      <c r="E6" s="96"/>
      <c r="F6" s="1"/>
      <c r="G6" s="1"/>
      <c r="H6" s="17"/>
      <c r="I6"/>
      <c r="J6"/>
      <c r="K6"/>
      <c r="L6"/>
      <c r="M6"/>
      <c r="N6"/>
      <c r="O6"/>
      <c r="P6"/>
      <c r="Q6"/>
      <c r="R6"/>
      <c r="S6"/>
      <c r="T6"/>
      <c r="U6"/>
      <c r="V6"/>
      <c r="W6"/>
      <c r="X6" s="222"/>
      <c r="AH6" s="222"/>
    </row>
    <row r="7" spans="2:61" ht="18.75">
      <c r="B7" s="88" t="s">
        <v>83</v>
      </c>
      <c r="C7" s="86"/>
      <c r="D7" s="86"/>
      <c r="E7" s="97"/>
      <c r="F7" s="87"/>
      <c r="I7"/>
      <c r="J7"/>
      <c r="K7"/>
      <c r="L7"/>
      <c r="M7"/>
      <c r="N7"/>
      <c r="O7"/>
      <c r="P7"/>
      <c r="Q7"/>
      <c r="R7"/>
      <c r="S7"/>
      <c r="T7"/>
      <c r="U7"/>
      <c r="V7"/>
      <c r="W7"/>
      <c r="X7" s="222"/>
      <c r="AH7" s="222"/>
    </row>
    <row r="8" spans="2:61" ht="15">
      <c r="B8" s="84" t="s">
        <v>12</v>
      </c>
      <c r="C8" s="84" t="s">
        <v>0</v>
      </c>
      <c r="D8" s="84" t="s">
        <v>1</v>
      </c>
      <c r="E8" s="98" t="s">
        <v>13</v>
      </c>
      <c r="F8" s="85" t="s">
        <v>82</v>
      </c>
      <c r="G8" s="7"/>
      <c r="H8"/>
      <c r="I8"/>
      <c r="J8"/>
      <c r="K8"/>
      <c r="L8"/>
      <c r="M8"/>
      <c r="N8"/>
      <c r="O8"/>
      <c r="P8"/>
      <c r="Q8"/>
      <c r="R8"/>
      <c r="S8"/>
      <c r="T8"/>
      <c r="U8"/>
      <c r="V8"/>
      <c r="W8"/>
      <c r="X8" s="222"/>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row>
    <row r="9" spans="2:61">
      <c r="B9" s="80" t="s">
        <v>14</v>
      </c>
      <c r="C9" s="81" t="s">
        <v>1151</v>
      </c>
      <c r="D9" s="81"/>
      <c r="E9" s="99"/>
      <c r="F9" s="92"/>
      <c r="G9"/>
      <c r="H9"/>
      <c r="I9"/>
      <c r="J9"/>
      <c r="K9"/>
      <c r="L9"/>
      <c r="M9"/>
      <c r="N9"/>
      <c r="O9"/>
      <c r="P9"/>
      <c r="Q9"/>
      <c r="R9"/>
      <c r="S9"/>
      <c r="T9"/>
      <c r="U9"/>
      <c r="V9"/>
      <c r="W9"/>
      <c r="X9" s="222"/>
    </row>
    <row r="10" spans="2:61" ht="57">
      <c r="B10" s="163" t="s">
        <v>608</v>
      </c>
      <c r="C10" s="5" t="s">
        <v>1131</v>
      </c>
      <c r="D10" s="14" t="s">
        <v>1130</v>
      </c>
      <c r="E10" s="283" t="str">
        <f>IF(Main_Parameters!$C$21=1.62,"06",IF(Main_Parameters!$C$21=2.7,"0A","14"))</f>
        <v>14</v>
      </c>
      <c r="F10" s="396" t="s">
        <v>1132</v>
      </c>
      <c r="G10"/>
      <c r="H10"/>
      <c r="I10"/>
      <c r="J10"/>
      <c r="K10"/>
      <c r="L10"/>
      <c r="M10"/>
      <c r="N10"/>
      <c r="O10"/>
      <c r="P10"/>
      <c r="Q10"/>
      <c r="R10"/>
      <c r="S10"/>
      <c r="T10"/>
      <c r="U10"/>
      <c r="V10"/>
      <c r="W10"/>
      <c r="X10" s="222"/>
    </row>
    <row r="11" spans="2:61" ht="57">
      <c r="B11" s="163" t="s">
        <v>608</v>
      </c>
      <c r="C11" s="5" t="s">
        <v>609</v>
      </c>
      <c r="D11" s="14" t="s">
        <v>610</v>
      </c>
      <c r="E11" s="283" t="str">
        <f>IF(Main_Parameters!$C$22=1,"81",IF(Main_Parameters!$C$22=2,"82","84"))</f>
        <v>82</v>
      </c>
      <c r="F11" s="396" t="s">
        <v>1134</v>
      </c>
      <c r="G11"/>
      <c r="H11"/>
      <c r="I11"/>
      <c r="J11"/>
      <c r="K11"/>
      <c r="L11"/>
      <c r="M11"/>
      <c r="N11"/>
      <c r="O11"/>
      <c r="P11"/>
      <c r="Q11"/>
      <c r="R11"/>
      <c r="S11"/>
      <c r="T11"/>
      <c r="U11"/>
      <c r="V11"/>
      <c r="W11"/>
      <c r="X11" s="222"/>
    </row>
    <row r="12" spans="2:61" s="129" customFormat="1">
      <c r="B12" s="80" t="s">
        <v>14</v>
      </c>
      <c r="C12" s="82" t="s">
        <v>1150</v>
      </c>
      <c r="D12" s="80"/>
      <c r="E12" s="101"/>
      <c r="F12" s="92"/>
      <c r="G12"/>
      <c r="H12"/>
      <c r="I12"/>
      <c r="J12"/>
      <c r="K12"/>
      <c r="L12"/>
      <c r="M12"/>
      <c r="N12"/>
      <c r="O12"/>
      <c r="P12"/>
      <c r="Q12"/>
      <c r="R12"/>
      <c r="S12"/>
      <c r="T12"/>
      <c r="U12"/>
      <c r="V12"/>
      <c r="W12"/>
      <c r="X12" s="222"/>
      <c r="BF12" s="3"/>
      <c r="BG12" s="3"/>
      <c r="BH12" s="3"/>
      <c r="BI12" s="3"/>
    </row>
    <row r="13" spans="2:61">
      <c r="B13" s="16" t="s">
        <v>578</v>
      </c>
      <c r="C13" s="5" t="s">
        <v>598</v>
      </c>
      <c r="D13" s="14" t="s">
        <v>317</v>
      </c>
      <c r="E13" s="283" t="str">
        <f>IF(Main_Parameters!$C$22=1,"07","77")</f>
        <v>77</v>
      </c>
      <c r="F13" s="36" t="s">
        <v>1147</v>
      </c>
      <c r="G13"/>
      <c r="H13"/>
      <c r="I13"/>
      <c r="J13"/>
      <c r="K13"/>
      <c r="L13"/>
      <c r="M13"/>
      <c r="N13"/>
      <c r="O13"/>
      <c r="P13"/>
      <c r="Q13"/>
      <c r="R13"/>
      <c r="S13"/>
      <c r="T13"/>
      <c r="U13"/>
      <c r="V13"/>
      <c r="W13"/>
      <c r="X13" s="222"/>
    </row>
    <row r="14" spans="2:61">
      <c r="B14" s="89" t="str">
        <f>IF(Main_Parameters!$C$22=4,"RD8","REMnd")</f>
        <v>REMnd</v>
      </c>
      <c r="C14" s="5" t="s">
        <v>599</v>
      </c>
      <c r="D14" s="14" t="s">
        <v>593</v>
      </c>
      <c r="E14" s="283" t="str">
        <f>IF(Main_Parameters!$C$22=4,"77","00")</f>
        <v>00</v>
      </c>
      <c r="F14" s="36" t="s">
        <v>1148</v>
      </c>
      <c r="G14"/>
      <c r="H14"/>
      <c r="I14" s="2"/>
    </row>
    <row r="15" spans="2:61" s="129" customFormat="1">
      <c r="B15" s="16" t="s">
        <v>578</v>
      </c>
      <c r="C15" s="5" t="s">
        <v>600</v>
      </c>
      <c r="D15" s="14" t="s">
        <v>318</v>
      </c>
      <c r="E15" s="283" t="s">
        <v>625</v>
      </c>
      <c r="F15" s="36" t="s">
        <v>1149</v>
      </c>
      <c r="G15"/>
      <c r="H15"/>
      <c r="I15" s="2"/>
      <c r="J15" s="3"/>
      <c r="K15" s="3"/>
      <c r="L15" s="3"/>
      <c r="M15" s="3"/>
      <c r="N15" s="3"/>
      <c r="O15" s="3"/>
      <c r="P15" s="3"/>
      <c r="Q15" s="3"/>
      <c r="R15" s="3"/>
      <c r="S15" s="3"/>
      <c r="T15" s="3"/>
      <c r="U15" s="3"/>
      <c r="V15" s="3"/>
      <c r="W15" s="3"/>
      <c r="BF15" s="3"/>
      <c r="BG15" s="3"/>
      <c r="BH15" s="3"/>
      <c r="BI15" s="3"/>
    </row>
    <row r="16" spans="2:61" s="129" customFormat="1" ht="71.25">
      <c r="B16" s="16" t="s">
        <v>578</v>
      </c>
      <c r="C16" s="5" t="s">
        <v>1154</v>
      </c>
      <c r="D16" s="14" t="s">
        <v>1153</v>
      </c>
      <c r="E16" s="83"/>
      <c r="F16" s="397" t="s">
        <v>1155</v>
      </c>
      <c r="G16"/>
      <c r="H16"/>
      <c r="I16" s="2"/>
      <c r="J16" s="3"/>
      <c r="K16" s="3"/>
      <c r="L16" s="3"/>
      <c r="M16" s="3"/>
      <c r="N16" s="3"/>
      <c r="O16" s="3"/>
      <c r="P16" s="3"/>
      <c r="Q16" s="3"/>
      <c r="R16" s="3"/>
      <c r="S16" s="3"/>
      <c r="T16" s="3"/>
      <c r="U16" s="3"/>
      <c r="V16" s="3"/>
      <c r="W16" s="3"/>
      <c r="BF16" s="3"/>
      <c r="BG16" s="3"/>
      <c r="BH16" s="3"/>
      <c r="BI16" s="3"/>
    </row>
    <row r="17" spans="2:61" s="129" customFormat="1" ht="71.25">
      <c r="B17" s="89" t="str">
        <f>IF(Main_Parameters!$C$22=4,"RD8","REMnd")</f>
        <v>REMnd</v>
      </c>
      <c r="C17" s="5" t="s">
        <v>1156</v>
      </c>
      <c r="D17" s="14" t="s">
        <v>1157</v>
      </c>
      <c r="E17" s="83"/>
      <c r="F17" s="397" t="s">
        <v>1158</v>
      </c>
      <c r="G17"/>
      <c r="H17"/>
      <c r="I17" s="2"/>
      <c r="J17" s="3"/>
      <c r="K17" s="3"/>
      <c r="L17" s="3"/>
      <c r="M17" s="3"/>
      <c r="N17" s="3"/>
      <c r="O17" s="3"/>
      <c r="P17" s="3"/>
      <c r="Q17" s="3"/>
      <c r="R17" s="3"/>
      <c r="S17" s="3"/>
      <c r="T17" s="3"/>
      <c r="U17" s="3"/>
      <c r="V17" s="3"/>
      <c r="W17" s="3"/>
      <c r="BF17" s="3"/>
      <c r="BG17" s="3"/>
      <c r="BH17" s="3"/>
      <c r="BI17" s="3"/>
    </row>
    <row r="18" spans="2:61" s="129" customFormat="1">
      <c r="B18" s="80" t="s">
        <v>14</v>
      </c>
      <c r="C18" s="82" t="s">
        <v>1152</v>
      </c>
      <c r="D18" s="80"/>
      <c r="E18" s="101"/>
      <c r="F18" s="92"/>
      <c r="G18"/>
      <c r="H18"/>
      <c r="I18"/>
      <c r="J18"/>
      <c r="K18"/>
      <c r="L18"/>
      <c r="M18"/>
      <c r="N18"/>
      <c r="O18"/>
      <c r="P18"/>
      <c r="Q18"/>
      <c r="R18"/>
      <c r="S18"/>
      <c r="T18"/>
      <c r="U18"/>
      <c r="V18"/>
      <c r="W18"/>
      <c r="X18" s="222"/>
      <c r="BF18" s="3"/>
      <c r="BG18" s="3"/>
      <c r="BH18" s="3"/>
      <c r="BI18" s="3"/>
    </row>
    <row r="19" spans="2:61" ht="99.75">
      <c r="B19" s="16" t="s">
        <v>578</v>
      </c>
      <c r="C19" s="5" t="s">
        <v>1136</v>
      </c>
      <c r="D19" s="14" t="s">
        <v>1135</v>
      </c>
      <c r="E19" s="83"/>
      <c r="F19" s="397" t="s">
        <v>1143</v>
      </c>
      <c r="G19"/>
      <c r="H19"/>
      <c r="I19"/>
      <c r="J19"/>
      <c r="K19"/>
      <c r="L19"/>
      <c r="M19"/>
      <c r="N19"/>
      <c r="O19"/>
      <c r="P19"/>
      <c r="Q19"/>
      <c r="R19"/>
      <c r="S19"/>
      <c r="T19"/>
      <c r="U19"/>
      <c r="V19"/>
      <c r="W19"/>
      <c r="X19" s="222"/>
    </row>
    <row r="20" spans="2:61" ht="99.75">
      <c r="B20" s="89" t="str">
        <f>IF(OR(Main_Parameters!$C$22=2,Main_Parameters!$C$22=4),"RD8","REMnd")</f>
        <v>RD8</v>
      </c>
      <c r="C20" s="5" t="s">
        <v>1137</v>
      </c>
      <c r="D20" s="14" t="s">
        <v>1139</v>
      </c>
      <c r="E20" s="83"/>
      <c r="F20" s="397" t="s">
        <v>1144</v>
      </c>
      <c r="G20"/>
      <c r="H20"/>
      <c r="I20" s="2"/>
    </row>
    <row r="21" spans="2:61" s="129" customFormat="1" ht="99.75">
      <c r="B21" s="89" t="str">
        <f>IF(Main_Parameters!$C$22=4,"RD8","REMnd")</f>
        <v>REMnd</v>
      </c>
      <c r="C21" s="5" t="s">
        <v>1138</v>
      </c>
      <c r="D21" s="14" t="s">
        <v>1140</v>
      </c>
      <c r="E21" s="83"/>
      <c r="F21" s="397" t="s">
        <v>1145</v>
      </c>
      <c r="G21"/>
      <c r="H21"/>
      <c r="I21" s="2"/>
      <c r="J21" s="3"/>
      <c r="K21" s="3"/>
      <c r="L21" s="3"/>
      <c r="M21" s="3"/>
      <c r="N21" s="3"/>
      <c r="O21" s="3"/>
      <c r="P21" s="3"/>
      <c r="Q21" s="3"/>
      <c r="R21" s="3"/>
      <c r="S21" s="3"/>
      <c r="T21" s="3"/>
      <c r="U21" s="3"/>
      <c r="V21" s="3"/>
      <c r="W21" s="3"/>
      <c r="BF21" s="3"/>
      <c r="BG21" s="3"/>
      <c r="BH21" s="3"/>
      <c r="BI21" s="3"/>
    </row>
    <row r="22" spans="2:61" s="129" customFormat="1" ht="99.75">
      <c r="B22" s="89" t="str">
        <f>IF(Main_Parameters!$C$22=4,"RD8","REMnd")</f>
        <v>REMnd</v>
      </c>
      <c r="C22" s="5" t="s">
        <v>1141</v>
      </c>
      <c r="D22" s="14" t="s">
        <v>1142</v>
      </c>
      <c r="E22" s="83"/>
      <c r="F22" s="397" t="s">
        <v>1146</v>
      </c>
      <c r="G22"/>
      <c r="H22"/>
      <c r="I22" s="2"/>
      <c r="J22" s="3"/>
      <c r="K22" s="3"/>
      <c r="L22" s="3"/>
      <c r="M22" s="3"/>
      <c r="N22" s="3"/>
      <c r="O22" s="3"/>
      <c r="P22" s="3"/>
      <c r="Q22" s="3"/>
      <c r="R22" s="3"/>
      <c r="S22" s="3"/>
      <c r="T22" s="3"/>
      <c r="U22" s="3"/>
      <c r="V22" s="3"/>
      <c r="W22" s="3"/>
      <c r="BF22" s="3"/>
      <c r="BG22" s="3"/>
      <c r="BH22" s="3"/>
      <c r="BI22" s="3"/>
    </row>
    <row r="23" spans="2:61" s="129" customFormat="1">
      <c r="B23" s="80" t="s">
        <v>14</v>
      </c>
      <c r="C23" s="82" t="s">
        <v>1096</v>
      </c>
      <c r="D23" s="80"/>
      <c r="E23" s="101"/>
      <c r="F23" s="92"/>
      <c r="G23"/>
      <c r="H23"/>
      <c r="I23" s="2"/>
      <c r="J23" s="3"/>
      <c r="K23" s="3"/>
      <c r="L23" s="3"/>
      <c r="M23" s="3"/>
      <c r="N23" s="3"/>
      <c r="O23" s="3"/>
      <c r="P23" s="3"/>
      <c r="Q23" s="3"/>
      <c r="R23" s="3"/>
      <c r="S23" s="3"/>
      <c r="T23" s="3"/>
      <c r="U23" s="3"/>
      <c r="V23" s="3"/>
      <c r="W23" s="3"/>
      <c r="BF23" s="3"/>
      <c r="BG23" s="3"/>
      <c r="BH23" s="3"/>
      <c r="BI23" s="3"/>
    </row>
    <row r="24" spans="2:61" s="129" customFormat="1" ht="15">
      <c r="B24" s="16" t="s">
        <v>1081</v>
      </c>
      <c r="C24" s="5" t="s">
        <v>1082</v>
      </c>
      <c r="D24" s="14" t="s">
        <v>1079</v>
      </c>
      <c r="E24" s="393" t="s">
        <v>1097</v>
      </c>
      <c r="F24" s="36" t="s">
        <v>1117</v>
      </c>
      <c r="G24"/>
      <c r="H24" s="355" t="s">
        <v>1098</v>
      </c>
      <c r="I24" s="394">
        <f>HEX2DEC(E24)</f>
        <v>3920</v>
      </c>
      <c r="J24" s="3"/>
      <c r="K24" s="3"/>
      <c r="L24" s="3"/>
      <c r="M24" s="3"/>
      <c r="N24" s="3"/>
      <c r="O24" s="3"/>
      <c r="P24" s="3"/>
      <c r="Q24" s="3"/>
      <c r="R24" s="3"/>
      <c r="S24" s="3"/>
      <c r="T24" s="3"/>
      <c r="U24" s="3"/>
      <c r="V24" s="3"/>
      <c r="W24" s="3"/>
      <c r="BF24" s="3"/>
      <c r="BG24" s="3"/>
      <c r="BH24" s="3"/>
      <c r="BI24" s="3"/>
    </row>
    <row r="25" spans="2:61" s="129" customFormat="1" ht="15">
      <c r="B25" s="16" t="s">
        <v>1078</v>
      </c>
      <c r="C25" s="5" t="s">
        <v>1083</v>
      </c>
      <c r="D25" s="14" t="s">
        <v>1080</v>
      </c>
      <c r="E25" s="393" t="s">
        <v>1100</v>
      </c>
      <c r="F25" s="36" t="s">
        <v>1118</v>
      </c>
      <c r="G25"/>
      <c r="H25" s="355" t="s">
        <v>1099</v>
      </c>
      <c r="I25" s="394">
        <f>HEX2DEC(E25)</f>
        <v>2176</v>
      </c>
      <c r="J25" s="3"/>
      <c r="K25" s="3"/>
      <c r="L25" s="3"/>
      <c r="M25" s="3"/>
      <c r="N25" s="3"/>
      <c r="O25" s="3"/>
      <c r="P25" s="3"/>
      <c r="Q25" s="3"/>
      <c r="R25" s="3"/>
      <c r="S25" s="3"/>
      <c r="T25" s="3"/>
      <c r="U25" s="3"/>
      <c r="V25" s="3"/>
      <c r="W25" s="3"/>
      <c r="BF25" s="3"/>
      <c r="BG25" s="3"/>
      <c r="BH25" s="3"/>
      <c r="BI25" s="3"/>
    </row>
    <row r="26" spans="2:61" s="129" customFormat="1" ht="15">
      <c r="B26" s="16" t="s">
        <v>1078</v>
      </c>
      <c r="C26" s="5" t="s">
        <v>1086</v>
      </c>
      <c r="D26" s="14" t="s">
        <v>1084</v>
      </c>
      <c r="E26" s="393" t="s">
        <v>1115</v>
      </c>
      <c r="F26" s="36" t="s">
        <v>1119</v>
      </c>
      <c r="G26"/>
      <c r="H26" s="355" t="s">
        <v>1105</v>
      </c>
      <c r="I26" s="394">
        <f>IF(HEX2DEC(E26)&gt;=32768,HEX2DEC(E26)-32768,HEX2DEC(E26))</f>
        <v>32</v>
      </c>
      <c r="J26" s="355" t="s">
        <v>1111</v>
      </c>
      <c r="K26" s="394">
        <f>I27-I26</f>
        <v>40</v>
      </c>
      <c r="L26" s="355" t="s">
        <v>1112</v>
      </c>
      <c r="M26" s="394">
        <f>I24-I27-I30</f>
        <v>8</v>
      </c>
      <c r="N26" s="3"/>
      <c r="O26" s="3"/>
      <c r="P26" s="3"/>
      <c r="Q26" s="3"/>
      <c r="R26" s="3"/>
      <c r="S26" s="3"/>
      <c r="T26" s="3"/>
      <c r="U26" s="3"/>
      <c r="V26" s="3"/>
      <c r="W26" s="3"/>
      <c r="BF26" s="3"/>
      <c r="BG26" s="3"/>
      <c r="BH26" s="3"/>
      <c r="BI26" s="3"/>
    </row>
    <row r="27" spans="2:61" s="129" customFormat="1" ht="15">
      <c r="B27" s="16" t="s">
        <v>1078</v>
      </c>
      <c r="C27" s="5" t="s">
        <v>1087</v>
      </c>
      <c r="D27" s="14" t="s">
        <v>1085</v>
      </c>
      <c r="E27" s="393" t="s">
        <v>1101</v>
      </c>
      <c r="F27" s="36" t="s">
        <v>1120</v>
      </c>
      <c r="G27"/>
      <c r="H27" s="355" t="s">
        <v>1106</v>
      </c>
      <c r="I27" s="394">
        <f>HEX2DEC(E27)</f>
        <v>72</v>
      </c>
      <c r="J27" s="3"/>
      <c r="K27" s="3"/>
      <c r="L27" s="3"/>
      <c r="M27" s="3"/>
      <c r="N27" s="3"/>
      <c r="O27" s="3"/>
      <c r="P27" s="3"/>
      <c r="Q27" s="3"/>
      <c r="R27" s="3"/>
      <c r="S27" s="3"/>
      <c r="T27" s="3"/>
      <c r="U27" s="3"/>
      <c r="V27" s="3"/>
      <c r="W27" s="3"/>
      <c r="BF27" s="3"/>
      <c r="BG27" s="3"/>
      <c r="BH27" s="3"/>
      <c r="BI27" s="3"/>
    </row>
    <row r="28" spans="2:61" s="129" customFormat="1" ht="15">
      <c r="B28" s="16" t="s">
        <v>1081</v>
      </c>
      <c r="C28" s="5" t="s">
        <v>1090</v>
      </c>
      <c r="D28" s="14" t="s">
        <v>1088</v>
      </c>
      <c r="E28" s="393" t="s">
        <v>1102</v>
      </c>
      <c r="F28" s="36" t="s">
        <v>1121</v>
      </c>
      <c r="G28"/>
      <c r="H28" s="355" t="s">
        <v>1107</v>
      </c>
      <c r="I28" s="394">
        <f>HEX2DEC(E28)</f>
        <v>8</v>
      </c>
      <c r="J28" s="3"/>
      <c r="K28" s="3"/>
      <c r="L28" s="3"/>
      <c r="M28" s="3"/>
      <c r="N28" s="3"/>
      <c r="O28" s="3"/>
      <c r="P28" s="3"/>
      <c r="Q28" s="3"/>
      <c r="R28" s="3"/>
      <c r="S28" s="3"/>
      <c r="T28" s="3"/>
      <c r="U28" s="3"/>
      <c r="V28" s="3"/>
      <c r="W28" s="3"/>
      <c r="BF28" s="3"/>
      <c r="BG28" s="3"/>
      <c r="BH28" s="3"/>
      <c r="BI28" s="3"/>
    </row>
    <row r="29" spans="2:61" s="129" customFormat="1" ht="15">
      <c r="B29" s="16" t="s">
        <v>1078</v>
      </c>
      <c r="C29" s="5" t="s">
        <v>1091</v>
      </c>
      <c r="D29" s="14" t="s">
        <v>1089</v>
      </c>
      <c r="E29" s="393" t="s">
        <v>1116</v>
      </c>
      <c r="F29" s="36" t="s">
        <v>1122</v>
      </c>
      <c r="G29"/>
      <c r="H29" s="355" t="s">
        <v>1108</v>
      </c>
      <c r="I29" s="394">
        <f>IF(HEX2DEC(E29)&gt;=32768,HEX2DEC(E29)-32768,HEX2DEC(E29))</f>
        <v>2</v>
      </c>
      <c r="J29" s="355" t="s">
        <v>1113</v>
      </c>
      <c r="K29" s="394">
        <f>I28-I29</f>
        <v>6</v>
      </c>
      <c r="L29" s="355" t="s">
        <v>1114</v>
      </c>
      <c r="M29" s="394">
        <f>I25-I28-I31</f>
        <v>8</v>
      </c>
      <c r="N29" s="3"/>
      <c r="O29" s="3"/>
      <c r="P29" s="3"/>
      <c r="Q29" s="3"/>
      <c r="R29" s="3"/>
      <c r="S29" s="3"/>
      <c r="T29" s="3"/>
      <c r="U29" s="3"/>
      <c r="V29" s="3"/>
      <c r="W29" s="3"/>
      <c r="BF29" s="3"/>
      <c r="BG29" s="3"/>
      <c r="BH29" s="3"/>
      <c r="BI29" s="3"/>
    </row>
    <row r="30" spans="2:61" s="129" customFormat="1" ht="15">
      <c r="B30" s="16" t="s">
        <v>1081</v>
      </c>
      <c r="C30" s="5" t="s">
        <v>1094</v>
      </c>
      <c r="D30" s="14" t="s">
        <v>1092</v>
      </c>
      <c r="E30" s="393" t="s">
        <v>1103</v>
      </c>
      <c r="F30" s="36" t="s">
        <v>1123</v>
      </c>
      <c r="G30"/>
      <c r="H30" s="355" t="s">
        <v>1109</v>
      </c>
      <c r="I30" s="394">
        <f>HEX2DEC(E30)</f>
        <v>3840</v>
      </c>
      <c r="J30" s="3"/>
      <c r="K30" s="3"/>
      <c r="L30" s="3"/>
      <c r="M30" s="3"/>
      <c r="N30" s="3"/>
      <c r="O30" s="3"/>
      <c r="P30" s="3"/>
      <c r="Q30" s="3"/>
      <c r="R30" s="3"/>
      <c r="S30" s="3"/>
      <c r="T30" s="3"/>
      <c r="U30" s="3"/>
      <c r="V30" s="3"/>
      <c r="W30" s="3"/>
      <c r="BF30" s="3"/>
      <c r="BG30" s="3"/>
      <c r="BH30" s="3"/>
      <c r="BI30" s="3"/>
    </row>
    <row r="31" spans="2:61" s="129" customFormat="1" ht="15">
      <c r="B31" s="16" t="s">
        <v>1078</v>
      </c>
      <c r="C31" s="5" t="s">
        <v>1095</v>
      </c>
      <c r="D31" s="14" t="s">
        <v>1093</v>
      </c>
      <c r="E31" s="393" t="s">
        <v>1104</v>
      </c>
      <c r="F31" s="36" t="s">
        <v>1124</v>
      </c>
      <c r="G31"/>
      <c r="H31" s="355" t="s">
        <v>1110</v>
      </c>
      <c r="I31" s="394">
        <f>HEX2DEC(E31)</f>
        <v>2160</v>
      </c>
      <c r="J31" s="3"/>
      <c r="K31" s="3"/>
      <c r="L31" s="3"/>
      <c r="M31" s="3"/>
      <c r="N31" s="3"/>
      <c r="O31" s="3"/>
      <c r="P31" s="3"/>
      <c r="Q31" s="3"/>
      <c r="R31" s="3"/>
      <c r="S31" s="3"/>
      <c r="T31" s="3"/>
      <c r="U31" s="3"/>
      <c r="V31" s="3"/>
      <c r="W31" s="3"/>
      <c r="BF31" s="3"/>
      <c r="BG31" s="3"/>
      <c r="BH31" s="3"/>
      <c r="BI31" s="3"/>
    </row>
    <row r="32" spans="2:61" s="129" customFormat="1">
      <c r="B32" s="80" t="s">
        <v>14</v>
      </c>
      <c r="C32" s="82" t="s">
        <v>1493</v>
      </c>
      <c r="D32" s="80"/>
      <c r="E32" s="101"/>
      <c r="F32" s="92"/>
      <c r="G32"/>
      <c r="H32"/>
      <c r="I32"/>
      <c r="J32"/>
      <c r="K32"/>
      <c r="L32"/>
      <c r="M32"/>
      <c r="N32"/>
      <c r="O32"/>
      <c r="P32"/>
      <c r="Q32"/>
      <c r="R32"/>
      <c r="S32"/>
      <c r="T32"/>
      <c r="U32"/>
      <c r="V32"/>
      <c r="W32"/>
      <c r="X32" s="222"/>
      <c r="BF32" s="3"/>
      <c r="BG32" s="3"/>
      <c r="BH32" s="3"/>
      <c r="BI32" s="3"/>
    </row>
    <row r="33" spans="2:61" s="129" customFormat="1" ht="15">
      <c r="B33" s="16" t="s">
        <v>1078</v>
      </c>
      <c r="C33" s="5" t="s">
        <v>1497</v>
      </c>
      <c r="D33" s="14" t="s">
        <v>1496</v>
      </c>
      <c r="E33" s="393" t="s">
        <v>1501</v>
      </c>
      <c r="F33" s="36" t="s">
        <v>1495</v>
      </c>
      <c r="G33"/>
      <c r="H33" s="355" t="s">
        <v>1494</v>
      </c>
      <c r="I33" s="89" t="str">
        <f>IF(BB33="00","RGB",IF(BB33="01","YCbCr422",IF(BB33="10","YCbCr444","N/A")))</f>
        <v>RGB</v>
      </c>
      <c r="J33" s="355" t="s">
        <v>1498</v>
      </c>
      <c r="K33" s="89" t="str">
        <f>IF(BD33="000","6bit",IF(BD33="001","8bit",IF(BD33="010","10bit",IF(BD33="011","12bit",IF(BD33="100","16bit","N/A")))))</f>
        <v>8bit</v>
      </c>
      <c r="L33" s="3"/>
      <c r="M33" s="3"/>
      <c r="N33" s="3"/>
      <c r="O33" s="3"/>
      <c r="P33" s="3"/>
      <c r="Q33" s="3"/>
      <c r="R33" s="3"/>
      <c r="S33" s="3"/>
      <c r="T33" s="3"/>
      <c r="U33" s="3"/>
      <c r="V33" s="3"/>
      <c r="W33" s="3"/>
      <c r="BA33" s="436" t="s">
        <v>1499</v>
      </c>
      <c r="BB33" s="435" t="str">
        <f>MID(HEX2BIN(RIGHT(E33,2),8),6,2)</f>
        <v>00</v>
      </c>
      <c r="BC33" s="436" t="s">
        <v>1500</v>
      </c>
      <c r="BD33" s="435" t="str">
        <f>MID(HEX2BIN(RIGHT(E33,2),8),1,3)</f>
        <v>001</v>
      </c>
      <c r="BF33" s="3"/>
      <c r="BG33" s="3"/>
      <c r="BH33" s="3"/>
      <c r="BI33" s="3"/>
    </row>
    <row r="34" spans="2:61" s="129" customFormat="1">
      <c r="B34" s="80" t="s">
        <v>14</v>
      </c>
      <c r="C34" s="82" t="s">
        <v>996</v>
      </c>
      <c r="D34" s="80"/>
      <c r="E34" s="101"/>
      <c r="F34" s="92"/>
      <c r="G34"/>
      <c r="H34"/>
      <c r="I34"/>
      <c r="J34"/>
      <c r="K34"/>
      <c r="L34"/>
      <c r="M34"/>
      <c r="N34"/>
      <c r="O34"/>
      <c r="P34"/>
      <c r="Q34"/>
      <c r="R34"/>
      <c r="S34"/>
      <c r="T34"/>
      <c r="U34"/>
      <c r="V34"/>
      <c r="W34"/>
      <c r="X34" s="222"/>
      <c r="BF34" s="3"/>
      <c r="BG34" s="3"/>
      <c r="BH34" s="3"/>
      <c r="BI34" s="3"/>
    </row>
    <row r="35" spans="2:61" s="129" customFormat="1">
      <c r="B35" s="16" t="s">
        <v>290</v>
      </c>
      <c r="C35" s="5" t="s">
        <v>612</v>
      </c>
      <c r="D35" s="14" t="s">
        <v>613</v>
      </c>
      <c r="E35" s="83" t="s">
        <v>614</v>
      </c>
      <c r="F35" s="36" t="s">
        <v>615</v>
      </c>
      <c r="G35"/>
      <c r="H35"/>
      <c r="I35" s="2"/>
      <c r="J35" s="3"/>
      <c r="K35" s="3"/>
      <c r="L35" s="3"/>
      <c r="M35" s="3"/>
      <c r="N35" s="3"/>
      <c r="O35" s="3"/>
      <c r="P35" s="3"/>
      <c r="Q35" s="3"/>
      <c r="R35" s="3"/>
      <c r="S35" s="3"/>
      <c r="T35" s="3"/>
      <c r="U35" s="3"/>
      <c r="V35" s="3"/>
      <c r="W35" s="3"/>
      <c r="BF35" s="3"/>
      <c r="BG35" s="3"/>
      <c r="BH35" s="3"/>
      <c r="BI35" s="3"/>
    </row>
    <row r="36" spans="2:61" s="129" customFormat="1">
      <c r="B36" s="16" t="s">
        <v>290</v>
      </c>
      <c r="C36" s="5" t="s">
        <v>619</v>
      </c>
      <c r="D36" s="14" t="s">
        <v>616</v>
      </c>
      <c r="E36" s="83" t="s">
        <v>617</v>
      </c>
      <c r="F36" s="36" t="s">
        <v>618</v>
      </c>
      <c r="G36"/>
      <c r="H36"/>
      <c r="I36" s="2"/>
      <c r="J36" s="3"/>
      <c r="K36" s="3"/>
      <c r="L36" s="3"/>
      <c r="M36" s="3"/>
      <c r="N36" s="3"/>
      <c r="O36" s="3"/>
      <c r="P36" s="3"/>
      <c r="Q36" s="3"/>
      <c r="R36" s="3"/>
      <c r="S36" s="3"/>
      <c r="T36" s="3"/>
      <c r="U36" s="3"/>
      <c r="V36" s="3"/>
      <c r="W36" s="3"/>
      <c r="BF36" s="3"/>
      <c r="BG36" s="3"/>
      <c r="BH36" s="3"/>
      <c r="BI36" s="3"/>
    </row>
    <row r="37" spans="2:61" s="129" customFormat="1" ht="15">
      <c r="B37" s="80" t="s">
        <v>14</v>
      </c>
      <c r="C37" s="82" t="s">
        <v>970</v>
      </c>
      <c r="D37" s="80"/>
      <c r="E37" s="101"/>
      <c r="F37" s="92"/>
      <c r="G37"/>
      <c r="H37" s="355" t="s">
        <v>901</v>
      </c>
      <c r="I37" s="355" t="s">
        <v>902</v>
      </c>
      <c r="J37" s="355" t="s">
        <v>903</v>
      </c>
      <c r="K37" s="355" t="s">
        <v>904</v>
      </c>
      <c r="L37"/>
      <c r="M37"/>
      <c r="N37"/>
      <c r="O37"/>
      <c r="P37"/>
      <c r="Q37"/>
      <c r="R37"/>
      <c r="S37"/>
      <c r="T37"/>
      <c r="U37"/>
      <c r="V37"/>
      <c r="W37"/>
      <c r="X37" s="222"/>
      <c r="BA37" s="234"/>
      <c r="BB37" s="234" t="s">
        <v>901</v>
      </c>
      <c r="BC37" s="234" t="s">
        <v>902</v>
      </c>
      <c r="BD37" s="234" t="s">
        <v>903</v>
      </c>
      <c r="BE37" s="234" t="s">
        <v>911</v>
      </c>
      <c r="BF37" s="3"/>
      <c r="BG37" s="3"/>
      <c r="BH37" s="3"/>
      <c r="BI37" s="3"/>
    </row>
    <row r="38" spans="2:61" s="129" customFormat="1" ht="15">
      <c r="B38" s="89" t="str">
        <f>IF(AND(H38="GPIO",I38="GPIO"),"REMnd","WR32")</f>
        <v>REMnd</v>
      </c>
      <c r="C38" s="5" t="s">
        <v>950</v>
      </c>
      <c r="D38" s="14" t="s">
        <v>906</v>
      </c>
      <c r="E38" s="83" t="str">
        <f>DEC2HEX(BC39*2^16+BB39,8)</f>
        <v>00000000</v>
      </c>
      <c r="F38" s="36"/>
      <c r="G38"/>
      <c r="H38" s="6" t="s">
        <v>905</v>
      </c>
      <c r="I38" s="6" t="s">
        <v>905</v>
      </c>
      <c r="J38" s="6" t="s">
        <v>905</v>
      </c>
      <c r="K38" s="6" t="s">
        <v>385</v>
      </c>
      <c r="L38" s="3"/>
      <c r="M38" s="3"/>
      <c r="N38" s="3"/>
      <c r="O38" s="3"/>
      <c r="P38" s="3"/>
      <c r="Q38" s="3"/>
      <c r="R38" s="3"/>
      <c r="S38" s="3"/>
      <c r="T38" s="3"/>
      <c r="U38" s="3"/>
      <c r="V38" s="3"/>
      <c r="W38" s="3"/>
      <c r="BA38" s="234" t="s">
        <v>909</v>
      </c>
      <c r="BB38" s="434">
        <f>IF(H38="GPIO",0,4)</f>
        <v>0</v>
      </c>
      <c r="BC38" s="434">
        <f>IF(I38="GPIO",0,4)</f>
        <v>0</v>
      </c>
      <c r="BD38" s="434">
        <f>IF(J38="GPIO",0,4)</f>
        <v>0</v>
      </c>
      <c r="BE38" s="434">
        <f>IF(K38="GPIO",0,4)</f>
        <v>4</v>
      </c>
      <c r="BF38" s="3"/>
      <c r="BG38" s="3"/>
      <c r="BH38" s="3"/>
      <c r="BI38" s="3"/>
    </row>
    <row r="39" spans="2:61" s="129" customFormat="1">
      <c r="B39" s="89" t="str">
        <f>IF(AND(J38="GPIO",K38="GPIO"),"REMnd","WR32")</f>
        <v>WR32</v>
      </c>
      <c r="C39" s="5" t="s">
        <v>951</v>
      </c>
      <c r="D39" s="14" t="s">
        <v>907</v>
      </c>
      <c r="E39" s="83" t="str">
        <f>DEC2HEX(BE39*2^16+BD39,8)</f>
        <v>016A0000</v>
      </c>
      <c r="F39" s="36"/>
      <c r="G39"/>
      <c r="H39"/>
      <c r="I39" s="2"/>
      <c r="J39" s="3"/>
      <c r="K39" s="3"/>
      <c r="L39" s="3"/>
      <c r="M39" s="3"/>
      <c r="N39" s="3"/>
      <c r="O39" s="3"/>
      <c r="P39" s="3"/>
      <c r="Q39" s="3"/>
      <c r="R39" s="3"/>
      <c r="S39" s="3"/>
      <c r="T39" s="3"/>
      <c r="U39" s="3"/>
      <c r="V39" s="3"/>
      <c r="W39" s="3"/>
      <c r="BA39" s="234" t="s">
        <v>910</v>
      </c>
      <c r="BB39" s="434">
        <f>IF(H38="VSYNC",362,IF(H38="HSYNC",361,IF(H38="DE1",372,IF(H38="DE2",373,0))))</f>
        <v>0</v>
      </c>
      <c r="BC39" s="434">
        <f>IF(I38="VSYNC",362,IF(I38="HSYNC",361,IF(I38="DE1",372,IF(I38="DE2",373,0))))</f>
        <v>0</v>
      </c>
      <c r="BD39" s="434">
        <f>IF(J38="VSYNC",362,IF(J38="HSYNC",361,IF(J38="DE1",372,IF(J38="DE2",373,0))))</f>
        <v>0</v>
      </c>
      <c r="BE39" s="434">
        <f>IF(K38="VSYNC",362,IF(K38="HSYNC",361,IF(K38="DE1",372,IF(K38="DE2",373,0))))</f>
        <v>362</v>
      </c>
      <c r="BF39" s="3"/>
      <c r="BG39" s="3"/>
      <c r="BH39" s="3"/>
      <c r="BI39" s="3"/>
    </row>
    <row r="40" spans="2:61" s="129" customFormat="1">
      <c r="B40" s="16" t="s">
        <v>290</v>
      </c>
      <c r="C40" s="5" t="s">
        <v>948</v>
      </c>
      <c r="D40" s="14" t="s">
        <v>908</v>
      </c>
      <c r="E40" s="83" t="str">
        <f>DEC2HEX(BE38*2^12+BD38*2^8+BC38*2^4+BB38,8)</f>
        <v>00004000</v>
      </c>
      <c r="F40" s="36"/>
      <c r="G40"/>
      <c r="H40"/>
      <c r="I40" s="2"/>
      <c r="J40" s="3"/>
      <c r="K40" s="3"/>
      <c r="L40" s="3"/>
      <c r="M40" s="3"/>
      <c r="N40" s="3"/>
      <c r="O40" s="3"/>
      <c r="P40" s="3"/>
      <c r="Q40" s="3"/>
      <c r="R40" s="3"/>
      <c r="S40" s="3"/>
      <c r="T40" s="3"/>
      <c r="U40" s="3"/>
      <c r="V40" s="3"/>
      <c r="W40" s="3"/>
      <c r="BF40" s="3"/>
      <c r="BG40" s="3"/>
      <c r="BH40" s="3"/>
      <c r="BI40" s="3"/>
    </row>
    <row r="41" spans="2:61" s="129" customFormat="1">
      <c r="B41" s="16" t="s">
        <v>15</v>
      </c>
      <c r="C41" s="5"/>
      <c r="D41" s="14"/>
      <c r="E41" s="102"/>
      <c r="F41" s="36"/>
      <c r="G41"/>
      <c r="H41" s="3"/>
      <c r="I41" s="3"/>
      <c r="J41" s="3"/>
      <c r="K41" s="3"/>
      <c r="L41" s="3"/>
      <c r="M41" s="3"/>
      <c r="N41" s="3"/>
      <c r="O41" s="3"/>
      <c r="P41" s="3"/>
      <c r="Q41" s="3"/>
      <c r="R41" s="3"/>
      <c r="S41" s="3"/>
      <c r="T41" s="3"/>
      <c r="U41" s="3"/>
      <c r="V41" s="3"/>
      <c r="W41" s="3"/>
      <c r="BF41" s="3"/>
      <c r="BG41" s="3"/>
      <c r="BH41" s="3"/>
      <c r="BI41" s="3"/>
    </row>
    <row r="42" spans="2:61" s="129" customFormat="1">
      <c r="B42"/>
      <c r="C42" s="3"/>
      <c r="D42" s="3"/>
      <c r="E42" s="95"/>
      <c r="F42" s="3"/>
      <c r="G42" s="3"/>
      <c r="H42" s="3"/>
      <c r="I42" s="3"/>
      <c r="J42" s="3"/>
      <c r="K42" s="3"/>
      <c r="L42" s="3"/>
      <c r="M42" s="3"/>
      <c r="N42" s="3"/>
      <c r="O42" s="3"/>
      <c r="P42" s="3"/>
      <c r="Q42" s="3"/>
      <c r="R42" s="3"/>
      <c r="S42" s="3"/>
      <c r="T42" s="3"/>
      <c r="U42" s="3"/>
      <c r="V42" s="3"/>
      <c r="W42" s="3"/>
      <c r="BF42" s="3"/>
      <c r="BG42" s="3"/>
      <c r="BH42" s="3"/>
      <c r="BI42" s="3"/>
    </row>
  </sheetData>
  <sheetProtection algorithmName="SHA-512" hashValue="cCzqeL1Rqz10LnS4HIx2FFF7I8M6YXiAOCXQazoboTSmaYOXd9nWkLFWp1EdzpYCRywbyRjHq05k42Axb2o0+g==" saltValue="BIXb7HEPxKqsj5lJG6GAtA==" spinCount="100000" sheet="1" objects="1" scenarios="1"/>
  <phoneticPr fontId="39"/>
  <dataValidations disablePrompts="1" count="1">
    <dataValidation type="list" allowBlank="1" showInputMessage="1" showErrorMessage="1" sqref="H38:K38">
      <formula1>"VSYNC,HSYNC,DE1,DE2,GPIO"</formula1>
    </dataValidation>
  </dataValidations>
  <pageMargins left="0.75" right="0.75" top="1" bottom="1" header="0.5" footer="0.5"/>
  <pageSetup paperSize="9" orientation="portrait" verticalDpi="0" r:id="rId1"/>
</worksheet>
</file>

<file path=xl/worksheets/sheet10.xml><?xml version="1.0" encoding="utf-8"?>
<worksheet xmlns="http://schemas.openxmlformats.org/spreadsheetml/2006/main" xmlns:r="http://schemas.openxmlformats.org/officeDocument/2006/relationships">
  <sheetPr codeName="Sheet8">
    <tabColor indexed="12"/>
    <pageSetUpPr autoPageBreaks="0"/>
  </sheetPr>
  <dimension ref="A1:H562"/>
  <sheetViews>
    <sheetView showGridLines="0" tabSelected="1" topLeftCell="A148" workbookViewId="0">
      <selection sqref="A1:A1048576"/>
    </sheetView>
  </sheetViews>
  <sheetFormatPr defaultColWidth="9" defaultRowHeight="14.25"/>
  <cols>
    <col min="1" max="1" width="6.375" style="3" customWidth="1"/>
    <col min="2" max="2" width="11.375" style="3" bestFit="1" customWidth="1"/>
    <col min="3" max="3" width="6.75" style="231" customWidth="1"/>
    <col min="4" max="4" width="7.375" style="3" customWidth="1"/>
    <col min="5" max="8" width="9.125" customWidth="1"/>
    <col min="9" max="16384" width="9" style="3"/>
  </cols>
  <sheetData>
    <row r="1" spans="1:4">
      <c r="A1" s="3" t="s">
        <v>1662</v>
      </c>
    </row>
    <row r="2" spans="1:4">
      <c r="A2" s="3" t="s">
        <v>1821</v>
      </c>
      <c r="C2" s="291"/>
      <c r="D2" s="290"/>
    </row>
    <row r="3" spans="1:4">
      <c r="A3" s="3" t="s">
        <v>1663</v>
      </c>
      <c r="B3"/>
      <c r="C3" s="291"/>
      <c r="D3" s="290"/>
    </row>
    <row r="4" spans="1:4">
      <c r="C4" s="291"/>
      <c r="D4" s="290"/>
    </row>
    <row r="5" spans="1:4">
      <c r="A5" s="3" t="s">
        <v>1664</v>
      </c>
      <c r="C5" s="291"/>
      <c r="D5" s="290"/>
    </row>
    <row r="6" spans="1:4">
      <c r="A6" s="3" t="s">
        <v>1665</v>
      </c>
      <c r="C6" s="291"/>
      <c r="D6" s="290"/>
    </row>
    <row r="7" spans="1:4">
      <c r="A7" s="3" t="s">
        <v>1666</v>
      </c>
      <c r="C7" s="291"/>
      <c r="D7" s="290"/>
    </row>
    <row r="8" spans="1:4">
      <c r="A8" s="3" t="s">
        <v>1667</v>
      </c>
      <c r="C8" s="291"/>
      <c r="D8" s="290"/>
    </row>
    <row r="9" spans="1:4">
      <c r="A9" s="3" t="s">
        <v>1668</v>
      </c>
      <c r="C9" s="291"/>
      <c r="D9" s="290"/>
    </row>
    <row r="10" spans="1:4">
      <c r="A10" s="3" t="s">
        <v>1807</v>
      </c>
      <c r="C10" s="291"/>
      <c r="D10" s="290"/>
    </row>
    <row r="11" spans="1:4">
      <c r="A11" s="3" t="s">
        <v>1808</v>
      </c>
      <c r="C11" s="291"/>
      <c r="D11" s="290"/>
    </row>
    <row r="12" spans="1:4">
      <c r="A12" s="3" t="s">
        <v>1669</v>
      </c>
      <c r="C12" s="291"/>
      <c r="D12" s="290"/>
    </row>
    <row r="13" spans="1:4">
      <c r="A13" s="3" t="s">
        <v>1670</v>
      </c>
      <c r="C13" s="291"/>
      <c r="D13" s="290"/>
    </row>
    <row r="14" spans="1:4">
      <c r="A14" s="3" t="s">
        <v>1671</v>
      </c>
      <c r="C14" s="291"/>
      <c r="D14" s="290"/>
    </row>
    <row r="15" spans="1:4">
      <c r="A15" s="3" t="s">
        <v>1809</v>
      </c>
      <c r="C15" s="291"/>
      <c r="D15" s="290"/>
    </row>
    <row r="16" spans="1:4">
      <c r="A16" s="3" t="s">
        <v>1672</v>
      </c>
      <c r="C16" s="291"/>
      <c r="D16" s="290"/>
    </row>
    <row r="17" spans="1:4">
      <c r="A17" s="3" t="s">
        <v>1673</v>
      </c>
      <c r="C17" s="291"/>
      <c r="D17" s="290"/>
    </row>
    <row r="18" spans="1:4">
      <c r="A18" s="3" t="s">
        <v>1674</v>
      </c>
      <c r="C18" s="291"/>
      <c r="D18" s="290"/>
    </row>
    <row r="19" spans="1:4">
      <c r="A19" s="3" t="s">
        <v>1675</v>
      </c>
      <c r="C19" s="291"/>
      <c r="D19" s="290"/>
    </row>
    <row r="20" spans="1:4">
      <c r="A20" s="3" t="s">
        <v>1676</v>
      </c>
      <c r="C20" s="291"/>
      <c r="D20" s="290"/>
    </row>
    <row r="21" spans="1:4">
      <c r="A21" s="3" t="s">
        <v>1677</v>
      </c>
      <c r="C21" s="291"/>
      <c r="D21" s="290"/>
    </row>
    <row r="22" spans="1:4">
      <c r="A22" s="3" t="s">
        <v>1678</v>
      </c>
      <c r="C22" s="291"/>
      <c r="D22" s="290"/>
    </row>
    <row r="23" spans="1:4">
      <c r="A23" s="3" t="s">
        <v>1679</v>
      </c>
      <c r="C23" s="291"/>
      <c r="D23" s="290"/>
    </row>
    <row r="24" spans="1:4">
      <c r="A24" s="3" t="s">
        <v>1680</v>
      </c>
      <c r="C24" s="291"/>
      <c r="D24" s="290"/>
    </row>
    <row r="25" spans="1:4">
      <c r="A25" s="3" t="s">
        <v>1681</v>
      </c>
      <c r="C25" s="291"/>
      <c r="D25" s="290"/>
    </row>
    <row r="26" spans="1:4">
      <c r="A26" s="3" t="s">
        <v>1682</v>
      </c>
      <c r="C26" s="291"/>
      <c r="D26" s="290"/>
    </row>
    <row r="27" spans="1:4">
      <c r="A27" s="3" t="s">
        <v>1683</v>
      </c>
      <c r="C27" s="291"/>
      <c r="D27" s="290"/>
    </row>
    <row r="28" spans="1:4">
      <c r="A28" s="3" t="s">
        <v>1671</v>
      </c>
      <c r="C28" s="291"/>
      <c r="D28" s="290"/>
    </row>
    <row r="29" spans="1:4">
      <c r="A29" s="3" t="s">
        <v>1810</v>
      </c>
      <c r="C29" s="291"/>
      <c r="D29" s="290"/>
    </row>
    <row r="30" spans="1:4">
      <c r="A30" s="3" t="s">
        <v>1684</v>
      </c>
      <c r="C30" s="291"/>
      <c r="D30" s="290"/>
    </row>
    <row r="31" spans="1:4">
      <c r="A31" s="3" t="s">
        <v>1685</v>
      </c>
      <c r="C31" s="291"/>
      <c r="D31" s="290"/>
    </row>
    <row r="32" spans="1:4">
      <c r="A32" s="3" t="s">
        <v>1686</v>
      </c>
      <c r="C32" s="291"/>
      <c r="D32" s="290"/>
    </row>
    <row r="33" spans="1:4">
      <c r="A33" s="3" t="s">
        <v>1687</v>
      </c>
      <c r="C33" s="291"/>
      <c r="D33" s="290"/>
    </row>
    <row r="34" spans="1:4">
      <c r="A34" s="3" t="s">
        <v>1688</v>
      </c>
      <c r="C34" s="291"/>
      <c r="D34" s="290"/>
    </row>
    <row r="35" spans="1:4">
      <c r="A35" s="3" t="s">
        <v>1689</v>
      </c>
      <c r="C35" s="291"/>
      <c r="D35" s="290"/>
    </row>
    <row r="36" spans="1:4">
      <c r="A36" s="3" t="s">
        <v>1690</v>
      </c>
      <c r="C36" s="291"/>
      <c r="D36" s="290"/>
    </row>
    <row r="37" spans="1:4">
      <c r="A37" s="3" t="s">
        <v>1691</v>
      </c>
      <c r="C37" s="291"/>
      <c r="D37" s="290"/>
    </row>
    <row r="38" spans="1:4">
      <c r="A38" s="3" t="s">
        <v>1692</v>
      </c>
      <c r="C38" s="291"/>
      <c r="D38" s="290"/>
    </row>
    <row r="39" spans="1:4">
      <c r="A39" s="3" t="s">
        <v>1693</v>
      </c>
      <c r="C39" s="291"/>
      <c r="D39" s="290"/>
    </row>
    <row r="40" spans="1:4">
      <c r="A40" s="3" t="s">
        <v>1694</v>
      </c>
      <c r="C40" s="291"/>
      <c r="D40" s="290"/>
    </row>
    <row r="41" spans="1:4">
      <c r="A41" s="3" t="s">
        <v>1695</v>
      </c>
      <c r="C41" s="291"/>
      <c r="D41" s="290"/>
    </row>
    <row r="42" spans="1:4">
      <c r="A42" s="3" t="s">
        <v>1696</v>
      </c>
      <c r="C42" s="291"/>
      <c r="D42" s="290"/>
    </row>
    <row r="43" spans="1:4">
      <c r="A43" s="3" t="s">
        <v>1697</v>
      </c>
      <c r="C43" s="291"/>
      <c r="D43" s="290"/>
    </row>
    <row r="44" spans="1:4">
      <c r="A44" s="3" t="s">
        <v>1698</v>
      </c>
      <c r="C44" s="291"/>
      <c r="D44" s="290"/>
    </row>
    <row r="45" spans="1:4">
      <c r="A45" s="3" t="s">
        <v>1699</v>
      </c>
      <c r="C45" s="291"/>
      <c r="D45" s="290"/>
    </row>
    <row r="46" spans="1:4">
      <c r="A46" s="3" t="s">
        <v>1700</v>
      </c>
      <c r="C46" s="291"/>
      <c r="D46" s="290"/>
    </row>
    <row r="47" spans="1:4">
      <c r="A47" s="3" t="s">
        <v>1701</v>
      </c>
      <c r="C47" s="291"/>
      <c r="D47" s="290"/>
    </row>
    <row r="48" spans="1:4">
      <c r="A48" s="3" t="s">
        <v>1702</v>
      </c>
      <c r="C48" s="291"/>
      <c r="D48" s="290"/>
    </row>
    <row r="49" spans="1:4">
      <c r="A49" s="3" t="s">
        <v>1703</v>
      </c>
      <c r="C49" s="291"/>
      <c r="D49" s="290"/>
    </row>
    <row r="50" spans="1:4">
      <c r="A50" s="3" t="s">
        <v>1704</v>
      </c>
      <c r="C50" s="291"/>
      <c r="D50" s="290"/>
    </row>
    <row r="51" spans="1:4">
      <c r="A51" s="3" t="s">
        <v>1705</v>
      </c>
      <c r="C51" s="291"/>
      <c r="D51" s="290"/>
    </row>
    <row r="52" spans="1:4">
      <c r="A52" s="3" t="s">
        <v>1706</v>
      </c>
      <c r="C52" s="291"/>
      <c r="D52" s="290"/>
    </row>
    <row r="53" spans="1:4">
      <c r="A53" s="3" t="s">
        <v>1707</v>
      </c>
      <c r="C53" s="291"/>
      <c r="D53" s="290"/>
    </row>
    <row r="54" spans="1:4">
      <c r="A54" s="3" t="s">
        <v>1708</v>
      </c>
      <c r="C54" s="291"/>
      <c r="D54" s="290"/>
    </row>
    <row r="55" spans="1:4">
      <c r="A55" s="3" t="s">
        <v>1709</v>
      </c>
      <c r="C55" s="291"/>
      <c r="D55" s="290"/>
    </row>
    <row r="56" spans="1:4">
      <c r="A56" s="3" t="s">
        <v>1710</v>
      </c>
      <c r="C56" s="291"/>
      <c r="D56" s="290"/>
    </row>
    <row r="57" spans="1:4">
      <c r="A57" s="3" t="s">
        <v>1711</v>
      </c>
      <c r="C57" s="291"/>
      <c r="D57" s="290"/>
    </row>
    <row r="58" spans="1:4">
      <c r="A58" s="3" t="s">
        <v>1712</v>
      </c>
      <c r="C58" s="291"/>
      <c r="D58" s="290"/>
    </row>
    <row r="59" spans="1:4">
      <c r="A59" s="3" t="s">
        <v>1713</v>
      </c>
      <c r="C59" s="291"/>
      <c r="D59" s="290"/>
    </row>
    <row r="60" spans="1:4">
      <c r="A60" s="3" t="s">
        <v>1714</v>
      </c>
      <c r="C60" s="291"/>
      <c r="D60" s="290"/>
    </row>
    <row r="61" spans="1:4">
      <c r="A61" s="3" t="s">
        <v>1715</v>
      </c>
      <c r="C61" s="291"/>
      <c r="D61" s="290"/>
    </row>
    <row r="62" spans="1:4">
      <c r="A62" s="3" t="s">
        <v>1716</v>
      </c>
      <c r="C62" s="291"/>
      <c r="D62" s="290"/>
    </row>
    <row r="63" spans="1:4">
      <c r="A63" s="3" t="s">
        <v>1717</v>
      </c>
      <c r="C63" s="291"/>
      <c r="D63" s="290"/>
    </row>
    <row r="64" spans="1:4">
      <c r="A64" s="3" t="s">
        <v>1718</v>
      </c>
      <c r="C64" s="291"/>
      <c r="D64" s="290"/>
    </row>
    <row r="65" spans="1:4">
      <c r="A65" s="3" t="s">
        <v>1719</v>
      </c>
      <c r="C65" s="291"/>
      <c r="D65" s="290"/>
    </row>
    <row r="66" spans="1:4">
      <c r="A66" s="3" t="s">
        <v>1720</v>
      </c>
      <c r="C66" s="291"/>
      <c r="D66" s="290"/>
    </row>
    <row r="67" spans="1:4">
      <c r="A67" s="3" t="s">
        <v>1721</v>
      </c>
      <c r="C67" s="291"/>
      <c r="D67" s="290"/>
    </row>
    <row r="68" spans="1:4">
      <c r="A68" s="3" t="s">
        <v>1722</v>
      </c>
      <c r="C68" s="291"/>
      <c r="D68" s="290"/>
    </row>
    <row r="69" spans="1:4">
      <c r="A69" s="3" t="s">
        <v>1723</v>
      </c>
      <c r="C69" s="291"/>
      <c r="D69" s="290"/>
    </row>
    <row r="70" spans="1:4">
      <c r="A70" s="3" t="s">
        <v>1724</v>
      </c>
      <c r="C70" s="291"/>
      <c r="D70" s="290"/>
    </row>
    <row r="71" spans="1:4">
      <c r="A71" s="3" t="s">
        <v>1725</v>
      </c>
      <c r="C71" s="291"/>
      <c r="D71" s="290"/>
    </row>
    <row r="72" spans="1:4">
      <c r="A72" s="3" t="s">
        <v>1726</v>
      </c>
      <c r="C72" s="291"/>
      <c r="D72" s="290"/>
    </row>
    <row r="73" spans="1:4">
      <c r="A73" s="3" t="s">
        <v>1727</v>
      </c>
      <c r="C73" s="291"/>
      <c r="D73" s="290"/>
    </row>
    <row r="74" spans="1:4">
      <c r="A74" s="3" t="s">
        <v>1728</v>
      </c>
      <c r="C74" s="291"/>
      <c r="D74" s="290"/>
    </row>
    <row r="75" spans="1:4">
      <c r="A75" s="3" t="s">
        <v>1729</v>
      </c>
      <c r="C75" s="291"/>
      <c r="D75" s="290"/>
    </row>
    <row r="76" spans="1:4">
      <c r="A76" s="3" t="s">
        <v>1730</v>
      </c>
      <c r="C76" s="291"/>
      <c r="D76" s="290"/>
    </row>
    <row r="77" spans="1:4">
      <c r="A77" s="3" t="s">
        <v>1731</v>
      </c>
      <c r="C77" s="291"/>
      <c r="D77" s="290"/>
    </row>
    <row r="78" spans="1:4">
      <c r="A78" s="3" t="s">
        <v>1732</v>
      </c>
      <c r="C78" s="291"/>
      <c r="D78" s="290"/>
    </row>
    <row r="79" spans="1:4">
      <c r="A79" s="3" t="s">
        <v>1733</v>
      </c>
      <c r="C79" s="291"/>
      <c r="D79" s="290"/>
    </row>
    <row r="80" spans="1:4">
      <c r="A80" s="3" t="s">
        <v>1734</v>
      </c>
      <c r="C80" s="291"/>
      <c r="D80" s="290"/>
    </row>
    <row r="81" spans="1:4">
      <c r="A81" s="3" t="s">
        <v>1735</v>
      </c>
      <c r="C81" s="291"/>
      <c r="D81" s="290"/>
    </row>
    <row r="82" spans="1:4">
      <c r="A82" s="3" t="s">
        <v>1736</v>
      </c>
      <c r="C82" s="291"/>
      <c r="D82" s="290"/>
    </row>
    <row r="83" spans="1:4">
      <c r="A83" s="3" t="s">
        <v>1737</v>
      </c>
      <c r="C83" s="291"/>
      <c r="D83" s="290"/>
    </row>
    <row r="84" spans="1:4">
      <c r="A84" s="3" t="s">
        <v>1738</v>
      </c>
      <c r="C84" s="291"/>
      <c r="D84" s="290"/>
    </row>
    <row r="85" spans="1:4">
      <c r="A85" s="3" t="s">
        <v>1739</v>
      </c>
      <c r="C85" s="291"/>
      <c r="D85" s="290"/>
    </row>
    <row r="86" spans="1:4">
      <c r="A86" s="3" t="s">
        <v>1740</v>
      </c>
      <c r="C86" s="291"/>
      <c r="D86" s="290"/>
    </row>
    <row r="87" spans="1:4">
      <c r="A87" s="3" t="s">
        <v>1741</v>
      </c>
      <c r="C87" s="291"/>
      <c r="D87" s="290"/>
    </row>
    <row r="88" spans="1:4">
      <c r="A88" s="3" t="s">
        <v>1742</v>
      </c>
      <c r="C88" s="291"/>
      <c r="D88" s="290"/>
    </row>
    <row r="89" spans="1:4">
      <c r="A89" s="3" t="s">
        <v>1743</v>
      </c>
      <c r="C89" s="291"/>
      <c r="D89" s="290"/>
    </row>
    <row r="90" spans="1:4">
      <c r="A90" s="3" t="s">
        <v>1744</v>
      </c>
      <c r="C90" s="291"/>
      <c r="D90" s="290"/>
    </row>
    <row r="91" spans="1:4">
      <c r="A91" s="3" t="s">
        <v>1745</v>
      </c>
      <c r="C91" s="291"/>
      <c r="D91" s="290"/>
    </row>
    <row r="92" spans="1:4">
      <c r="A92" s="3" t="s">
        <v>1746</v>
      </c>
      <c r="C92" s="291"/>
      <c r="D92" s="290"/>
    </row>
    <row r="93" spans="1:4">
      <c r="A93" s="3" t="s">
        <v>1747</v>
      </c>
      <c r="C93" s="291"/>
      <c r="D93" s="290"/>
    </row>
    <row r="94" spans="1:4">
      <c r="A94" s="3" t="s">
        <v>1748</v>
      </c>
      <c r="C94" s="291"/>
      <c r="D94" s="290"/>
    </row>
    <row r="95" spans="1:4">
      <c r="A95" s="3" t="s">
        <v>1749</v>
      </c>
      <c r="C95" s="291"/>
      <c r="D95" s="290"/>
    </row>
    <row r="96" spans="1:4">
      <c r="A96" s="3" t="s">
        <v>1750</v>
      </c>
      <c r="C96" s="291"/>
      <c r="D96" s="290"/>
    </row>
    <row r="97" spans="1:4">
      <c r="A97" s="3" t="s">
        <v>1751</v>
      </c>
      <c r="C97" s="291"/>
      <c r="D97" s="290"/>
    </row>
    <row r="98" spans="1:4">
      <c r="A98" s="3" t="s">
        <v>1671</v>
      </c>
      <c r="C98" s="291"/>
      <c r="D98" s="290"/>
    </row>
    <row r="99" spans="1:4">
      <c r="A99" s="3" t="s">
        <v>1811</v>
      </c>
      <c r="C99" s="291"/>
      <c r="D99" s="290"/>
    </row>
    <row r="100" spans="1:4">
      <c r="A100" s="3" t="s">
        <v>1752</v>
      </c>
      <c r="C100" s="291"/>
      <c r="D100" s="290"/>
    </row>
    <row r="101" spans="1:4">
      <c r="A101" s="3" t="s">
        <v>1812</v>
      </c>
      <c r="C101" s="291"/>
      <c r="D101" s="290"/>
    </row>
    <row r="102" spans="1:4">
      <c r="A102" s="3" t="s">
        <v>1813</v>
      </c>
      <c r="C102" s="291"/>
      <c r="D102" s="290"/>
    </row>
    <row r="103" spans="1:4">
      <c r="A103" s="3" t="s">
        <v>1814</v>
      </c>
      <c r="C103" s="291"/>
      <c r="D103" s="290"/>
    </row>
    <row r="104" spans="1:4">
      <c r="A104" s="3" t="s">
        <v>1815</v>
      </c>
      <c r="C104" s="291"/>
      <c r="D104" s="290"/>
    </row>
    <row r="105" spans="1:4">
      <c r="A105" s="3" t="s">
        <v>1816</v>
      </c>
      <c r="C105" s="291"/>
      <c r="D105" s="290"/>
    </row>
    <row r="106" spans="1:4">
      <c r="A106" s="3" t="s">
        <v>1753</v>
      </c>
      <c r="C106" s="291"/>
      <c r="D106" s="290"/>
    </row>
    <row r="107" spans="1:4">
      <c r="A107" s="3" t="s">
        <v>1817</v>
      </c>
      <c r="C107" s="291"/>
      <c r="D107" s="290"/>
    </row>
    <row r="108" spans="1:4">
      <c r="A108" s="3" t="s">
        <v>1806</v>
      </c>
      <c r="C108" s="291"/>
      <c r="D108" s="290"/>
    </row>
    <row r="109" spans="1:4">
      <c r="A109" s="3" t="s">
        <v>1818</v>
      </c>
      <c r="C109" s="291"/>
      <c r="D109" s="290"/>
    </row>
    <row r="110" spans="1:4">
      <c r="A110" s="3" t="s">
        <v>1754</v>
      </c>
      <c r="C110" s="291"/>
      <c r="D110" s="290"/>
    </row>
    <row r="111" spans="1:4">
      <c r="A111" s="3" t="s">
        <v>1755</v>
      </c>
      <c r="C111" s="291"/>
      <c r="D111" s="290"/>
    </row>
    <row r="112" spans="1:4">
      <c r="A112" s="3" t="s">
        <v>1756</v>
      </c>
      <c r="C112" s="291"/>
      <c r="D112" s="290"/>
    </row>
    <row r="113" spans="1:4">
      <c r="A113" s="3" t="s">
        <v>1757</v>
      </c>
      <c r="C113" s="291"/>
      <c r="D113" s="290"/>
    </row>
    <row r="114" spans="1:4">
      <c r="A114" s="3" t="s">
        <v>1758</v>
      </c>
      <c r="C114" s="291"/>
      <c r="D114" s="290"/>
    </row>
    <row r="115" spans="1:4">
      <c r="A115" s="3" t="s">
        <v>1759</v>
      </c>
      <c r="C115" s="291"/>
      <c r="D115" s="290"/>
    </row>
    <row r="116" spans="1:4">
      <c r="A116" s="3" t="s">
        <v>1760</v>
      </c>
      <c r="C116" s="291"/>
      <c r="D116" s="290"/>
    </row>
    <row r="117" spans="1:4">
      <c r="A117" s="3" t="s">
        <v>1761</v>
      </c>
      <c r="C117" s="291"/>
      <c r="D117" s="290"/>
    </row>
    <row r="118" spans="1:4">
      <c r="A118" s="3" t="s">
        <v>1762</v>
      </c>
      <c r="C118" s="291"/>
      <c r="D118" s="290"/>
    </row>
    <row r="119" spans="1:4">
      <c r="A119" s="3" t="s">
        <v>1763</v>
      </c>
      <c r="C119" s="291"/>
      <c r="D119" s="290"/>
    </row>
    <row r="120" spans="1:4">
      <c r="A120" s="3" t="s">
        <v>1764</v>
      </c>
      <c r="C120" s="291"/>
      <c r="D120" s="290"/>
    </row>
    <row r="121" spans="1:4">
      <c r="A121" s="3" t="s">
        <v>1765</v>
      </c>
      <c r="C121" s="291"/>
    </row>
    <row r="122" spans="1:4">
      <c r="A122" s="3" t="s">
        <v>1766</v>
      </c>
      <c r="C122" s="291"/>
      <c r="D122" s="290"/>
    </row>
    <row r="123" spans="1:4">
      <c r="A123" s="3" t="s">
        <v>1767</v>
      </c>
      <c r="C123" s="291"/>
      <c r="D123" s="290"/>
    </row>
    <row r="124" spans="1:4">
      <c r="A124" s="3" t="s">
        <v>1768</v>
      </c>
      <c r="C124" s="291"/>
      <c r="D124" s="290"/>
    </row>
    <row r="125" spans="1:4">
      <c r="A125" s="3" t="s">
        <v>1765</v>
      </c>
      <c r="C125" s="291"/>
      <c r="D125" s="290"/>
    </row>
    <row r="126" spans="1:4">
      <c r="A126" s="3" t="s">
        <v>1769</v>
      </c>
      <c r="C126" s="291"/>
      <c r="D126" s="290"/>
    </row>
    <row r="127" spans="1:4">
      <c r="A127" s="3" t="s">
        <v>1770</v>
      </c>
      <c r="C127" s="291"/>
      <c r="D127" s="290"/>
    </row>
    <row r="128" spans="1:4">
      <c r="A128" s="3" t="s">
        <v>1771</v>
      </c>
      <c r="C128" s="291"/>
      <c r="D128" s="290"/>
    </row>
    <row r="129" spans="1:4">
      <c r="A129" s="3" t="s">
        <v>1772</v>
      </c>
      <c r="C129" s="291"/>
      <c r="D129" s="290"/>
    </row>
    <row r="130" spans="1:4">
      <c r="A130" s="3" t="s">
        <v>1819</v>
      </c>
      <c r="C130" s="291"/>
      <c r="D130" s="290"/>
    </row>
    <row r="131" spans="1:4">
      <c r="A131" s="3" t="s">
        <v>1805</v>
      </c>
      <c r="C131" s="291"/>
      <c r="D131" s="290"/>
    </row>
    <row r="132" spans="1:4">
      <c r="A132" s="3" t="s">
        <v>1773</v>
      </c>
      <c r="C132" s="291"/>
      <c r="D132" s="290"/>
    </row>
    <row r="133" spans="1:4">
      <c r="A133" s="3" t="s">
        <v>1774</v>
      </c>
      <c r="C133" s="291"/>
      <c r="D133" s="290"/>
    </row>
    <row r="134" spans="1:4">
      <c r="A134" s="3" t="s">
        <v>1775</v>
      </c>
      <c r="C134" s="291"/>
      <c r="D134" s="290"/>
    </row>
    <row r="135" spans="1:4">
      <c r="A135" s="3" t="s">
        <v>1776</v>
      </c>
      <c r="C135" s="291"/>
      <c r="D135" s="290"/>
    </row>
    <row r="136" spans="1:4">
      <c r="A136" s="3" t="s">
        <v>1777</v>
      </c>
      <c r="C136" s="291"/>
      <c r="D136" s="290"/>
    </row>
    <row r="137" spans="1:4">
      <c r="A137" s="3" t="s">
        <v>1778</v>
      </c>
      <c r="C137" s="291"/>
      <c r="D137" s="290"/>
    </row>
    <row r="138" spans="1:4">
      <c r="A138" s="3" t="s">
        <v>1779</v>
      </c>
      <c r="C138" s="291"/>
      <c r="D138" s="290"/>
    </row>
    <row r="139" spans="1:4">
      <c r="A139" s="3" t="s">
        <v>1780</v>
      </c>
      <c r="C139" s="291"/>
      <c r="D139" s="290"/>
    </row>
    <row r="140" spans="1:4">
      <c r="A140" s="3" t="s">
        <v>1781</v>
      </c>
      <c r="C140" s="291"/>
      <c r="D140" s="290"/>
    </row>
    <row r="141" spans="1:4">
      <c r="A141" s="3" t="s">
        <v>1782</v>
      </c>
      <c r="C141" s="291"/>
      <c r="D141" s="290"/>
    </row>
    <row r="142" spans="1:4">
      <c r="A142" s="3" t="s">
        <v>1783</v>
      </c>
      <c r="C142" s="291"/>
      <c r="D142" s="290"/>
    </row>
    <row r="143" spans="1:4">
      <c r="A143" s="3" t="s">
        <v>1784</v>
      </c>
      <c r="C143" s="291"/>
      <c r="D143" s="290"/>
    </row>
    <row r="144" spans="1:4">
      <c r="A144" s="3" t="s">
        <v>1785</v>
      </c>
      <c r="C144" s="291"/>
      <c r="D144" s="290"/>
    </row>
    <row r="145" spans="1:4" ht="15" customHeight="1">
      <c r="A145" s="3" t="s">
        <v>1786</v>
      </c>
      <c r="C145" s="291"/>
      <c r="D145" s="290"/>
    </row>
    <row r="146" spans="1:4">
      <c r="A146" s="3" t="s">
        <v>1820</v>
      </c>
      <c r="C146" s="291"/>
      <c r="D146" s="290"/>
    </row>
    <row r="147" spans="1:4">
      <c r="A147" s="3" t="s">
        <v>1787</v>
      </c>
      <c r="C147" s="291"/>
      <c r="D147" s="290"/>
    </row>
    <row r="148" spans="1:4">
      <c r="A148" s="3" t="s">
        <v>1788</v>
      </c>
      <c r="C148" s="291"/>
      <c r="D148" s="290"/>
    </row>
    <row r="149" spans="1:4">
      <c r="A149" s="3" t="s">
        <v>1789</v>
      </c>
      <c r="C149" s="291"/>
      <c r="D149" s="290"/>
    </row>
    <row r="150" spans="1:4">
      <c r="A150" s="3" t="s">
        <v>1790</v>
      </c>
      <c r="C150" s="291"/>
      <c r="D150" s="290"/>
    </row>
    <row r="151" spans="1:4">
      <c r="A151" s="3" t="s">
        <v>1791</v>
      </c>
      <c r="C151" s="291"/>
      <c r="D151" s="290"/>
    </row>
    <row r="152" spans="1:4">
      <c r="A152" s="3" t="s">
        <v>1790</v>
      </c>
      <c r="C152" s="291"/>
      <c r="D152" s="290"/>
    </row>
    <row r="153" spans="1:4">
      <c r="A153" s="3" t="s">
        <v>1792</v>
      </c>
      <c r="C153" s="291"/>
      <c r="D153" s="290"/>
    </row>
    <row r="154" spans="1:4">
      <c r="A154" s="3" t="s">
        <v>1793</v>
      </c>
      <c r="C154" s="291"/>
      <c r="D154" s="290"/>
    </row>
    <row r="155" spans="1:4">
      <c r="A155" s="3" t="s">
        <v>1794</v>
      </c>
      <c r="C155" s="291"/>
      <c r="D155" s="290"/>
    </row>
    <row r="156" spans="1:4">
      <c r="A156" s="3" t="s">
        <v>1795</v>
      </c>
      <c r="C156" s="291"/>
      <c r="D156" s="290"/>
    </row>
    <row r="157" spans="1:4">
      <c r="A157" s="3" t="s">
        <v>1796</v>
      </c>
      <c r="C157" s="291"/>
      <c r="D157" s="290"/>
    </row>
    <row r="158" spans="1:4">
      <c r="A158" s="3" t="s">
        <v>1797</v>
      </c>
      <c r="C158" s="291"/>
      <c r="D158" s="290"/>
    </row>
    <row r="159" spans="1:4">
      <c r="A159" s="3" t="s">
        <v>1798</v>
      </c>
      <c r="C159" s="291"/>
      <c r="D159" s="290"/>
    </row>
    <row r="160" spans="1:4">
      <c r="A160" s="3" t="s">
        <v>1799</v>
      </c>
      <c r="C160" s="291"/>
      <c r="D160" s="290"/>
    </row>
    <row r="161" spans="1:4">
      <c r="A161" s="3" t="s">
        <v>1800</v>
      </c>
      <c r="C161" s="291"/>
      <c r="D161" s="290"/>
    </row>
    <row r="162" spans="1:4">
      <c r="A162" s="3" t="s">
        <v>1801</v>
      </c>
      <c r="C162" s="291"/>
      <c r="D162" s="290"/>
    </row>
    <row r="163" spans="1:4">
      <c r="A163" s="3" t="s">
        <v>1802</v>
      </c>
      <c r="C163" s="291"/>
      <c r="D163" s="290"/>
    </row>
    <row r="164" spans="1:4">
      <c r="A164" s="3" t="s">
        <v>1803</v>
      </c>
      <c r="C164" s="291"/>
      <c r="D164" s="290"/>
    </row>
    <row r="165" spans="1:4">
      <c r="A165" s="3" t="s">
        <v>1804</v>
      </c>
      <c r="C165" s="291"/>
      <c r="D165" s="290"/>
    </row>
    <row r="166" spans="1:4">
      <c r="C166" s="291"/>
      <c r="D166" s="290"/>
    </row>
    <row r="167" spans="1:4">
      <c r="C167" s="291"/>
      <c r="D167" s="290"/>
    </row>
    <row r="168" spans="1:4">
      <c r="C168" s="291"/>
      <c r="D168" s="290"/>
    </row>
    <row r="169" spans="1:4">
      <c r="C169" s="291"/>
      <c r="D169" s="290"/>
    </row>
    <row r="170" spans="1:4">
      <c r="C170" s="291"/>
      <c r="D170" s="290"/>
    </row>
    <row r="171" spans="1:4">
      <c r="C171" s="291"/>
      <c r="D171" s="290"/>
    </row>
    <row r="172" spans="1:4">
      <c r="C172" s="291"/>
      <c r="D172" s="290"/>
    </row>
    <row r="173" spans="1:4">
      <c r="C173" s="291"/>
      <c r="D173" s="290"/>
    </row>
    <row r="174" spans="1:4">
      <c r="C174" s="291"/>
      <c r="D174" s="290"/>
    </row>
    <row r="175" spans="1:4">
      <c r="C175" s="291"/>
    </row>
    <row r="176" spans="1:4">
      <c r="C176" s="291"/>
      <c r="D176" s="290"/>
    </row>
    <row r="177" spans="3:4">
      <c r="C177" s="291"/>
      <c r="D177" s="290"/>
    </row>
    <row r="178" spans="3:4">
      <c r="C178" s="291"/>
      <c r="D178" s="290"/>
    </row>
    <row r="179" spans="3:4">
      <c r="C179" s="291"/>
      <c r="D179" s="290"/>
    </row>
    <row r="180" spans="3:4">
      <c r="C180" s="291"/>
      <c r="D180" s="290"/>
    </row>
    <row r="181" spans="3:4">
      <c r="C181" s="291"/>
      <c r="D181" s="290"/>
    </row>
    <row r="182" spans="3:4">
      <c r="C182" s="291"/>
      <c r="D182" s="290"/>
    </row>
    <row r="183" spans="3:4">
      <c r="C183" s="291"/>
      <c r="D183" s="290"/>
    </row>
    <row r="184" spans="3:4">
      <c r="C184" s="291"/>
      <c r="D184" s="290"/>
    </row>
    <row r="185" spans="3:4">
      <c r="C185" s="291"/>
      <c r="D185" s="290"/>
    </row>
    <row r="186" spans="3:4">
      <c r="C186" s="291"/>
      <c r="D186" s="290"/>
    </row>
    <row r="187" spans="3:4">
      <c r="C187" s="291"/>
      <c r="D187" s="290"/>
    </row>
    <row r="188" spans="3:4">
      <c r="C188" s="291"/>
      <c r="D188" s="290"/>
    </row>
    <row r="189" spans="3:4">
      <c r="C189" s="291"/>
      <c r="D189" s="290"/>
    </row>
    <row r="190" spans="3:4">
      <c r="C190" s="291"/>
      <c r="D190" s="290"/>
    </row>
    <row r="191" spans="3:4">
      <c r="C191" s="291"/>
      <c r="D191" s="290"/>
    </row>
    <row r="192" spans="3:4">
      <c r="C192" s="291"/>
      <c r="D192" s="290"/>
    </row>
    <row r="193" spans="3:4">
      <c r="C193" s="291"/>
      <c r="D193" s="290"/>
    </row>
    <row r="194" spans="3:4">
      <c r="C194" s="291"/>
      <c r="D194" s="290"/>
    </row>
    <row r="195" spans="3:4">
      <c r="C195" s="291"/>
      <c r="D195" s="290"/>
    </row>
    <row r="196" spans="3:4">
      <c r="C196" s="291"/>
      <c r="D196" s="290"/>
    </row>
    <row r="197" spans="3:4">
      <c r="C197" s="291"/>
      <c r="D197" s="290"/>
    </row>
    <row r="198" spans="3:4">
      <c r="C198" s="291"/>
      <c r="D198" s="290"/>
    </row>
    <row r="199" spans="3:4">
      <c r="C199" s="291"/>
      <c r="D199" s="290"/>
    </row>
    <row r="200" spans="3:4">
      <c r="C200" s="291"/>
      <c r="D200" s="290"/>
    </row>
    <row r="201" spans="3:4">
      <c r="C201" s="291"/>
      <c r="D201" s="290"/>
    </row>
    <row r="202" spans="3:4">
      <c r="C202" s="291"/>
      <c r="D202" s="290"/>
    </row>
    <row r="203" spans="3:4">
      <c r="C203" s="291"/>
      <c r="D203" s="290"/>
    </row>
    <row r="204" spans="3:4">
      <c r="C204" s="291"/>
      <c r="D204" s="290"/>
    </row>
    <row r="205" spans="3:4">
      <c r="C205" s="291"/>
      <c r="D205" s="290"/>
    </row>
    <row r="206" spans="3:4">
      <c r="C206" s="291"/>
      <c r="D206" s="290"/>
    </row>
    <row r="207" spans="3:4">
      <c r="C207" s="291"/>
      <c r="D207" s="290"/>
    </row>
    <row r="208" spans="3:4">
      <c r="C208" s="291"/>
      <c r="D208" s="290"/>
    </row>
    <row r="209" spans="3:4">
      <c r="C209" s="291"/>
      <c r="D209" s="290"/>
    </row>
    <row r="210" spans="3:4">
      <c r="C210" s="291"/>
      <c r="D210" s="290"/>
    </row>
    <row r="211" spans="3:4">
      <c r="C211" s="291"/>
      <c r="D211" s="290"/>
    </row>
    <row r="212" spans="3:4">
      <c r="C212" s="291"/>
      <c r="D212" s="290"/>
    </row>
    <row r="213" spans="3:4">
      <c r="C213" s="291"/>
      <c r="D213" s="290"/>
    </row>
    <row r="214" spans="3:4">
      <c r="C214" s="291"/>
      <c r="D214" s="290"/>
    </row>
    <row r="215" spans="3:4">
      <c r="C215" s="291"/>
      <c r="D215" s="290"/>
    </row>
    <row r="216" spans="3:4">
      <c r="C216" s="291"/>
      <c r="D216" s="290"/>
    </row>
    <row r="217" spans="3:4">
      <c r="C217" s="291"/>
      <c r="D217" s="290"/>
    </row>
    <row r="218" spans="3:4">
      <c r="C218" s="291"/>
      <c r="D218" s="290"/>
    </row>
    <row r="219" spans="3:4">
      <c r="C219" s="291"/>
      <c r="D219" s="290"/>
    </row>
    <row r="220" spans="3:4">
      <c r="C220" s="291"/>
      <c r="D220" s="290"/>
    </row>
    <row r="221" spans="3:4">
      <c r="C221" s="291"/>
      <c r="D221" s="290"/>
    </row>
    <row r="222" spans="3:4">
      <c r="C222" s="291"/>
      <c r="D222" s="290"/>
    </row>
    <row r="223" spans="3:4">
      <c r="C223" s="291"/>
      <c r="D223" s="290"/>
    </row>
    <row r="224" spans="3:4">
      <c r="C224" s="291"/>
      <c r="D224" s="290"/>
    </row>
    <row r="225" spans="3:4">
      <c r="C225" s="291"/>
      <c r="D225" s="290"/>
    </row>
    <row r="226" spans="3:4">
      <c r="C226" s="291"/>
      <c r="D226" s="290"/>
    </row>
    <row r="227" spans="3:4">
      <c r="C227" s="291"/>
      <c r="D227" s="290"/>
    </row>
    <row r="228" spans="3:4">
      <c r="C228" s="291"/>
      <c r="D228" s="290"/>
    </row>
    <row r="229" spans="3:4">
      <c r="C229" s="291"/>
      <c r="D229" s="290"/>
    </row>
    <row r="230" spans="3:4">
      <c r="C230" s="291"/>
      <c r="D230" s="290"/>
    </row>
    <row r="231" spans="3:4">
      <c r="C231" s="291"/>
      <c r="D231" s="290"/>
    </row>
    <row r="232" spans="3:4">
      <c r="C232" s="291"/>
      <c r="D232" s="290"/>
    </row>
    <row r="233" spans="3:4">
      <c r="C233" s="291"/>
      <c r="D233" s="290"/>
    </row>
    <row r="234" spans="3:4">
      <c r="C234" s="291"/>
      <c r="D234" s="290"/>
    </row>
    <row r="235" spans="3:4">
      <c r="C235" s="291"/>
      <c r="D235" s="290"/>
    </row>
    <row r="236" spans="3:4">
      <c r="C236" s="291"/>
      <c r="D236" s="290"/>
    </row>
    <row r="237" spans="3:4">
      <c r="C237" s="291"/>
      <c r="D237" s="290"/>
    </row>
    <row r="238" spans="3:4">
      <c r="C238" s="291"/>
      <c r="D238" s="290"/>
    </row>
    <row r="239" spans="3:4">
      <c r="C239" s="291"/>
      <c r="D239" s="290"/>
    </row>
    <row r="240" spans="3:4">
      <c r="C240" s="291"/>
      <c r="D240" s="290"/>
    </row>
    <row r="241" spans="3:4">
      <c r="C241" s="291"/>
      <c r="D241" s="290"/>
    </row>
    <row r="242" spans="3:4">
      <c r="C242" s="291"/>
      <c r="D242" s="290"/>
    </row>
    <row r="243" spans="3:4">
      <c r="C243" s="291"/>
      <c r="D243" s="290"/>
    </row>
    <row r="244" spans="3:4">
      <c r="C244" s="291"/>
      <c r="D244" s="290"/>
    </row>
    <row r="245" spans="3:4">
      <c r="C245" s="291"/>
      <c r="D245" s="290"/>
    </row>
    <row r="246" spans="3:4">
      <c r="C246" s="291"/>
      <c r="D246" s="290"/>
    </row>
    <row r="247" spans="3:4">
      <c r="C247" s="291"/>
      <c r="D247" s="290"/>
    </row>
    <row r="248" spans="3:4">
      <c r="C248" s="291"/>
      <c r="D248" s="290"/>
    </row>
    <row r="249" spans="3:4">
      <c r="C249" s="291"/>
      <c r="D249" s="290"/>
    </row>
    <row r="250" spans="3:4">
      <c r="C250" s="291"/>
    </row>
    <row r="251" spans="3:4">
      <c r="C251" s="291"/>
      <c r="D251" s="290"/>
    </row>
    <row r="252" spans="3:4">
      <c r="C252" s="291"/>
      <c r="D252" s="290"/>
    </row>
    <row r="253" spans="3:4">
      <c r="C253" s="291"/>
      <c r="D253" s="290"/>
    </row>
    <row r="254" spans="3:4">
      <c r="C254" s="291"/>
      <c r="D254" s="290"/>
    </row>
    <row r="255" spans="3:4">
      <c r="C255" s="291"/>
      <c r="D255" s="290"/>
    </row>
    <row r="256" spans="3:4">
      <c r="C256" s="291"/>
      <c r="D256" s="290"/>
    </row>
    <row r="257" spans="3:4">
      <c r="C257" s="291"/>
      <c r="D257" s="290"/>
    </row>
    <row r="258" spans="3:4">
      <c r="C258" s="291"/>
      <c r="D258" s="290"/>
    </row>
    <row r="259" spans="3:4">
      <c r="C259" s="291"/>
      <c r="D259" s="290"/>
    </row>
    <row r="260" spans="3:4">
      <c r="C260" s="291"/>
      <c r="D260" s="290"/>
    </row>
    <row r="261" spans="3:4">
      <c r="C261" s="291"/>
      <c r="D261" s="290"/>
    </row>
    <row r="262" spans="3:4">
      <c r="C262" s="291"/>
      <c r="D262" s="290"/>
    </row>
    <row r="263" spans="3:4">
      <c r="C263" s="291"/>
      <c r="D263" s="290"/>
    </row>
    <row r="264" spans="3:4">
      <c r="C264" s="291"/>
      <c r="D264" s="290"/>
    </row>
    <row r="265" spans="3:4">
      <c r="C265" s="291"/>
      <c r="D265" s="290"/>
    </row>
    <row r="266" spans="3:4">
      <c r="C266" s="291"/>
      <c r="D266" s="290"/>
    </row>
    <row r="267" spans="3:4">
      <c r="C267" s="291"/>
      <c r="D267" s="290"/>
    </row>
    <row r="268" spans="3:4">
      <c r="C268" s="291"/>
      <c r="D268" s="290"/>
    </row>
    <row r="269" spans="3:4">
      <c r="C269" s="291"/>
      <c r="D269" s="290"/>
    </row>
    <row r="270" spans="3:4">
      <c r="C270" s="291"/>
      <c r="D270" s="290"/>
    </row>
    <row r="271" spans="3:4">
      <c r="C271" s="291"/>
      <c r="D271" s="290"/>
    </row>
    <row r="272" spans="3:4">
      <c r="C272" s="291"/>
      <c r="D272" s="290"/>
    </row>
    <row r="273" spans="3:4">
      <c r="C273" s="291"/>
      <c r="D273" s="290"/>
    </row>
    <row r="274" spans="3:4">
      <c r="C274" s="291"/>
      <c r="D274" s="290"/>
    </row>
    <row r="275" spans="3:4">
      <c r="C275" s="291"/>
      <c r="D275" s="290"/>
    </row>
    <row r="276" spans="3:4">
      <c r="C276" s="291"/>
      <c r="D276" s="290"/>
    </row>
    <row r="277" spans="3:4">
      <c r="C277" s="291"/>
      <c r="D277" s="290"/>
    </row>
    <row r="278" spans="3:4">
      <c r="C278" s="291"/>
      <c r="D278" s="290"/>
    </row>
    <row r="279" spans="3:4">
      <c r="C279" s="291"/>
      <c r="D279" s="290"/>
    </row>
    <row r="280" spans="3:4">
      <c r="C280" s="291"/>
      <c r="D280" s="290"/>
    </row>
    <row r="281" spans="3:4">
      <c r="C281" s="291"/>
      <c r="D281" s="290"/>
    </row>
    <row r="282" spans="3:4">
      <c r="C282" s="291"/>
      <c r="D282" s="290"/>
    </row>
    <row r="283" spans="3:4">
      <c r="C283" s="291"/>
      <c r="D283" s="290"/>
    </row>
    <row r="284" spans="3:4">
      <c r="C284" s="291"/>
      <c r="D284" s="290"/>
    </row>
    <row r="285" spans="3:4">
      <c r="C285" s="291"/>
      <c r="D285" s="290"/>
    </row>
    <row r="286" spans="3:4">
      <c r="C286" s="291"/>
      <c r="D286" s="290"/>
    </row>
    <row r="287" spans="3:4">
      <c r="C287" s="291"/>
    </row>
    <row r="288" spans="3:4">
      <c r="C288" s="291"/>
      <c r="D288" s="290"/>
    </row>
    <row r="289" spans="3:4">
      <c r="C289" s="291"/>
      <c r="D289" s="290"/>
    </row>
    <row r="290" spans="3:4">
      <c r="C290" s="291"/>
      <c r="D290" s="290"/>
    </row>
    <row r="291" spans="3:4">
      <c r="C291" s="291"/>
      <c r="D291" s="290"/>
    </row>
    <row r="292" spans="3:4">
      <c r="C292" s="291"/>
      <c r="D292" s="290"/>
    </row>
    <row r="293" spans="3:4">
      <c r="C293" s="291"/>
      <c r="D293" s="290"/>
    </row>
    <row r="294" spans="3:4">
      <c r="C294" s="291"/>
      <c r="D294" s="290"/>
    </row>
    <row r="295" spans="3:4">
      <c r="C295" s="291"/>
      <c r="D295" s="290"/>
    </row>
    <row r="296" spans="3:4">
      <c r="C296" s="291"/>
      <c r="D296" s="290"/>
    </row>
    <row r="297" spans="3:4">
      <c r="C297" s="291"/>
      <c r="D297" s="290"/>
    </row>
    <row r="298" spans="3:4">
      <c r="C298" s="291"/>
      <c r="D298" s="290"/>
    </row>
    <row r="299" spans="3:4">
      <c r="C299" s="291"/>
      <c r="D299" s="290"/>
    </row>
    <row r="300" spans="3:4">
      <c r="C300" s="291"/>
      <c r="D300" s="290"/>
    </row>
    <row r="301" spans="3:4">
      <c r="C301" s="291"/>
      <c r="D301" s="290"/>
    </row>
    <row r="302" spans="3:4">
      <c r="C302" s="291"/>
      <c r="D302" s="290"/>
    </row>
    <row r="303" spans="3:4">
      <c r="C303" s="291"/>
      <c r="D303" s="290"/>
    </row>
    <row r="304" spans="3:4">
      <c r="C304" s="291"/>
      <c r="D304" s="290"/>
    </row>
    <row r="305" spans="3:4">
      <c r="C305" s="291"/>
      <c r="D305" s="290"/>
    </row>
    <row r="306" spans="3:4">
      <c r="C306" s="291"/>
      <c r="D306" s="290"/>
    </row>
    <row r="307" spans="3:4">
      <c r="C307" s="291"/>
      <c r="D307" s="290"/>
    </row>
    <row r="308" spans="3:4">
      <c r="C308" s="291"/>
      <c r="D308" s="290"/>
    </row>
    <row r="309" spans="3:4">
      <c r="C309" s="291"/>
      <c r="D309" s="290"/>
    </row>
    <row r="310" spans="3:4">
      <c r="C310" s="291"/>
      <c r="D310" s="290"/>
    </row>
    <row r="311" spans="3:4">
      <c r="C311" s="291"/>
      <c r="D311" s="290"/>
    </row>
    <row r="312" spans="3:4">
      <c r="C312" s="291"/>
    </row>
    <row r="313" spans="3:4">
      <c r="C313" s="291"/>
      <c r="D313" s="290"/>
    </row>
    <row r="314" spans="3:4">
      <c r="C314" s="291"/>
      <c r="D314" s="290"/>
    </row>
    <row r="315" spans="3:4">
      <c r="C315" s="291"/>
      <c r="D315" s="290"/>
    </row>
    <row r="316" spans="3:4">
      <c r="C316" s="291"/>
      <c r="D316" s="290"/>
    </row>
    <row r="317" spans="3:4">
      <c r="C317" s="291"/>
      <c r="D317" s="290"/>
    </row>
    <row r="318" spans="3:4">
      <c r="C318" s="291"/>
      <c r="D318" s="290"/>
    </row>
    <row r="319" spans="3:4">
      <c r="C319" s="291"/>
    </row>
    <row r="320" spans="3:4">
      <c r="C320" s="291"/>
      <c r="D320" s="290"/>
    </row>
    <row r="321" spans="3:4">
      <c r="C321" s="291"/>
      <c r="D321" s="290"/>
    </row>
    <row r="322" spans="3:4">
      <c r="C322" s="291"/>
      <c r="D322" s="290"/>
    </row>
    <row r="323" spans="3:4">
      <c r="C323" s="291"/>
      <c r="D323" s="290"/>
    </row>
    <row r="324" spans="3:4">
      <c r="C324" s="291"/>
      <c r="D324" s="290"/>
    </row>
    <row r="325" spans="3:4">
      <c r="C325" s="291"/>
      <c r="D325" s="290"/>
    </row>
    <row r="326" spans="3:4">
      <c r="C326" s="291"/>
      <c r="D326" s="290"/>
    </row>
    <row r="327" spans="3:4">
      <c r="C327" s="291"/>
      <c r="D327" s="290"/>
    </row>
    <row r="328" spans="3:4">
      <c r="C328" s="291"/>
    </row>
    <row r="329" spans="3:4">
      <c r="C329" s="291"/>
      <c r="D329" s="290"/>
    </row>
    <row r="330" spans="3:4">
      <c r="C330" s="291"/>
      <c r="D330" s="290"/>
    </row>
    <row r="331" spans="3:4">
      <c r="C331" s="291"/>
      <c r="D331" s="290"/>
    </row>
    <row r="332" spans="3:4">
      <c r="C332" s="291"/>
      <c r="D332" s="290"/>
    </row>
    <row r="333" spans="3:4">
      <c r="C333" s="291"/>
      <c r="D333" s="290"/>
    </row>
    <row r="334" spans="3:4">
      <c r="C334" s="291"/>
      <c r="D334" s="290"/>
    </row>
    <row r="335" spans="3:4">
      <c r="C335" s="291"/>
      <c r="D335" s="290"/>
    </row>
    <row r="336" spans="3:4">
      <c r="C336" s="291"/>
      <c r="D336" s="290"/>
    </row>
    <row r="337" spans="3:4">
      <c r="C337" s="291"/>
      <c r="D337" s="290"/>
    </row>
    <row r="338" spans="3:4">
      <c r="C338" s="291"/>
      <c r="D338" s="290"/>
    </row>
    <row r="339" spans="3:4">
      <c r="C339" s="291"/>
      <c r="D339" s="290"/>
    </row>
    <row r="340" spans="3:4">
      <c r="C340" s="291"/>
      <c r="D340" s="290"/>
    </row>
    <row r="341" spans="3:4">
      <c r="C341" s="291"/>
      <c r="D341" s="290"/>
    </row>
    <row r="342" spans="3:4">
      <c r="C342" s="291"/>
      <c r="D342" s="290"/>
    </row>
    <row r="343" spans="3:4">
      <c r="C343" s="291"/>
      <c r="D343" s="290"/>
    </row>
    <row r="344" spans="3:4">
      <c r="C344" s="291"/>
      <c r="D344" s="290"/>
    </row>
    <row r="345" spans="3:4">
      <c r="C345" s="291"/>
      <c r="D345" s="290"/>
    </row>
    <row r="346" spans="3:4">
      <c r="C346" s="291"/>
      <c r="D346" s="290"/>
    </row>
    <row r="347" spans="3:4">
      <c r="C347" s="291"/>
    </row>
    <row r="348" spans="3:4">
      <c r="C348" s="291"/>
      <c r="D348" s="290"/>
    </row>
    <row r="349" spans="3:4">
      <c r="C349" s="291"/>
      <c r="D349" s="290"/>
    </row>
    <row r="350" spans="3:4">
      <c r="C350" s="291"/>
      <c r="D350" s="290"/>
    </row>
    <row r="351" spans="3:4">
      <c r="C351" s="291"/>
      <c r="D351" s="290"/>
    </row>
    <row r="352" spans="3:4">
      <c r="C352" s="291"/>
      <c r="D352" s="290"/>
    </row>
    <row r="353" spans="3:4">
      <c r="C353" s="291"/>
      <c r="D353" s="290"/>
    </row>
    <row r="354" spans="3:4">
      <c r="C354" s="291"/>
      <c r="D354" s="290"/>
    </row>
    <row r="355" spans="3:4">
      <c r="C355" s="291"/>
      <c r="D355" s="290"/>
    </row>
    <row r="356" spans="3:4">
      <c r="C356" s="291"/>
      <c r="D356" s="290"/>
    </row>
    <row r="357" spans="3:4">
      <c r="C357" s="291"/>
      <c r="D357" s="290"/>
    </row>
    <row r="358" spans="3:4">
      <c r="C358" s="291"/>
      <c r="D358" s="290"/>
    </row>
    <row r="359" spans="3:4">
      <c r="C359" s="291"/>
      <c r="D359" s="290"/>
    </row>
    <row r="360" spans="3:4">
      <c r="C360" s="291"/>
      <c r="D360" s="290"/>
    </row>
    <row r="361" spans="3:4">
      <c r="C361" s="291"/>
      <c r="D361" s="290"/>
    </row>
    <row r="362" spans="3:4">
      <c r="C362" s="291"/>
      <c r="D362" s="290"/>
    </row>
    <row r="363" spans="3:4">
      <c r="C363" s="291"/>
      <c r="D363" s="290"/>
    </row>
    <row r="364" spans="3:4">
      <c r="C364" s="291"/>
      <c r="D364" s="290"/>
    </row>
    <row r="365" spans="3:4">
      <c r="C365" s="291"/>
      <c r="D365" s="290"/>
    </row>
    <row r="366" spans="3:4">
      <c r="C366" s="291"/>
      <c r="D366" s="290"/>
    </row>
    <row r="367" spans="3:4">
      <c r="C367" s="291"/>
      <c r="D367" s="290"/>
    </row>
    <row r="368" spans="3:4">
      <c r="C368" s="291"/>
    </row>
    <row r="369" spans="3:4">
      <c r="C369" s="291"/>
      <c r="D369" s="290"/>
    </row>
    <row r="370" spans="3:4">
      <c r="C370" s="291"/>
      <c r="D370" s="290"/>
    </row>
    <row r="371" spans="3:4">
      <c r="C371" s="291"/>
      <c r="D371" s="290"/>
    </row>
    <row r="372" spans="3:4">
      <c r="C372" s="291"/>
      <c r="D372" s="290"/>
    </row>
    <row r="373" spans="3:4">
      <c r="C373" s="291"/>
      <c r="D373" s="290"/>
    </row>
    <row r="374" spans="3:4">
      <c r="C374" s="291"/>
      <c r="D374" s="290"/>
    </row>
    <row r="375" spans="3:4">
      <c r="C375" s="291"/>
      <c r="D375" s="290"/>
    </row>
    <row r="376" spans="3:4">
      <c r="C376" s="291"/>
      <c r="D376" s="290"/>
    </row>
    <row r="377" spans="3:4">
      <c r="C377" s="291"/>
      <c r="D377" s="290"/>
    </row>
    <row r="378" spans="3:4">
      <c r="C378" s="291"/>
      <c r="D378" s="290"/>
    </row>
    <row r="379" spans="3:4">
      <c r="C379" s="291"/>
      <c r="D379" s="290"/>
    </row>
    <row r="380" spans="3:4">
      <c r="C380" s="291"/>
      <c r="D380" s="290"/>
    </row>
    <row r="381" spans="3:4">
      <c r="C381" s="291"/>
      <c r="D381" s="290"/>
    </row>
    <row r="382" spans="3:4">
      <c r="C382" s="291"/>
      <c r="D382" s="290"/>
    </row>
    <row r="383" spans="3:4">
      <c r="C383" s="291"/>
      <c r="D383" s="290"/>
    </row>
    <row r="384" spans="3:4">
      <c r="C384" s="291"/>
      <c r="D384" s="290"/>
    </row>
    <row r="385" spans="3:4">
      <c r="C385" s="291"/>
      <c r="D385" s="290"/>
    </row>
    <row r="386" spans="3:4">
      <c r="C386" s="291"/>
      <c r="D386" s="290"/>
    </row>
    <row r="387" spans="3:4">
      <c r="C387" s="291"/>
      <c r="D387" s="290"/>
    </row>
    <row r="388" spans="3:4">
      <c r="C388" s="291"/>
    </row>
    <row r="389" spans="3:4">
      <c r="C389" s="291"/>
      <c r="D389" s="290"/>
    </row>
    <row r="390" spans="3:4">
      <c r="C390" s="291"/>
      <c r="D390" s="290"/>
    </row>
    <row r="391" spans="3:4">
      <c r="C391" s="291"/>
      <c r="D391" s="290"/>
    </row>
    <row r="392" spans="3:4">
      <c r="C392" s="291"/>
      <c r="D392" s="290"/>
    </row>
    <row r="393" spans="3:4">
      <c r="C393" s="291"/>
      <c r="D393" s="290"/>
    </row>
    <row r="394" spans="3:4">
      <c r="C394" s="291"/>
      <c r="D394" s="290"/>
    </row>
    <row r="395" spans="3:4">
      <c r="C395" s="291"/>
      <c r="D395" s="290"/>
    </row>
    <row r="396" spans="3:4">
      <c r="C396" s="291"/>
      <c r="D396" s="290"/>
    </row>
    <row r="397" spans="3:4">
      <c r="C397" s="291"/>
      <c r="D397" s="290"/>
    </row>
    <row r="398" spans="3:4">
      <c r="C398" s="291"/>
      <c r="D398" s="290"/>
    </row>
    <row r="399" spans="3:4">
      <c r="C399" s="291"/>
      <c r="D399" s="290"/>
    </row>
    <row r="400" spans="3:4">
      <c r="C400" s="291"/>
      <c r="D400" s="290"/>
    </row>
    <row r="401" spans="3:4">
      <c r="C401" s="291"/>
      <c r="D401" s="290"/>
    </row>
    <row r="402" spans="3:4">
      <c r="C402" s="291"/>
      <c r="D402" s="290"/>
    </row>
    <row r="403" spans="3:4">
      <c r="C403" s="291"/>
      <c r="D403" s="290"/>
    </row>
    <row r="404" spans="3:4">
      <c r="C404" s="291"/>
      <c r="D404" s="290"/>
    </row>
    <row r="405" spans="3:4">
      <c r="C405" s="291"/>
      <c r="D405" s="290"/>
    </row>
    <row r="406" spans="3:4">
      <c r="C406" s="291"/>
      <c r="D406" s="290"/>
    </row>
    <row r="407" spans="3:4">
      <c r="C407" s="291"/>
      <c r="D407" s="290"/>
    </row>
    <row r="408" spans="3:4">
      <c r="C408" s="291"/>
      <c r="D408" s="290"/>
    </row>
    <row r="409" spans="3:4">
      <c r="C409" s="291"/>
      <c r="D409" s="290"/>
    </row>
    <row r="410" spans="3:4">
      <c r="C410" s="291"/>
      <c r="D410" s="290"/>
    </row>
    <row r="411" spans="3:4">
      <c r="C411" s="291"/>
      <c r="D411" s="290"/>
    </row>
    <row r="412" spans="3:4">
      <c r="C412" s="291"/>
      <c r="D412" s="290"/>
    </row>
    <row r="413" spans="3:4">
      <c r="C413" s="291"/>
      <c r="D413" s="290"/>
    </row>
    <row r="414" spans="3:4">
      <c r="C414" s="291"/>
      <c r="D414" s="290"/>
    </row>
    <row r="415" spans="3:4">
      <c r="C415" s="291"/>
      <c r="D415" s="290"/>
    </row>
    <row r="416" spans="3:4">
      <c r="C416" s="291"/>
      <c r="D416" s="290"/>
    </row>
    <row r="417" spans="3:4">
      <c r="C417" s="291"/>
      <c r="D417" s="290"/>
    </row>
    <row r="418" spans="3:4">
      <c r="C418" s="291"/>
      <c r="D418" s="290"/>
    </row>
    <row r="419" spans="3:4">
      <c r="C419" s="291"/>
      <c r="D419" s="290"/>
    </row>
    <row r="420" spans="3:4">
      <c r="C420" s="291"/>
      <c r="D420" s="290"/>
    </row>
    <row r="421" spans="3:4">
      <c r="C421" s="291"/>
      <c r="D421" s="290"/>
    </row>
    <row r="422" spans="3:4">
      <c r="C422" s="291"/>
      <c r="D422" s="290"/>
    </row>
    <row r="423" spans="3:4">
      <c r="C423" s="291"/>
      <c r="D423" s="290"/>
    </row>
    <row r="424" spans="3:4">
      <c r="C424" s="291"/>
      <c r="D424" s="290"/>
    </row>
    <row r="425" spans="3:4">
      <c r="C425" s="291"/>
      <c r="D425" s="290"/>
    </row>
    <row r="426" spans="3:4">
      <c r="C426" s="291"/>
      <c r="D426" s="290"/>
    </row>
    <row r="427" spans="3:4">
      <c r="C427" s="291"/>
      <c r="D427" s="290"/>
    </row>
    <row r="428" spans="3:4">
      <c r="C428" s="291"/>
      <c r="D428" s="290"/>
    </row>
    <row r="429" spans="3:4">
      <c r="C429" s="291"/>
      <c r="D429" s="290"/>
    </row>
    <row r="430" spans="3:4">
      <c r="C430" s="291"/>
      <c r="D430" s="290"/>
    </row>
    <row r="431" spans="3:4">
      <c r="C431" s="291"/>
      <c r="D431" s="290"/>
    </row>
    <row r="432" spans="3:4">
      <c r="C432" s="291"/>
      <c r="D432" s="290"/>
    </row>
    <row r="433" spans="3:4">
      <c r="C433" s="291"/>
      <c r="D433" s="290"/>
    </row>
    <row r="434" spans="3:4">
      <c r="C434" s="291"/>
      <c r="D434" s="290"/>
    </row>
    <row r="435" spans="3:4">
      <c r="C435" s="291"/>
      <c r="D435" s="290"/>
    </row>
    <row r="436" spans="3:4">
      <c r="C436" s="291"/>
      <c r="D436" s="290"/>
    </row>
    <row r="437" spans="3:4">
      <c r="C437" s="291"/>
      <c r="D437" s="290"/>
    </row>
    <row r="438" spans="3:4">
      <c r="C438" s="291"/>
      <c r="D438" s="290"/>
    </row>
    <row r="439" spans="3:4">
      <c r="C439" s="291"/>
      <c r="D439" s="290"/>
    </row>
    <row r="440" spans="3:4">
      <c r="C440" s="291"/>
      <c r="D440" s="290"/>
    </row>
    <row r="441" spans="3:4">
      <c r="C441" s="291"/>
      <c r="D441" s="290"/>
    </row>
    <row r="442" spans="3:4">
      <c r="C442" s="291"/>
      <c r="D442" s="290"/>
    </row>
    <row r="443" spans="3:4">
      <c r="C443" s="291"/>
      <c r="D443" s="290"/>
    </row>
    <row r="444" spans="3:4">
      <c r="C444" s="291"/>
    </row>
    <row r="445" spans="3:4">
      <c r="C445" s="291"/>
      <c r="D445" s="290"/>
    </row>
    <row r="446" spans="3:4">
      <c r="C446" s="291"/>
      <c r="D446" s="290"/>
    </row>
    <row r="447" spans="3:4">
      <c r="C447" s="291"/>
      <c r="D447" s="290"/>
    </row>
    <row r="448" spans="3:4">
      <c r="C448" s="291"/>
      <c r="D448" s="290"/>
    </row>
    <row r="449" spans="3:4">
      <c r="C449" s="291"/>
      <c r="D449" s="290"/>
    </row>
    <row r="450" spans="3:4">
      <c r="C450" s="291"/>
      <c r="D450" s="290"/>
    </row>
    <row r="451" spans="3:4">
      <c r="C451" s="291"/>
      <c r="D451" s="290"/>
    </row>
    <row r="452" spans="3:4">
      <c r="C452" s="291"/>
      <c r="D452" s="290"/>
    </row>
    <row r="453" spans="3:4">
      <c r="C453" s="291"/>
      <c r="D453" s="290"/>
    </row>
    <row r="454" spans="3:4">
      <c r="C454" s="291"/>
      <c r="D454" s="290"/>
    </row>
    <row r="455" spans="3:4">
      <c r="C455" s="291"/>
      <c r="D455" s="290"/>
    </row>
    <row r="456" spans="3:4">
      <c r="C456" s="291"/>
      <c r="D456" s="290"/>
    </row>
    <row r="457" spans="3:4">
      <c r="C457" s="291"/>
      <c r="D457" s="290"/>
    </row>
    <row r="458" spans="3:4">
      <c r="C458" s="291"/>
      <c r="D458" s="290"/>
    </row>
    <row r="459" spans="3:4">
      <c r="C459" s="291"/>
      <c r="D459" s="290"/>
    </row>
    <row r="460" spans="3:4">
      <c r="C460" s="291"/>
      <c r="D460" s="290"/>
    </row>
    <row r="461" spans="3:4">
      <c r="C461" s="291"/>
      <c r="D461" s="290"/>
    </row>
    <row r="462" spans="3:4">
      <c r="C462" s="291"/>
      <c r="D462" s="290"/>
    </row>
    <row r="463" spans="3:4">
      <c r="C463" s="291"/>
      <c r="D463" s="290"/>
    </row>
    <row r="464" spans="3:4">
      <c r="C464" s="291"/>
      <c r="D464" s="290"/>
    </row>
    <row r="465" spans="3:4">
      <c r="C465" s="291"/>
      <c r="D465" s="290"/>
    </row>
    <row r="466" spans="3:4">
      <c r="C466" s="291"/>
      <c r="D466" s="290"/>
    </row>
    <row r="467" spans="3:4">
      <c r="C467" s="291"/>
      <c r="D467" s="290"/>
    </row>
    <row r="468" spans="3:4">
      <c r="C468" s="291"/>
      <c r="D468" s="290"/>
    </row>
    <row r="469" spans="3:4">
      <c r="C469" s="291"/>
      <c r="D469" s="290"/>
    </row>
    <row r="470" spans="3:4">
      <c r="C470" s="291"/>
      <c r="D470" s="290"/>
    </row>
    <row r="471" spans="3:4">
      <c r="C471" s="291"/>
      <c r="D471" s="290"/>
    </row>
    <row r="472" spans="3:4">
      <c r="C472" s="291"/>
      <c r="D472" s="290"/>
    </row>
    <row r="473" spans="3:4">
      <c r="C473" s="291"/>
      <c r="D473" s="290"/>
    </row>
    <row r="474" spans="3:4">
      <c r="C474" s="291"/>
      <c r="D474" s="290"/>
    </row>
    <row r="475" spans="3:4">
      <c r="C475" s="291"/>
    </row>
    <row r="476" spans="3:4">
      <c r="C476" s="291"/>
      <c r="D476" s="290"/>
    </row>
    <row r="477" spans="3:4">
      <c r="C477" s="291"/>
      <c r="D477" s="290"/>
    </row>
    <row r="478" spans="3:4">
      <c r="C478" s="291"/>
      <c r="D478" s="290"/>
    </row>
    <row r="479" spans="3:4">
      <c r="C479" s="291"/>
      <c r="D479" s="290"/>
    </row>
    <row r="480" spans="3:4">
      <c r="C480" s="291"/>
      <c r="D480" s="290"/>
    </row>
    <row r="481" spans="3:4">
      <c r="C481" s="291"/>
      <c r="D481" s="290"/>
    </row>
    <row r="482" spans="3:4">
      <c r="C482" s="291"/>
      <c r="D482" s="290"/>
    </row>
    <row r="483" spans="3:4">
      <c r="C483" s="291"/>
      <c r="D483" s="290"/>
    </row>
    <row r="484" spans="3:4">
      <c r="C484" s="291"/>
      <c r="D484" s="290"/>
    </row>
    <row r="485" spans="3:4">
      <c r="C485" s="291"/>
      <c r="D485" s="290"/>
    </row>
    <row r="486" spans="3:4">
      <c r="C486" s="291"/>
      <c r="D486" s="290"/>
    </row>
    <row r="487" spans="3:4">
      <c r="C487" s="291"/>
      <c r="D487" s="290"/>
    </row>
    <row r="488" spans="3:4">
      <c r="C488" s="291"/>
    </row>
    <row r="489" spans="3:4">
      <c r="C489" s="291"/>
      <c r="D489" s="290"/>
    </row>
    <row r="490" spans="3:4">
      <c r="C490" s="291"/>
      <c r="D490" s="290"/>
    </row>
    <row r="491" spans="3:4">
      <c r="C491" s="291"/>
      <c r="D491" s="290"/>
    </row>
    <row r="492" spans="3:4">
      <c r="C492" s="291"/>
      <c r="D492" s="290"/>
    </row>
    <row r="493" spans="3:4">
      <c r="C493" s="291"/>
      <c r="D493" s="290"/>
    </row>
    <row r="494" spans="3:4">
      <c r="C494" s="291"/>
      <c r="D494" s="290"/>
    </row>
    <row r="495" spans="3:4">
      <c r="C495" s="291"/>
    </row>
    <row r="498" spans="3:4">
      <c r="C498" s="291"/>
      <c r="D498" s="290"/>
    </row>
    <row r="499" spans="3:4">
      <c r="C499" s="291"/>
      <c r="D499" s="290"/>
    </row>
    <row r="500" spans="3:4">
      <c r="C500" s="291"/>
      <c r="D500" s="290"/>
    </row>
    <row r="501" spans="3:4">
      <c r="C501" s="291"/>
    </row>
    <row r="502" spans="3:4">
      <c r="C502" s="291"/>
      <c r="D502" s="290"/>
    </row>
    <row r="503" spans="3:4">
      <c r="C503" s="291"/>
      <c r="D503" s="290"/>
    </row>
    <row r="504" spans="3:4">
      <c r="C504" s="291"/>
    </row>
    <row r="505" spans="3:4">
      <c r="C505" s="291"/>
    </row>
    <row r="510" spans="3:4">
      <c r="C510" s="291"/>
      <c r="D510" s="290"/>
    </row>
    <row r="511" spans="3:4">
      <c r="C511" s="291"/>
      <c r="D511" s="290"/>
    </row>
    <row r="512" spans="3:4">
      <c r="C512" s="291"/>
      <c r="D512" s="290"/>
    </row>
    <row r="513" spans="3:4">
      <c r="C513" s="291"/>
      <c r="D513" s="290"/>
    </row>
    <row r="514" spans="3:4">
      <c r="C514" s="291"/>
    </row>
    <row r="517" spans="3:4">
      <c r="C517" s="291"/>
      <c r="D517" s="290"/>
    </row>
    <row r="518" spans="3:4">
      <c r="C518" s="291"/>
      <c r="D518" s="290"/>
    </row>
    <row r="519" spans="3:4">
      <c r="C519" s="291"/>
      <c r="D519" s="290"/>
    </row>
    <row r="520" spans="3:4">
      <c r="C520" s="291"/>
    </row>
    <row r="521" spans="3:4">
      <c r="C521" s="291"/>
      <c r="D521" s="290"/>
    </row>
    <row r="522" spans="3:4">
      <c r="C522" s="291"/>
      <c r="D522" s="290"/>
    </row>
    <row r="523" spans="3:4">
      <c r="C523" s="291"/>
    </row>
    <row r="524" spans="3:4">
      <c r="C524" s="291"/>
    </row>
    <row r="529" spans="3:4">
      <c r="C529" s="291"/>
      <c r="D529" s="290"/>
    </row>
    <row r="530" spans="3:4">
      <c r="C530" s="291"/>
      <c r="D530" s="290"/>
    </row>
    <row r="531" spans="3:4">
      <c r="C531" s="291"/>
      <c r="D531" s="290"/>
    </row>
    <row r="532" spans="3:4">
      <c r="C532" s="291"/>
      <c r="D532" s="290"/>
    </row>
    <row r="533" spans="3:4">
      <c r="C533" s="291"/>
    </row>
    <row r="536" spans="3:4">
      <c r="C536" s="291"/>
      <c r="D536" s="290"/>
    </row>
    <row r="537" spans="3:4">
      <c r="C537" s="291"/>
      <c r="D537" s="290"/>
    </row>
    <row r="538" spans="3:4">
      <c r="C538" s="291"/>
      <c r="D538" s="290"/>
    </row>
    <row r="539" spans="3:4">
      <c r="C539" s="291"/>
    </row>
    <row r="540" spans="3:4">
      <c r="C540" s="291"/>
      <c r="D540" s="290"/>
    </row>
    <row r="541" spans="3:4">
      <c r="C541" s="291"/>
      <c r="D541" s="290"/>
    </row>
    <row r="542" spans="3:4">
      <c r="C542" s="291"/>
    </row>
    <row r="543" spans="3:4">
      <c r="C543" s="291"/>
    </row>
    <row r="548" spans="3:4">
      <c r="C548" s="291"/>
      <c r="D548" s="290"/>
    </row>
    <row r="549" spans="3:4">
      <c r="C549" s="291"/>
      <c r="D549" s="290"/>
    </row>
    <row r="550" spans="3:4">
      <c r="C550" s="291"/>
      <c r="D550" s="290"/>
    </row>
    <row r="551" spans="3:4">
      <c r="C551" s="291"/>
      <c r="D551" s="290"/>
    </row>
    <row r="552" spans="3:4">
      <c r="C552" s="291"/>
    </row>
    <row r="555" spans="3:4">
      <c r="C555" s="291"/>
      <c r="D555" s="290"/>
    </row>
    <row r="556" spans="3:4">
      <c r="C556" s="291"/>
      <c r="D556" s="290"/>
    </row>
    <row r="557" spans="3:4">
      <c r="C557" s="291"/>
      <c r="D557" s="290"/>
    </row>
    <row r="558" spans="3:4">
      <c r="C558" s="291"/>
    </row>
    <row r="559" spans="3:4">
      <c r="C559" s="291"/>
      <c r="D559" s="290"/>
    </row>
    <row r="560" spans="3:4">
      <c r="C560" s="291"/>
      <c r="D560" s="290"/>
    </row>
    <row r="561" spans="3:3">
      <c r="C561" s="291"/>
    </row>
    <row r="562" spans="3:3">
      <c r="C562" s="291"/>
    </row>
  </sheetData>
  <phoneticPr fontId="6"/>
  <pageMargins left="0.75" right="0.75" top="1" bottom="1" header="0.5" footer="0.5"/>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Revison</vt:lpstr>
      <vt:lpstr>HowToUse</vt:lpstr>
      <vt:lpstr>Main_Parameters</vt:lpstr>
      <vt:lpstr>Source_DPeDP_Startup</vt:lpstr>
      <vt:lpstr>Source_eDP_Suspend</vt:lpstr>
      <vt:lpstr>Source_eDP_Resume</vt:lpstr>
      <vt:lpstr>Source_DP_Suspend</vt:lpstr>
      <vt:lpstr>Source_ColorBar</vt:lpstr>
      <vt:lpstr>Source_Debug</vt:lpstr>
      <vt:lpstr>Code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admin</cp:lastModifiedBy>
  <dcterms:created xsi:type="dcterms:W3CDTF">2006-09-16T00:00:00Z</dcterms:created>
  <dcterms:modified xsi:type="dcterms:W3CDTF">2016-08-31T12:25:23Z</dcterms:modified>
</cp:coreProperties>
</file>